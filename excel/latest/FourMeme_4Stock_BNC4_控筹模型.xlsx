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b5596f4f664d5c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07817fff46094703"/>
    <sheet name="Quote参数" sheetId="2" r:id="R16d2ba0d60314fea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0b9ddca8de4b64" /><Relationship Type="http://schemas.openxmlformats.org/officeDocument/2006/relationships/theme" Target="/xl/theme/theme1.xml" Id="Rb360ceffcca143d7" /><Relationship Type="http://schemas.openxmlformats.org/officeDocument/2006/relationships/sharedStrings" Target="/xl/sharedStrings.xml" Id="R3eb2d23d232d44c0" /><Relationship Type="http://schemas.openxmlformats.org/officeDocument/2006/relationships/worksheet" Target="/xl/worksheets/sheet1.xml" Id="R07817fff46094703" /><Relationship Type="http://schemas.openxmlformats.org/officeDocument/2006/relationships/worksheet" Target="/xl/worksheets/sheet2.xml" Id="R16d2ba0d60314fe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IF(AND($D$51="可达",ISNUMBER($D$26)),SUM(D22:D26),"")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IF($D$51&lt;&gt;"可达","",$J$41+IF($G$40="pons",$G$50/$J$51-$G$49,IF($G$40="four-stock",($G$50/$J$50-$G$49)/(1-$G$42),($G$50/$J$50-$G$49)*(1+$G$42))))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ht="20" customHeight="1">
      <c r="C24" s="3" t="str">
        <v>洗筹损耗</v>
      </c>
      <c r="D24" s="44">
        <f>IF($D$51="可达",$J$52*$D$29,"")</f>
      </c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IF($D$51&lt;&gt;"可达","",IF(VLOOKUP($D$7,'Quote参数'!$C$14:$AL$14,34,FALSE)="quote",0,IF(AND($J$55&gt;0,$J$56&gt;0),MAX(0,($G$50/$J$55-$G$50/$J$56)*IF($G$40="pons",1,IF($G$40="four-stock",1/(1-$G$42),1+$G$42))),"")))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customHeight="1" hidden="1">
      <c r="C31"/>
      <c r="D31"/>
      <c r="E31"/>
      <c r="F31"/>
      <c r="G31"/>
      <c r="H31"/>
      <c r="I31" s="3"/>
      <c r="J31" s="3"/>
      <c r="K31" s="3"/>
      <c r="L31" s="3"/>
    </row>
    <row r="32" ht="20" customHeight="1" hidden="1">
      <c r="C32"/>
      <c r="D32"/>
      <c r="E32"/>
      <c r="F32"/>
      <c r="G32"/>
      <c r="H32"/>
      <c r="I32" s="3"/>
      <c r="J32" s="3"/>
      <c r="K32" s="3"/>
      <c r="L32" s="3"/>
    </row>
    <row r="33" ht="20" customHeight="1" hidden="1">
      <c r="C33"/>
      <c r="D33"/>
      <c r="E33"/>
      <c r="F33"/>
      <c r="G33"/>
      <c r="H33"/>
      <c r="I33" s="3"/>
      <c r="J33" s="3"/>
      <c r="K33" s="3"/>
      <c r="L33" s="3"/>
    </row>
    <row r="34" ht="20" customHeight="1" hidden="1">
      <c r="C34"/>
      <c r="D34"/>
      <c r="E34"/>
      <c r="F34"/>
      <c r="G34"/>
      <c r="H34"/>
      <c r="I34" s="3"/>
      <c r="J34" s="3"/>
      <c r="K34" s="3"/>
      <c r="L34" s="3"/>
    </row>
    <row r="35" ht="20" customHeight="1" hidden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外盘手续费只在扣 Base/TOKEN 时降低控筹率；只扣 Quote 时补回为 0。补回按 Base/TOKEN 缺口及现有外盘曲线差额估算，损耗仍按目标加缓冲 FDV；非逐笔模拟。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customHeight="1" outlineLevel="1" hidden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customHeight="1" outlineLevel="1" hidden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customHeight="1" outlineLevel="1" hidden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customHeight="1" outlineLevel="1" hidden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customHeight="1" outlineLevel="1" hidden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customHeight="1" outlineLevel="1" hidden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customHeight="1" outlineLevel="1" hidden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customHeight="1" outlineLevel="1" hidden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customHeight="1" outlineLevel="1" hidden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customHeight="1" outlineLevel="1" hidden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customHeight="1" outlineLevel="1" hidden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customHeight="1" outlineLevel="1" hidden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$G$48-MAX(0,($D$52-$G$43)*$D$45)/(1-$G$42-$J$48)</f>
      </c>
      <c r="K51" s="32"/>
      <c r="L51" s="32"/>
    </row>
    <row r="52" ht="30" customHeight="1" outlineLevel="1" hidden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customHeight="1" outlineLevel="1" hidden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customHeight="1" outlineLevel="1" hidden="1">
      <c r="C54" s="32" t="str">
        <v>当前控筹上限</v>
      </c>
      <c r="D54" s="39">
        <f>IF($G$40="pons",MIN(1-$G$51/$D$45,$G$43+(1-$G$42-$J$48)*$G$48/$D$45),IF(OR($G$40="flap",$G$40="four-stock"),$G$43+(1-$J$46)*$G$48/$D$45,1))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IF(VLOOKUP($D$7,'Quote参数'!$C$14:$AL$14,34,FALSE)="quote",1,IF($G$40="pons",MAX(0,1-MAX(0,$J$12)-$J$48),(1-$J$46)*(1-$J$47)*(1-MAX(0,$J$12))))</f>
      </c>
      <c r="K54" s="32"/>
      <c r="L54" s="32"/>
    </row>
    <row r="55" ht="30" customHeight="1" outlineLevel="1" hidden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IF($G$40="pons",$G$48-MAX(0,($D$8-$G$43)*$D$45)/MAX(0.000000001,1-$G$42-$J$48),IF(OR($G$40="flap",$G$40="four-stock"),$G$48-($D$8-$G$43)*$D$45/(1-$J$46),IF($G$40="pons",$D$45*(1-$D$8)-$G$51,IF(ABS($D$8-$G$43)&lt;0.000001,$G$48,$D$45*(1-$D$8)))))</f>
      </c>
      <c r="K55" s="32"/>
      <c r="L55" s="32"/>
    </row>
    <row r="56" ht="30" customHeight="1" outlineLevel="1" hidden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IF($G$40="pons",$G$48-MAX(0,($D$27-$G$43)*$D$45)/MAX(0.000000001,1-$G$42-$J$48),IF(OR($G$40="flap",$G$40="four-stock"),$G$48-($D$27-$G$43)*$D$45/(1-$J$46),IF($G$40="pons",$D$45*(1-$D$27)-$G$51,IF(ABS($D$27-$G$43)&lt;0.000001,$G$48,$D$45*(1-$D$27)))))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/(1-$G$42-$J$48)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IF(D72="","",$J$41+IF($G$40="pons",$G$50/($G$48-MAX(0,(C72-$G$43)*$D$45)/(1-$G$42-$J$48))-$G$49,IF($G$40="four-stock",(E72-$G$49)/(1-$G$42),(E72-$G$49)*(1+$G$42))))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/(1-$G$42-$J$48)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IF(D73="","",$J$41+IF($G$40="pons",$G$50/($G$48-MAX(0,(C73-$G$43)*$D$45)/(1-$G$42-$J$48))-$G$49,IF($G$40="four-stock",(E73-$G$49)/(1-$G$42),(E73-$G$49)*(1+$G$42))))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/(1-$G$42-$J$48)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IF(D74="","",$J$41+IF($G$40="pons",$G$50/($G$48-MAX(0,(C74-$G$43)*$D$45)/(1-$G$42-$J$48))-$G$49,IF($G$40="four-stock",(E74-$G$49)/(1-$G$42),(E74-$G$49)*(1+$G$42))))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/(1-$G$42-$J$48)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IF(D75="","",$J$41+IF($G$40="pons",$G$50/($G$48-MAX(0,(C75-$G$43)*$D$45)/(1-$G$42-$J$48))-$G$49,IF($G$40="four-stock",(E75-$G$49)/(1-$G$42),(E75-$G$49)*(1+$G$42))))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/(1-$G$42-$J$48)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IF(D76="","",$J$41+IF($G$40="pons",$G$50/($G$48-MAX(0,(C76-$G$43)*$D$45)/(1-$G$42-$J$48))-$G$49,IF($G$40="four-stock",(E76-$G$49)/(1-$G$42),(E76-$G$49)*(1+$G$42))))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/(1-$G$42-$J$48)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IF(D77="","",$J$41+IF($G$40="pons",$G$50/($G$48-MAX(0,(C77-$G$43)*$D$45)/(1-$G$42-$J$48))-$G$49,IF($G$40="four-stock",(E77-$G$49)/(1-$G$42),(E77-$G$49)*(1+$G$42))))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/(1-$G$42-$J$48)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IF(D78="","",$J$41+IF($G$40="pons",$G$50/($G$48-MAX(0,(C78-$G$43)*$D$45)/(1-$G$42-$J$48))-$G$49,IF($G$40="four-stock",(E78-$G$49)/(1-$G$42),(E78-$G$49)*(1+$G$42))))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/(1-$G$42-$J$48)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IF(D79="","",$J$41+IF($G$40="pons",$G$50/($G$48-MAX(0,(C79-$G$43)*$D$45)/(1-$G$42-$J$48))-$G$49,IF($G$40="four-stock",(E79-$G$49)/(1-$G$42),(E79-$G$49)*(1+$G$42))))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/(1-$G$42-$J$48)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IF(D80="","",$J$41+IF($G$40="pons",$G$50/($G$48-MAX(0,(C80-$G$43)*$D$45)/(1-$G$42-$J$48))-$G$49,IF($G$40="four-stock",(E80-$G$49)/(1-$G$42),(E80-$G$49)*(1+$G$42))))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/(1-$G$42-$J$48)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IF(D81="","",$J$41+IF($G$40="pons",$G$50/($G$48-MAX(0,(C81-$G$43)*$D$45)/(1-$G$42-$J$48))-$G$49,IF($G$40="four-stock",(E81-$G$49)/(1-$G$42),(E81-$G$49)*(1+$G$42))))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/(1-$G$42-$J$48)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IF(D82="","",$J$41+IF($G$40="pons",$G$50/($G$48-MAX(0,(C82-$G$43)*$D$45)/(1-$G$42-$J$48))-$G$49,IF($G$40="four-stock",(E82-$G$49)/(1-$G$42),(E82-$G$49)*(1+$G$42))))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/(1-$G$42-$J$48)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IF(D83="","",$J$41+IF($G$40="pons",$G$50/($G$48-MAX(0,(C83-$G$43)*$D$45)/(1-$G$42-$J$48))-$G$49,IF($G$40="four-stock",(E83-$G$49)/(1-$G$42),(E83-$G$49)*(1+$G$42))))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/(1-$G$42-$J$48)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IF(D84="","",$J$41+IF($G$40="pons",$G$50/($G$48-MAX(0,(C84-$G$43)*$D$45)/(1-$G$42-$J$48))-$G$49,IF($G$40="four-stock",(E84-$G$49)/(1-$G$42),(E84-$G$49)*(1+$G$42))))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/(1-$G$42-$J$48)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IF(D85="","",$J$41+IF($G$40="pons",$G$50/($G$48-MAX(0,(C85-$G$43)*$D$45)/(1-$G$42-$J$48))-$G$49,IF($G$40="four-stock",(E85-$G$49)/(1-$G$42),(E85-$G$49)*(1+$G$42))))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/(1-$G$42-$J$48)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IF(D86="","",$J$41+IF($G$40="pons",$G$50/($G$48-MAX(0,(C86-$G$43)*$D$45)/(1-$G$42-$J$48))-$G$49,IF($G$40="four-stock",(E86-$G$49)/(1-$G$42),(E86-$G$49)*(1+$G$42))))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/(1-$G$42-$J$48)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IF(D87="","",$J$41+IF($G$40="pons",$G$50/($G$48-MAX(0,(C87-$G$43)*$D$45)/(1-$G$42-$J$48))-$G$49,IF($G$40="four-stock",(E87-$G$49)/(1-$G$42),(E87-$G$49)*(1+$G$42))))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/(1-$G$42-$J$48)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IF(D88="","",$J$41+IF($G$40="pons",$G$50/($G$48-MAX(0,(C88-$G$43)*$D$45)/(1-$G$42-$J$48))-$G$49,IF($G$40="four-stock",(E88-$G$49)/(1-$G$42),(E88-$G$49)*(1+$G$42))))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/(1-$G$42-$J$48)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IF(D89="","",$J$41+IF($G$40="pons",$G$50/($G$48-MAX(0,(C89-$G$43)*$D$45)/(1-$G$42-$J$48))-$G$49,IF($G$40="four-stock",(E89-$G$49)/(1-$G$42),(E89-$G$49)*(1+$G$42))))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/(1-$G$42-$J$48)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IF(D90="","",$J$41+IF($G$40="pons",$G$50/($G$48-MAX(0,(C90-$G$43)*$D$45)/(1-$G$42-$J$48))-$G$49,IF($G$40="four-stock",(E90-$G$49)/(1-$G$42),(E90-$G$49)*(1+$G$42))))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/(1-$G$42-$J$48)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IF(D91="","",$J$41+IF($G$40="pons",$G$50/($G$48-MAX(0,(C91-$G$43)*$D$45)/(1-$G$42-$J$48))-$G$49,IF($G$40="four-stock",(E91-$G$49)/(1-$G$42),(E91-$G$49)*(1+$G$42))))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/(1-$G$42-$J$48)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IF(D92="","",$J$41+IF($G$40="pons",$G$50/($G$48-MAX(0,(C92-$G$43)*$D$45)/(1-$G$42-$J$48))-$G$49,IF($G$40="four-stock",(E92-$G$49)/(1-$G$42),(E92-$G$49)*(1+$G$42))))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/(1-$G$42-$J$48)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IF(D93="","",$J$41+IF($G$40="pons",$G$50/($G$48-MAX(0,(C93-$G$43)*$D$45)/(1-$G$42-$J$48))-$G$49,IF($G$40="four-stock",(E93-$G$49)/(1-$G$42),(E93-$G$49)*(1+$G$42))))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/(1-$G$42-$J$48)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IF(D94="","",$J$41+IF($G$40="pons",$G$50/($G$48-MAX(0,(C94-$G$43)*$D$45)/(1-$G$42-$J$48))-$G$49,IF($G$40="four-stock",(E94-$G$49)/(1-$G$42),(E94-$G$49)*(1+$G$42))))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/(1-$G$42-$J$48)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IF(D95="","",$J$41+IF($G$40="pons",$G$50/($G$48-MAX(0,(C95-$G$43)*$D$45)/(1-$G$42-$J$48))-$G$49,IF($G$40="four-stock",(E95-$G$49)/(1-$G$42),(E95-$G$49)*(1+$G$42))))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/(1-$G$42-$J$48)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IF(D96="","",$J$41+IF($G$40="pons",$G$50/($G$48-MAX(0,(C96-$G$43)*$D$45)/(1-$G$42-$J$48))-$G$49,IF($G$40="four-stock",(E96-$G$49)/(1-$G$42),(E96-$G$49)*(1+$G$42))))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/(1-$G$42-$J$48)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IF(D97="","",$J$41+IF($G$40="pons",$G$50/($G$48-MAX(0,(C97-$G$43)*$D$45)/(1-$G$42-$J$48))-$G$49,IF($G$40="four-stock",(E97-$G$49)/(1-$G$42),(E97-$G$49)*(1+$G$42))))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/(1-$G$42-$J$48)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IF(D98="","",$J$41+IF($G$40="pons",$G$50/($G$48-MAX(0,(C98-$G$43)*$D$45)/(1-$G$42-$J$48))-$G$49,IF($G$40="four-stock",(E98-$G$49)/(1-$G$42),(E98-$G$49)*(1+$G$42))))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/(1-$G$42-$J$48)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IF(D99="","",$J$41+IF($G$40="pons",$G$50/($G$48-MAX(0,(C99-$G$43)*$D$45)/(1-$G$42-$J$48))-$G$49,IF($G$40="four-stock",(E99-$G$49)/(1-$G$42),(E99-$G$49)*(1+$G$42))))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/(1-$G$42-$J$48)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IF(D100="","",$J$41+IF($G$40="pons",$G$50/($G$48-MAX(0,(C100-$G$43)*$D$45)/(1-$G$42-$J$48))-$G$49,IF($G$40="four-stock",(E100-$G$49)/(1-$G$42),(E100-$G$49)*(1+$G$42))))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/(1-$G$42-$J$48)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IF(D101="","",$J$41+IF($G$40="pons",$G$50/($G$48-MAX(0,(C101-$G$43)*$D$45)/(1-$G$42-$J$48))-$G$49,IF($G$40="four-stock",(E101-$G$49)/(1-$G$42),(E101-$G$49)*(1+$G$42))))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/(1-$G$42-$J$48)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IF(D102="","",$J$41+IF($G$40="pons",$G$50/($G$48-MAX(0,(C102-$G$43)*$D$45)/(1-$G$42-$J$48))-$G$49,IF($G$40="four-stock",(E102-$G$49)/(1-$G$42),(E102-$G$49)*(1+$G$42))))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/(1-$G$42-$J$48)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IF(D103="","",$J$41+IF($G$40="pons",$G$50/($G$48-MAX(0,(C103-$G$43)*$D$45)/(1-$G$42-$J$48))-$G$49,IF($G$40="four-stock",(E103-$G$49)/(1-$G$42),(E103-$G$49)*(1+$G$42))))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/(1-$G$42-$J$48)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IF(D104="","",$J$41+IF($G$40="pons",$G$50/($G$48-MAX(0,(C104-$G$43)*$D$45)/(1-$G$42-$J$48))-$G$49,IF($G$40="four-stock",(E104-$G$49)/(1-$G$42),(E104-$G$49)*(1+$G$42))))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/(1-$G$42-$J$48)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IF(D105="","",$J$41+IF($G$40="pons",$G$50/($G$48-MAX(0,(C105-$G$43)*$D$45)/(1-$G$42-$J$48))-$G$49,IF($G$40="four-stock",(E105-$G$49)/(1-$G$42),(E105-$G$49)*(1+$G$42))))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/(1-$G$42-$J$48)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IF(D106="","",$J$41+IF($G$40="pons",$G$50/($G$48-MAX(0,(C106-$G$43)*$D$45)/(1-$G$42-$J$48))-$G$49,IF($G$40="four-stock",(E106-$G$49)/(1-$G$42),(E106-$G$49)*(1+$G$42))))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/(1-$G$42-$J$48)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IF(D107="","",$J$41+IF($G$40="pons",$G$50/($G$48-MAX(0,(C107-$G$43)*$D$45)/(1-$G$42-$J$48))-$G$49,IF($G$40="four-stock",(E107-$G$49)/(1-$G$42),(E107-$G$49)*(1+$G$42))))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/(1-$G$42-$J$48)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IF(D108="","",$J$41+IF($G$40="pons",$G$50/($G$48-MAX(0,(C108-$G$43)*$D$45)/(1-$G$42-$J$48))-$G$49,IF($G$40="four-stock",(E108-$G$49)/(1-$G$42),(E108-$G$49)*(1+$G$42))))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/(1-$G$42-$J$48)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IF(D109="","",$J$41+IF($G$40="pons",$G$50/($G$48-MAX(0,(C109-$G$43)*$D$45)/(1-$G$42-$J$48))-$G$49,IF($G$40="four-stock",(E109-$G$49)/(1-$G$42),(E109-$G$49)*(1+$G$42))))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/(1-$G$42-$J$48)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IF(D110="","",$J$41+IF($G$40="pons",$G$50/($G$48-MAX(0,(C110-$G$43)*$D$45)/(1-$G$42-$J$48))-$G$49,IF($G$40="four-stock",(E110-$G$49)/(1-$G$42),(E110-$G$49)*(1+$G$42))))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/(1-$G$42-$J$48)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IF(D111="","",$J$41+IF($G$40="pons",$G$50/($G$48-MAX(0,(C111-$G$43)*$D$45)/(1-$G$42-$J$48))-$G$49,IF($G$40="four-stock",(E111-$G$49)/(1-$G$42),(E111-$G$49)*(1+$G$42))))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/(1-$G$42-$J$48)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IF(D112="","",$J$41+IF($G$40="pons",$G$50/($G$48-MAX(0,(C112-$G$43)*$D$45)/(1-$G$42-$J$48))-$G$49,IF($G$40="four-stock",(E112-$G$49)/(1-$G$42),(E112-$G$49)*(1+$G$42))))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/(1-$G$42-$J$48)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IF(D113="","",$J$41+IF($G$40="pons",$G$50/($G$48-MAX(0,(C113-$G$43)*$D$45)/(1-$G$42-$J$48))-$G$49,IF($G$40="four-stock",(E113-$G$49)/(1-$G$42),(E113-$G$49)*(1+$G$42))))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0.999604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46285.27349457176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损耗按目标加缓冲的 FDV × 双边费率。外盘手续费仅在扣 Base/TOKEN 时降低控筹率；只扣 Quote 时补回为 0。补回按 Base/TOKEN 缺口及现有外盘曲线差额估算，非逐笔模拟。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6.4377</v>
      </c>
      <c r="I14" s="17">
        <v>752.7981080507881</v>
      </c>
      <c r="J14" s="6">
        <v>46285.27349457176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