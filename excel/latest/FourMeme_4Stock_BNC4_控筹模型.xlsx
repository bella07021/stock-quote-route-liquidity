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4c30b153f4e2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ffe7e1a924f44acc"/>
    <sheet name="控筹测算" sheetId="2" r:id="Rd15db576cb5b4c33"/>
    <sheet name="内外盘曲线" sheetId="3" r:id="R5319507f9c6c4c5e"/>
    <sheet name="洗筹明细" sheetId="4" r:id="R0e2c89e81b7e455c"/>
    <sheet name="参数与来源" sheetId="5" r:id="R65d0f1aaffda4dd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6618a549e4d45" /><Relationship Type="http://schemas.openxmlformats.org/officeDocument/2006/relationships/theme" Target="/xl/theme/theme1.xml" Id="R117c58010d53405f" /><Relationship Type="http://schemas.openxmlformats.org/officeDocument/2006/relationships/sharedStrings" Target="/xl/sharedStrings.xml" Id="R3fb7bf47d9464ee0" /><Relationship Type="http://schemas.openxmlformats.org/officeDocument/2006/relationships/worksheet" Target="/xl/worksheets/sheet1.xml" Id="Rffe7e1a924f44acc" /><Relationship Type="http://schemas.openxmlformats.org/officeDocument/2006/relationships/worksheet" Target="/xl/worksheets/sheet2.xml" Id="Rd15db576cb5b4c33" /><Relationship Type="http://schemas.openxmlformats.org/officeDocument/2006/relationships/worksheet" Target="/xl/worksheets/sheet3.xml" Id="R5319507f9c6c4c5e" /><Relationship Type="http://schemas.openxmlformats.org/officeDocument/2006/relationships/worksheet" Target="/xl/worksheets/sheet4.xml" Id="R0e2c89e81b7e455c" /><Relationship Type="http://schemas.openxmlformats.org/officeDocument/2006/relationships/worksheet" Target="/xl/worksheets/sheet5.xml" Id="R65d0f1aaffda4d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黄色格可编辑。手动价格留空用指定池每日价；预留按 10,000 USDT ÷ 有效价格向上取整。Gas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IF(AND(ISNUMBER('参数与来源'!$N$19),'参数与来源'!$N$19&gt;0),ROUNDUP('参数与来源'!$N$11/'参数与来源'!$N$19,0),"")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手动价格 / USDT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 t="str">
        <v>有效价格 / USDT</v>
      </c>
      <c r="L15" s="435">
        <f>'参数与来源'!$N$19</f>
      </c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IF(OR('参数与来源'!$N$19="",NOT(ISNUMBER(G19))),"",G19*'参数与来源'!$N$19)</f>
      </c>
      <c r="I19" s="279">
        <f>G19*'参数与来源'!$D$8</f>
      </c>
      <c r="J19" s="279">
        <f>IF(AND(ISNUMBER('参数与来源'!$N$19),'参数与来源'!$N$19&gt;0),(IF('参数与来源'!$N$19="","",I19*'参数与来源'!$N$19))*'参数与来源'!$N$8,"")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IF(OR('参数与来源'!$N$19="",NOT(ISNUMBER(G20))),"",G20*'参数与来源'!$N$19)</f>
      </c>
      <c r="I20" s="298">
        <f>G20*'参数与来源'!$D$8</f>
      </c>
      <c r="J20" s="298">
        <f>IF(AND(ISNUMBER('参数与来源'!$N$19),'参数与来源'!$N$19&gt;0),(IF('参数与来源'!$N$19="","",I20*'参数与来源'!$N$19))*'参数与来源'!$N$8,"")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IF(OR('参数与来源'!$N$19="",NOT(ISNUMBER(G21))),"",G21*'参数与来源'!$N$19)</f>
      </c>
      <c r="I21" s="298">
        <f>G21*'参数与来源'!$D$8</f>
      </c>
      <c r="J21" s="298">
        <f>IF(AND(ISNUMBER('参数与来源'!$N$19),'参数与来源'!$N$19&gt;0),(IF('参数与来源'!$N$19="","",I21*'参数与来源'!$N$19))*'参数与来源'!$N$8,"")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IF(OR('参数与来源'!$N$19="",NOT(ISNUMBER(G22))),"",G22*'参数与来源'!$N$19)</f>
      </c>
      <c r="I22" s="298">
        <f>G22*'参数与来源'!$D$8</f>
      </c>
      <c r="J22" s="298">
        <f>IF(AND(ISNUMBER('参数与来源'!$N$19),'参数与来源'!$N$19&gt;0),(IF('参数与来源'!$N$19="","",I22*'参数与来源'!$N$19))*'参数与来源'!$N$8,"")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IF(OR('参数与来源'!$N$19="",NOT(ISNUMBER(G23))),"",G23*'参数与来源'!$N$19)</f>
      </c>
      <c r="I23" s="298">
        <f>G23*'参数与来源'!$D$8</f>
      </c>
      <c r="J23" s="298">
        <f>IF(AND(ISNUMBER('参数与来源'!$N$19),'参数与来源'!$N$19&gt;0),(IF('参数与来源'!$N$19="","",I23*'参数与来源'!$N$19))*'参数与来源'!$N$8,"")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IF(OR('参数与来源'!$N$19="",NOT(ISNUMBER(G24))),"",G24*'参数与来源'!$N$19)</f>
      </c>
      <c r="I24" s="298">
        <f>G24*'参数与来源'!$D$8</f>
      </c>
      <c r="J24" s="298">
        <f>IF(AND(ISNUMBER('参数与来源'!$N$19),'参数与来源'!$N$19&gt;0),(IF('参数与来源'!$N$19="","",I24*'参数与来源'!$N$19))*'参数与来源'!$N$8,"")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IF(OR('参数与来源'!$N$19="",NOT(ISNUMBER(G25))),"",G25*'参数与来源'!$N$19)</f>
      </c>
      <c r="I25" s="298">
        <f>G25*'参数与来源'!$D$8</f>
      </c>
      <c r="J25" s="298">
        <f>IF(AND(ISNUMBER('参数与来源'!$N$19),'参数与来源'!$N$19&gt;0),(IF('参数与来源'!$N$19="","",I25*'参数与来源'!$N$19))*'参数与来源'!$N$8,"")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IF(OR('参数与来源'!$N$19="",NOT(ISNUMBER(G26))),"",G26*'参数与来源'!$N$19)</f>
      </c>
      <c r="I26" s="298">
        <f>G26*'参数与来源'!$D$8</f>
      </c>
      <c r="J26" s="298">
        <f>IF(AND(ISNUMBER('参数与来源'!$N$19),'参数与来源'!$N$19&gt;0),(IF('参数与来源'!$N$19="","",I26*'参数与来源'!$N$19))*'参数与来源'!$N$8,"")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IF(OR('参数与来源'!$N$19="",NOT(ISNUMBER(G27))),"",G27*'参数与来源'!$N$19)</f>
      </c>
      <c r="I27" s="311">
        <f>G27*'参数与来源'!$D$8</f>
      </c>
      <c r="J27" s="311">
        <f>IF(AND(ISNUMBER('参数与来源'!$N$19),'参数与来源'!$N$19&gt;0),(IF('参数与来源'!$N$19="","",I27*'参数与来源'!$N$19))*'参数与来源'!$N$8,"")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IF(OR('参数与来源'!$N$19="",NOT(ISNUMBER(G32))),"",G32*'参数与来源'!$N$19)</f>
      </c>
      <c r="I32" s="324">
        <f>IF(G32="","",G32*'参数与来源'!$D$8)</f>
      </c>
      <c r="J32" s="324">
        <f>IF(AND(ISNUMBER('参数与来源'!$N$19),'参数与来源'!$N$19&gt;0),(IF(OR('参数与来源'!$N$19="",I32=""),"",I32*'参数与来源'!$N$19))*'参数与来源'!$N$8,"")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IF(OR('参数与来源'!$N$19="",NOT(ISNUMBER(G33))),"",G33*'参数与来源'!$N$19)</f>
      </c>
      <c r="I33" s="298">
        <f>IF(G33="","",G33*'参数与来源'!$D$8)</f>
      </c>
      <c r="J33" s="298">
        <f>IF(AND(ISNUMBER('参数与来源'!$N$19),'参数与来源'!$N$19&gt;0),(IF(OR('参数与来源'!$N$19="",I33=""),"",I33*'参数与来源'!$N$19))*'参数与来源'!$N$8,"")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IF(OR('参数与来源'!$N$19="",NOT(ISNUMBER(G34))),"",G34*'参数与来源'!$N$19)</f>
      </c>
      <c r="I34" s="298">
        <f>IF(G34="","",G34*'参数与来源'!$D$8)</f>
      </c>
      <c r="J34" s="298">
        <f>IF(AND(ISNUMBER('参数与来源'!$N$19),'参数与来源'!$N$19&gt;0),(IF(OR('参数与来源'!$N$19="",I34=""),"",I34*'参数与来源'!$N$19))*'参数与来源'!$N$8,"")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IF(OR('参数与来源'!$N$19="",NOT(ISNUMBER(G35))),"",G35*'参数与来源'!$N$19)</f>
      </c>
      <c r="I35" s="298">
        <f>IF(G35="","",G35*'参数与来源'!$D$8)</f>
      </c>
      <c r="J35" s="298">
        <f>IF(AND(ISNUMBER('参数与来源'!$N$19),'参数与来源'!$N$19&gt;0),(IF(OR('参数与来源'!$N$19="",I35=""),"",I35*'参数与来源'!$N$19))*'参数与来源'!$N$8,"")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IF(OR('参数与来源'!$N$19="",NOT(ISNUMBER(G36))),"",G36*'参数与来源'!$N$19)</f>
      </c>
      <c r="I36" s="298">
        <f>IF(G36="","",G36*'参数与来源'!$D$8)</f>
      </c>
      <c r="J36" s="298">
        <f>IF(AND(ISNUMBER('参数与来源'!$N$19),'参数与来源'!$N$19&gt;0),(IF(OR('参数与来源'!$N$19="",I36=""),"",I36*'参数与来源'!$N$19))*'参数与来源'!$N$8,"")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IF(OR('参数与来源'!$N$19="",NOT(ISNUMBER(G37))),"",G37*'参数与来源'!$N$19)</f>
      </c>
      <c r="I37" s="298">
        <f>IF(G37="","",G37*'参数与来源'!$D$8)</f>
      </c>
      <c r="J37" s="298">
        <f>IF(AND(ISNUMBER('参数与来源'!$N$19),'参数与来源'!$N$19&gt;0),(IF(OR('参数与来源'!$N$19="",I37=""),"",I37*'参数与来源'!$N$19))*'参数与来源'!$N$8,"")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IF(OR('参数与来源'!$N$19="",NOT(ISNUMBER(G38))),"",G38*'参数与来源'!$N$19)</f>
      </c>
      <c r="I38" s="298">
        <f>IF(G38="","",G38*'参数与来源'!$D$8)</f>
      </c>
      <c r="J38" s="298">
        <f>IF(AND(ISNUMBER('参数与来源'!$N$19),'参数与来源'!$N$19&gt;0),(IF(OR('参数与来源'!$N$19="",I38=""),"",I38*'参数与来源'!$N$19))*'参数与来源'!$N$8,"")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IF(OR('参数与来源'!$N$19="",NOT(ISNUMBER(G39))),"",G39*'参数与来源'!$N$19)</f>
      </c>
      <c r="I39" s="298">
        <f>IF(G39="","",G39*'参数与来源'!$D$8)</f>
      </c>
      <c r="J39" s="298">
        <f>IF(AND(ISNUMBER('参数与来源'!$N$19),'参数与来源'!$N$19&gt;0),(IF(OR('参数与来源'!$N$19="",I39=""),"",I39*'参数与来源'!$N$19))*'参数与来源'!$N$8,"")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IF(OR('参数与来源'!$N$19="",NOT(ISNUMBER(G40))),"",G40*'参数与来源'!$N$19)</f>
      </c>
      <c r="I40" s="298">
        <f>IF(G40="","",G40*'参数与来源'!$D$8)</f>
      </c>
      <c r="J40" s="298">
        <f>IF(AND(ISNUMBER('参数与来源'!$N$19),'参数与来源'!$N$19&gt;0),(IF(OR('参数与来源'!$N$19="",I40=""),"",I40*'参数与来源'!$N$19))*'参数与来源'!$N$8,"")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IF(OR('参数与来源'!$N$19="",NOT(ISNUMBER(G41))),"",G41*'参数与来源'!$N$19)</f>
      </c>
      <c r="I41" s="298">
        <f>IF(G41="","",G41*'参数与来源'!$D$8)</f>
      </c>
      <c r="J41" s="298">
        <f>IF(AND(ISNUMBER('参数与来源'!$N$19),'参数与来源'!$N$19&gt;0),(IF(OR('参数与来源'!$N$19="",I41=""),"",I41*'参数与来源'!$N$19))*'参数与来源'!$N$8,"")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IF(OR('参数与来源'!$N$19="",NOT(ISNUMBER(G42))),"",G42*'参数与来源'!$N$19)</f>
      </c>
      <c r="I42" s="298">
        <f>IF(G42="","",G42*'参数与来源'!$D$8)</f>
      </c>
      <c r="J42" s="298">
        <f>IF(AND(ISNUMBER('参数与来源'!$N$19),'参数与来源'!$N$19&gt;0),(IF(OR('参数与来源'!$N$19="",I42=""),"",I42*'参数与来源'!$N$19))*'参数与来源'!$N$8,"")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IF(OR('参数与来源'!$N$19="",NOT(ISNUMBER(G43))),"",G43*'参数与来源'!$N$19)</f>
      </c>
      <c r="I43" s="298">
        <f>IF(G43="","",G43*'参数与来源'!$D$8)</f>
      </c>
      <c r="J43" s="298">
        <f>IF(AND(ISNUMBER('参数与来源'!$N$19),'参数与来源'!$N$19&gt;0),(IF(OR('参数与来源'!$N$19="",I43=""),"",I43*'参数与来源'!$N$19))*'参数与来源'!$N$8,"")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IF(OR('参数与来源'!$N$19="",NOT(ISNUMBER(G44))),"",G44*'参数与来源'!$N$19)</f>
      </c>
      <c r="I44" s="298">
        <f>IF(G44="","",G44*'参数与来源'!$D$8)</f>
      </c>
      <c r="J44" s="298">
        <f>IF(AND(ISNUMBER('参数与来源'!$N$19),'参数与来源'!$N$19&gt;0),(IF(OR('参数与来源'!$N$19="",I44=""),"",I44*'参数与来源'!$N$19))*'参数与来源'!$N$8,"")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IF(OR('参数与来源'!$N$19="",NOT(ISNUMBER(G45))),"",G45*'参数与来源'!$N$19)</f>
      </c>
      <c r="I45" s="298">
        <f>IF(G45="","",G45*'参数与来源'!$D$8)</f>
      </c>
      <c r="J45" s="298">
        <f>IF(AND(ISNUMBER('参数与来源'!$N$19),'参数与来源'!$N$19&gt;0),(IF(OR('参数与来源'!$N$19="",I45=""),"",I45*'参数与来源'!$N$19))*'参数与来源'!$N$8,"")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IF(OR('参数与来源'!$N$19="",NOT(ISNUMBER(G46))),"",G46*'参数与来源'!$N$19)</f>
      </c>
      <c r="I46" s="298">
        <f>IF(G46="","",G46*'参数与来源'!$D$8)</f>
      </c>
      <c r="J46" s="298">
        <f>IF(AND(ISNUMBER('参数与来源'!$N$19),'参数与来源'!$N$19&gt;0),(IF(OR('参数与来源'!$N$19="",I46=""),"",I46*'参数与来源'!$N$19))*'参数与来源'!$N$8,"")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IF(OR('参数与来源'!$N$19="",NOT(ISNUMBER(G47))),"",G47*'参数与来源'!$N$19)</f>
      </c>
      <c r="I47" s="298">
        <f>IF(G47="","",G47*'参数与来源'!$D$8)</f>
      </c>
      <c r="J47" s="298">
        <f>IF(AND(ISNUMBER('参数与来源'!$N$19),'参数与来源'!$N$19&gt;0),(IF(OR('参数与来源'!$N$19="",I47=""),"",I47*'参数与来源'!$N$19))*'参数与来源'!$N$8,"")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IF(OR('参数与来源'!$N$19="",NOT(ISNUMBER(G48))),"",G48*'参数与来源'!$N$19)</f>
      </c>
      <c r="I48" s="298">
        <f>IF(G48="","",G48*'参数与来源'!$D$8)</f>
      </c>
      <c r="J48" s="298">
        <f>IF(AND(ISNUMBER('参数与来源'!$N$19),'参数与来源'!$N$19&gt;0),(IF(OR('参数与来源'!$N$19="",I48=""),"",I48*'参数与来源'!$N$19))*'参数与来源'!$N$8,"")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IF(OR('参数与来源'!$N$19="",NOT(ISNUMBER(G49))),"",G49*'参数与来源'!$N$19)</f>
      </c>
      <c r="I49" s="298">
        <f>IF(G49="","",G49*'参数与来源'!$D$8)</f>
      </c>
      <c r="J49" s="298">
        <f>IF(AND(ISNUMBER('参数与来源'!$N$19),'参数与来源'!$N$19&gt;0),(IF(OR('参数与来源'!$N$19="",I49=""),"",I49*'参数与来源'!$N$19))*'参数与来源'!$N$8,"")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IF(OR('参数与来源'!$N$19="",NOT(ISNUMBER(G50))),"",G50*'参数与来源'!$N$19)</f>
      </c>
      <c r="I50" s="298">
        <f>IF(G50="","",G50*'参数与来源'!$D$8)</f>
      </c>
      <c r="J50" s="298">
        <f>IF(AND(ISNUMBER('参数与来源'!$N$19),'参数与来源'!$N$19&gt;0),(IF(OR('参数与来源'!$N$19="",I50=""),"",I50*'参数与来源'!$N$19))*'参数与来源'!$N$8,"")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IF(OR('参数与来源'!$N$19="",NOT(ISNUMBER(G51))),"",G51*'参数与来源'!$N$19)</f>
      </c>
      <c r="I51" s="298">
        <f>IF(G51="","",G51*'参数与来源'!$D$8)</f>
      </c>
      <c r="J51" s="298">
        <f>IF(AND(ISNUMBER('参数与来源'!$N$19),'参数与来源'!$N$19&gt;0),(IF(OR('参数与来源'!$N$19="",I51=""),"",I51*'参数与来源'!$N$19))*'参数与来源'!$N$8,"")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IF(OR('参数与来源'!$N$19="",NOT(ISNUMBER(G52))),"",G52*'参数与来源'!$N$19)</f>
      </c>
      <c r="I52" s="298">
        <f>IF(G52="","",G52*'参数与来源'!$D$8)</f>
      </c>
      <c r="J52" s="298">
        <f>IF(AND(ISNUMBER('参数与来源'!$N$19),'参数与来源'!$N$19&gt;0),(IF(OR('参数与来源'!$N$19="",I52=""),"",I52*'参数与来源'!$N$19))*'参数与来源'!$N$8,"")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IF(OR('参数与来源'!$N$19="",NOT(ISNUMBER(G53))),"",G53*'参数与来源'!$N$19)</f>
      </c>
      <c r="I53" s="298">
        <f>IF(G53="","",G53*'参数与来源'!$D$8)</f>
      </c>
      <c r="J53" s="298">
        <f>IF(AND(ISNUMBER('参数与来源'!$N$19),'参数与来源'!$N$19&gt;0),(IF(OR('参数与来源'!$N$19="",I53=""),"",I53*'参数与来源'!$N$19))*'参数与来源'!$N$8,"")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IF(OR('参数与来源'!$N$19="",NOT(ISNUMBER(G54))),"",G54*'参数与来源'!$N$19)</f>
      </c>
      <c r="I54" s="348">
        <f>IF(G54="","",G54*'参数与来源'!$D$8)</f>
      </c>
      <c r="J54" s="348">
        <f>IF(AND(ISNUMBER('参数与来源'!$N$19),'参数与来源'!$N$19&gt;0),(IF(OR('参数与来源'!$N$19="",I54=""),"",I54*'参数与来源'!$N$19))*'参数与来源'!$N$8,"")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IF(OR('参数与来源'!$N$19="",NOT(ISNUMBER(G59))),"",G59*'参数与来源'!$N$19)</f>
      </c>
      <c r="I59" s="279">
        <f>G59*'参数与来源'!$D$8</f>
      </c>
      <c r="J59" s="279">
        <f>IF(AND(ISNUMBER('参数与来源'!$N$19),'参数与来源'!$N$19&gt;0),(IF('参数与来源'!$N$19="","",I59*'参数与来源'!$N$19))*'参数与来源'!$N$8,"")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IF(OR('参数与来源'!$N$19="",NOT(ISNUMBER(G60))),"",G60*'参数与来源'!$N$19)</f>
      </c>
      <c r="I60" s="298">
        <f>G60*'参数与来源'!$D$8</f>
      </c>
      <c r="J60" s="298">
        <f>IF(AND(ISNUMBER('参数与来源'!$N$19),'参数与来源'!$N$19&gt;0),(IF('参数与来源'!$N$19="","",I60*'参数与来源'!$N$19))*'参数与来源'!$N$8,"")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IF(OR('参数与来源'!$N$19="",NOT(ISNUMBER(G61))),"",G61*'参数与来源'!$N$19)</f>
      </c>
      <c r="I61" s="298">
        <f>G61*'参数与来源'!$D$8</f>
      </c>
      <c r="J61" s="298">
        <f>IF(AND(ISNUMBER('参数与来源'!$N$19),'参数与来源'!$N$19&gt;0),(IF('参数与来源'!$N$19="","",I61*'参数与来源'!$N$19))*'参数与来源'!$N$8,"")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IF(OR('参数与来源'!$N$19="",NOT(ISNUMBER(G62))),"",G62*'参数与来源'!$N$19)</f>
      </c>
      <c r="I62" s="298">
        <f>G62*'参数与来源'!$D$8</f>
      </c>
      <c r="J62" s="298">
        <f>IF(AND(ISNUMBER('参数与来源'!$N$19),'参数与来源'!$N$19&gt;0),(IF('参数与来源'!$N$19="","",I62*'参数与来源'!$N$19))*'参数与来源'!$N$8,"")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IF(OR('参数与来源'!$N$19="",NOT(ISNUMBER(G63))),"",G63*'参数与来源'!$N$19)</f>
      </c>
      <c r="I63" s="298">
        <f>G63*'参数与来源'!$D$8</f>
      </c>
      <c r="J63" s="298">
        <f>IF(AND(ISNUMBER('参数与来源'!$N$19),'参数与来源'!$N$19&gt;0),(IF('参数与来源'!$N$19="","",I63*'参数与来源'!$N$19))*'参数与来源'!$N$8,"")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IF(OR('参数与来源'!$N$19="",NOT(ISNUMBER(G64))),"",G64*'参数与来源'!$N$19)</f>
      </c>
      <c r="I64" s="298">
        <f>G64*'参数与来源'!$D$8</f>
      </c>
      <c r="J64" s="298">
        <f>IF(AND(ISNUMBER('参数与来源'!$N$19),'参数与来源'!$N$19&gt;0),(IF('参数与来源'!$N$19="","",I64*'参数与来源'!$N$19))*'参数与来源'!$N$8,"")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IF(OR('参数与来源'!$N$19="",NOT(ISNUMBER(G65))),"",G65*'参数与来源'!$N$19)</f>
      </c>
      <c r="I65" s="298">
        <f>G65*'参数与来源'!$D$8</f>
      </c>
      <c r="J65" s="298">
        <f>IF(AND(ISNUMBER('参数与来源'!$N$19),'参数与来源'!$N$19&gt;0),(IF('参数与来源'!$N$19="","",I65*'参数与来源'!$N$19))*'参数与来源'!$N$8,"")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IF(OR('参数与来源'!$N$19="",NOT(ISNUMBER(G66))),"",G66*'参数与来源'!$N$19)</f>
      </c>
      <c r="I66" s="298">
        <f>G66*'参数与来源'!$D$8</f>
      </c>
      <c r="J66" s="298">
        <f>IF(AND(ISNUMBER('参数与来源'!$N$19),'参数与来源'!$N$19&gt;0),(IF('参数与来源'!$N$19="","",I66*'参数与来源'!$N$19))*'参数与来源'!$N$8,"")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IF(OR('参数与来源'!$N$19="",NOT(ISNUMBER(G67))),"",G67*'参数与来源'!$N$19)</f>
      </c>
      <c r="I67" s="348">
        <f>G67*'参数与来源'!$D$8</f>
      </c>
      <c r="J67" s="348">
        <f>IF(AND(ISNUMBER('参数与来源'!$N$19),'参数与来源'!$N$19&gt;0),(IF('参数与来源'!$N$19="","",I67*'参数与来源'!$N$19))*'参数与来源'!$N$8,"")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IF('控筹模型'!L14="","",'控筹模型'!L14)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有效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IF(OR('参数与来源'!$N$19="",NOT(ISNUMBER(N7))),"",N7*'参数与来源'!$N$19)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IF(OR('参数与来源'!$N$19="",NOT(ISNUMBER(N8))),"",N8*'参数与来源'!$N$19)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IF(OR('参数与来源'!$N$19="",NOT(ISNUMBER(N9))),"",N9*'参数与来源'!$N$19)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IF(OR('参数与来源'!$N$19="",NOT(ISNUMBER(N10))),"",N10*'参数与来源'!$N$19)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IF(OR('参数与来源'!$N$19="",NOT(ISNUMBER(N11))),"",N11*'参数与来源'!$N$19)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IF(OR('参数与来源'!$N$19="",NOT(ISNUMBER(N12))),"",N12*'参数与来源'!$N$19)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IF(OR('参数与来源'!$N$19="",NOT(ISNUMBER(N13))),"",N13*'参数与来源'!$N$19)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IF(OR('参数与来源'!$N$19="",NOT(ISNUMBER(N14))),"",N14*'参数与来源'!$N$19)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IF(OR('参数与来源'!$N$19="",NOT(ISNUMBER(N15))),"",N15*'参数与来源'!$N$19)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IF(OR('参数与来源'!$N$19="",NOT(ISNUMBER(N16))),"",N16*'参数与来源'!$N$19)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IF(OR('参数与来源'!$N$19="",NOT(ISNUMBER(N17))),"",N17*'参数与来源'!$N$19)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IF(OR('参数与来源'!$N$19="",NOT(ISNUMBER(N18))),"",N18*'参数与来源'!$N$19)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IF(OR('参数与来源'!$N$19="",NOT(ISNUMBER(N19))),"",N19*'参数与来源'!$N$19)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IF(OR('参数与来源'!$N$19="",NOT(ISNUMBER(N20))),"",N20*'参数与来源'!$N$19)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IF(OR('参数与来源'!$N$19="",NOT(ISNUMBER(N21))),"",N21*'参数与来源'!$N$19)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IF(OR('参数与来源'!$N$19="",NOT(ISNUMBER(N22))),"",N22*'参数与来源'!$N$19)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IF(OR('参数与来源'!$N$19="",NOT(ISNUMBER(N23))),"",N23*'参数与来源'!$N$19)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IF(OR('参数与来源'!$N$19="",NOT(ISNUMBER(N24))),"",N24*'参数与来源'!$N$19)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IF(OR('参数与来源'!$N$19="",NOT(ISNUMBER(N25))),"",N25*'参数与来源'!$N$19)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IF(OR('参数与来源'!$N$19="",NOT(ISNUMBER(N26))),"",N26*'参数与来源'!$N$19)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IF(OR('参数与来源'!$N$19="",NOT(ISNUMBER(N27))),"",N27*'参数与来源'!$N$19)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IF(OR('参数与来源'!$N$19="",NOT(ISNUMBER(N28))),"",N28*'参数与来源'!$N$19)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IF(OR('参数与来源'!$N$19="",NOT(ISNUMBER(N29))),"",N29*'参数与来源'!$N$19)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IF(OR('参数与来源'!$N$19="",NOT(ISNUMBER(N30))),"",N30*'参数与来源'!$N$19)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IF(OR('参数与来源'!$N$19="",NOT(ISNUMBER(N31))),"",N31*'参数与来源'!$N$19)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IF(OR('参数与来源'!$N$19="",NOT(ISNUMBER(N32))),"",N32*'参数与来源'!$N$19)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IF(OR('参数与来源'!$N$19="",NOT(ISNUMBER(N33))),"",N33*'参数与来源'!$N$19)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IF(OR('参数与来源'!$N$19="",NOT(ISNUMBER(N34))),"",N34*'参数与来源'!$N$19)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IF(OR('参数与来源'!$N$19="",NOT(ISNUMBER(N35))),"",N35*'参数与来源'!$N$19)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IF(OR('参数与来源'!$N$19="",NOT(ISNUMBER(N36))),"",N36*'参数与来源'!$N$19)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0.999197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2026-09-18T09:31:01.466Z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752.7144296870387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2026-09-18T09:31:01.466Z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  <c r="M15" t="str">
        <v>BNC4 / USDT 每日价格</v>
      </c>
      <c r="N15" s="434">
        <v>5.7682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  <c r="M16" t="str">
        <v>BNC4 价格时间 / UTC</v>
      </c>
      <c r="N16" t="inlineStr">
        <is>
          <t>2026-09-18T09:31:01.466Z</t>
        </is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  <c r="M17" t="str">
        <v>BNC4 价格来源</v>
      </c>
      <c r="N17" t="inlineStr">
        <is>
          <t>https://dexscreener.com/bsc/0xbec6906a984f4695aca0f15bafa7de5eb45b54ab</t>
        </is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  <c r="M18" t="str">
        <v>BNC4 指定交易池</v>
      </c>
      <c r="N18" t="inlineStr">
        <is>
          <t>0xbec6906a984f4695aca0f15bafa7de5eb45b54ab</t>
        </is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  <c r="M19" t="str">
        <v>BNC4 有效价格 / USDT</v>
      </c>
      <c r="N19" s="434">
        <f>IF(AND(ISNUMBER('控筹模型'!$L$14),'控筹模型'!$L$14&gt;0),'控筹模型'!$L$14,IF(AND(ISNUMBER($N$15),$N$15&gt;0),$N$15,""))</f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