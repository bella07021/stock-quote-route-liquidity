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94c30b153f4e2f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ffe7e1a924f44acc"/>
    <sheet name="控筹测算" sheetId="2" r:id="Rd15db576cb5b4c33"/>
    <sheet name="内外盘曲线" sheetId="3" r:id="R5319507f9c6c4c5e"/>
    <sheet name="洗筹明细" sheetId="4" r:id="R0e2c89e81b7e455c"/>
    <sheet name="参数与来源" sheetId="5" r:id="R65d0f1aaffda4dd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"/>
    <x:numFmt numFmtId="201" formatCode="0.00%"/>
    <x:numFmt numFmtId="202" formatCode="#,##0.000000000"/>
    <x:numFmt numFmtId="203" formatCode="0.0000%"/>
    <x:numFmt numFmtId="204" formatCode="0.000000000000"/>
    <x:numFmt numFmtId="205" formatCode="#,##0.000000"/>
    <x:numFmt numFmtId="206" formatCode="0.000%"/>
    <x:numFmt numFmtId="207" formatCode="@"/>
    <x:numFmt numFmtId="208" formatCode="0.0000000000"/>
    <x:numFmt numFmtId="209" formatCode="General"/>
    <x:numFmt numFmtId="210" formatCode="0.000000"/>
  </x:numFmts>
  <x:fonts count="30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b/>
      <x:sz val="9"/>
      <x:color rgb="FF172033"/>
      <x:name val="Arial"/>
    </x:font>
    <x:font>
      <x:sz val="9"/>
      <x:color rgb="FF008000"/>
      <x:name val="Arial"/>
    </x:font>
    <x:font>
      <x:i/>
      <x:sz val="8"/>
      <x:color rgb="FF667085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i/>
      <x:sz val="9"/>
      <x:color rgb="FF111827"/>
      <x:name val="Arial"/>
    </x:font>
    <x:font>
      <x:b/>
      <x:sz val="9"/>
      <x:color rgb="FFFFFFFF"/>
      <x:name val="Arial"/>
    </x:font>
    <x:font>
      <x:b/>
      <x:sz val="10"/>
      <x:color rgb="FF172033"/>
      <x:name val="Arial"/>
    </x:font>
    <x:font>
      <x:sz val="10"/>
      <x:color rgb="FF008000"/>
      <x:name val="Arial"/>
    </x:font>
    <x:font>
      <x:i/>
      <x:sz val="9"/>
      <x:color rgb="FF667085"/>
      <x:name val="Arial"/>
    </x:font>
    <x:font>
      <x:b/>
      <x:sz val="11"/>
      <x:color rgb="FF172033"/>
      <x:name val="Arial"/>
    </x:font>
    <x:font>
      <x:sz val="9"/>
      <x:color rgb="FF667085"/>
      <x:name val="Arial"/>
    </x:font>
    <x:font>
      <x:b/>
      <x:sz val="17"/>
      <x:color rgb="FFFFFFFF"/>
      <x:name val="Arial"/>
    </x:font>
    <x:font>
      <x:sz val="9"/>
      <x:color rgb="FF48752C"/>
      <x:name val="Arial"/>
    </x:font>
    <x:font>
      <x:b/>
      <x:sz val="9"/>
      <x:color rgb="FF20557D"/>
      <x:name val="Arial"/>
    </x:font>
    <x:font>
      <x:sz val="7"/>
      <x:color rgb="FF48752C"/>
      <x:name val="Arial"/>
    </x:font>
    <x:font>
      <x:b/>
      <x:sz val="9"/>
      <x:color rgb="FF48752C"/>
      <x:name val="Arial"/>
    </x:font>
    <x:font>
      <x:b/>
      <x:i/>
      <x:sz val="10"/>
      <x:color rgb="FF172033"/>
      <x:name val="Arial"/>
    </x:font>
    <x:font>
      <x:sz val="10"/>
      <x:color rgb="FF0000FF"/>
      <x:name val="Arial"/>
    </x:font>
    <x:font>
      <x:sz val="9"/>
      <x:color rgb="FF0000FF"/>
      <x:name val="Arial"/>
    </x:font>
    <x:font>
      <x:b/>
      <x:sz val="9"/>
      <x:color rgb="FF172033"/>
      <x:name val="Arial"/>
    </x:font>
    <x:font>
      <x:sz val="9"/>
      <x:color rgb="FF111827"/>
      <x:name val="Arial"/>
    </x:font>
    <x:font>
      <x:b/>
      <x:sz val="9"/>
      <x:color rgb="FF48752C"/>
      <x:name val="Arial"/>
    </x:font>
    <x:font>
      <x:sz val="9"/>
      <x:color rgb="FFFFC628"/>
      <x:name val="Arial"/>
    </x:font>
    <x:font>
      <x:b/>
      <x:sz val="9"/>
      <x:color rgb="FFFFFFFF"/>
      <x:name val="Arial"/>
    </x:font>
    <x:font>
      <x:sz val="9"/>
      <x:color rgb="FF008000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26344D"/>
      </x:patternFill>
    </x:fill>
    <x:fill>
      <x:patternFill patternType="solid">
        <x:fgColor rgb="FFEAF6E2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E9F3DB"/>
      </x:patternFill>
    </x:fill>
    <x:fill>
      <x:patternFill patternType="solid">
        <x:fgColor rgb="FFD9EAF7"/>
      </x:patternFill>
    </x:fill>
    <x:fill>
      <x:patternFill patternType="solid">
        <x:fgColor rgb="FFABCAE3"/>
      </x:patternFill>
    </x:fill>
    <x:fill>
      <x:patternFill patternType="solid">
        <x:fgColor rgb="FFF1F9D1"/>
      </x:patternFill>
    </x:fill>
    <x:fill>
      <x:patternFill patternType="solid">
        <x:fgColor rgb="FFFFF4CC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9F3DB"/>
      </x:patternFill>
    </x:fill>
    <x:fill>
      <x:patternFill patternType="solid">
        <x:fgColor rgb="FFABCAE3"/>
      </x:patternFill>
    </x:fill>
    <x:fill>
      <x:patternFill patternType="solid">
        <x:fgColor rgb="FFFFFDE8"/>
      </x:patternFill>
    </x:fill>
    <x:fill>
      <x:patternFill patternType="solid">
        <x:fgColor rgb="FF26344D"/>
      </x:patternFill>
    </x:fill>
  </x:fills>
  <x:borders count="22">
    <x:border/>
    <x:border>
      <x:bottom style="thin">
        <x:color rgb="FF26344D"/>
      </x:bottom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</x:border>
    <x:border>
      <x:left style="thin">
        <x:color rgb="FF172033"/>
      </x:left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left style="medium">
        <x:color rgb="FF172033"/>
      </x:left>
      <x:right style="medium">
        <x:color rgb="FF172033"/>
      </x:right>
      <x:top style="medium">
        <x:color rgb="FF172033"/>
      </x:top>
      <x:bottom style="medium">
        <x:color rgb="FF172033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  <x:border>
      <x:right style="thin">
        <x:color rgb="FFAFC6D7"/>
      </x:right>
    </x:border>
    <x:border>
      <x:left style="thin">
        <x:color rgb="FFAFC6D7"/>
      </x:left>
      <x:right style="thin">
        <x:color rgb="FFAFC6D7"/>
      </x:right>
    </x:border>
    <x:border>
      <x:left style="thin">
        <x:color rgb="FFAFC6D7"/>
      </x:left>
    </x:border>
    <x:border>
      <x:top style="double">
        <x:color rgb="FF667085"/>
      </x:top>
      <x:bottom style="thin">
        <x:color rgb="FFE6EAF0"/>
      </x:bottom>
    </x:border>
    <x:border>
      <x:left style="medium">
        <x:color rgb="FF172033"/>
      </x:left>
      <x:right style="medium">
        <x:color rgb="FF172033"/>
      </x:right>
      <x:top style="double">
        <x:color rgb="FF667085"/>
      </x:top>
      <x:bottom style="thin">
        <x:color rgb="FFE6EAF0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436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7" fillId="0" borderId="0" xfId="0" applyNumberFormat="1" applyFont="1" applyFill="1" applyBorder="1"/>
    <x:xf numFmtId="200" fontId="8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4" fontId="8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01" fontId="8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203" fontId="8" fillId="0" borderId="0" xfId="0" applyNumberFormat="1" applyFont="1" applyFill="1" applyBorder="1" applyAlignment="1">
      <x:alignment vertical="center"/>
    </x:xf>
    <x:xf numFmtId="204" fontId="8" fillId="0" borderId="0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200" fontId="8" fillId="0" borderId="5" xfId="0" applyNumberFormat="1" applyFont="1" applyFill="1" applyBorder="1" applyAlignment="1">
      <x:alignment vertical="center"/>
    </x:xf>
    <x:xf numFmtId="0" fontId="8" fillId="0" borderId="5" xfId="0" applyNumberFormat="1" applyFont="1" applyFill="1" applyBorder="1" applyAlignment="1">
      <x:alignment vertical="center"/>
    </x:xf>
    <x:xf numFmtId="0" fontId="9" fillId="0" borderId="5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/>
    </x:xf>
    <x:xf numFmtId="200" fontId="8" fillId="0" borderId="6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0" fontId="9" fillId="0" borderId="6" xfId="0" applyNumberFormat="1" applyFont="1" applyFill="1" applyBorder="1" applyAlignment="1">
      <x:alignment vertical="center" wrapText="1"/>
    </x:xf>
    <x:xf numFmtId="201" fontId="8" fillId="0" borderId="6" xfId="0" applyNumberFormat="1" applyFont="1" applyFill="1" applyBorder="1" applyAlignment="1">
      <x:alignment vertical="center"/>
    </x:xf>
    <x:xf numFmtId="202" fontId="8" fillId="0" borderId="6" xfId="0" applyNumberFormat="1" applyFont="1" applyFill="1" applyBorder="1" applyAlignment="1">
      <x:alignment vertical="center"/>
    </x:xf>
    <x:xf numFmtId="203" fontId="8" fillId="0" borderId="6" xfId="0" applyNumberFormat="1" applyFont="1" applyFill="1" applyBorder="1" applyAlignment="1">
      <x:alignment vertical="center"/>
    </x:xf>
    <x:xf numFmtId="0" fontId="7" fillId="0" borderId="7" xfId="0" applyNumberFormat="1" applyFont="1" applyFill="1" applyBorder="1" applyAlignment="1">
      <x:alignment vertical="center"/>
    </x:xf>
    <x:xf numFmtId="204" fontId="8" fillId="0" borderId="7" xfId="0" applyNumberFormat="1" applyFont="1" applyFill="1" applyBorder="1" applyAlignment="1">
      <x:alignment vertical="center"/>
    </x:xf>
    <x:xf numFmtId="0" fontId="8" fillId="0" borderId="7" xfId="0" applyNumberFormat="1" applyFont="1" applyFill="1" applyBorder="1" applyAlignment="1">
      <x:alignment vertical="center"/>
    </x:xf>
    <x:xf numFmtId="0" fontId="9" fillId="0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0" fillId="3" borderId="0" xfId="0" applyNumberFormat="1" applyFont="1" applyFill="1" applyBorder="1"/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 applyAlignment="1">
      <x:alignment vertical="center" wrapText="1"/>
    </x:xf>
    <x:xf numFmtId="0" fontId="8" fillId="0" borderId="7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0" fillId="4" borderId="0" xfId="0" applyNumberFormat="1" applyFont="1" applyFill="1" applyBorder="1"/>
    <x:xf numFmtId="0" fontId="12" fillId="4" borderId="0" xfId="0" applyNumberFormat="1" applyFont="1" applyFill="1" applyBorder="1"/>
    <x:xf numFmtId="0" fontId="12" fillId="4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201" fontId="12" fillId="4" borderId="0" xfId="0" applyNumberFormat="1" applyFont="1" applyFill="1" applyBorder="1" applyAlignment="1">
      <x:alignment horizontal="right"/>
    </x:xf>
    <x:xf numFmtId="200" fontId="12" fillId="4" borderId="0" xfId="0" applyNumberFormat="1" applyFont="1" applyFill="1" applyBorder="1" applyAlignment="1">
      <x:alignment horizontal="right"/>
    </x:xf>
    <x:xf numFmtId="205" fontId="12" fillId="4" borderId="0" xfId="0" applyNumberFormat="1" applyFont="1" applyFill="1" applyBorder="1" applyAlignment="1">
      <x:alignment horizontal="right"/>
    </x:xf>
    <x:xf numFmtId="202" fontId="8" fillId="0" borderId="5" xfId="0" applyNumberFormat="1" applyFont="1" applyFill="1" applyBorder="1" applyAlignment="1">
      <x:alignment vertical="center"/>
    </x:xf>
    <x:xf numFmtId="201" fontId="8" fillId="0" borderId="7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201" fontId="8" fillId="0" borderId="5" xfId="0" applyNumberFormat="1" applyFont="1" applyFill="1" applyBorder="1" applyAlignment="1">
      <x:alignment vertical="center"/>
    </x:xf>
    <x:xf numFmtId="205" fontId="8" fillId="0" borderId="6" xfId="0" applyNumberFormat="1" applyFont="1" applyFill="1" applyBorder="1" applyAlignment="1">
      <x:alignment vertical="center"/>
    </x:xf>
    <x:xf numFmtId="205" fontId="8" fillId="0" borderId="7" xfId="0" applyNumberFormat="1" applyFont="1" applyFill="1" applyBorder="1" applyAlignment="1">
      <x:alignment vertical="center"/>
    </x:xf>
    <x:xf numFmtId="205" fontId="8" fillId="4" borderId="6" xfId="0" applyNumberFormat="1" applyFont="1" applyFill="1" applyBorder="1" applyAlignment="1">
      <x:alignment vertical="center"/>
    </x:xf>
    <x:xf numFmtId="205" fontId="14" fillId="4" borderId="6" xfId="0" applyNumberFormat="1" applyFont="1" applyFill="1" applyBorder="1" applyAlignment="1">
      <x:alignment vertical="center"/>
    </x:xf>
    <x:xf numFmtId="205" fontId="14" fillId="4" borderId="12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205" fontId="8" fillId="0" borderId="5" xfId="0" applyNumberFormat="1" applyFont="1" applyFill="1" applyBorder="1" applyAlignment="1">
      <x:alignment vertical="center"/>
    </x:xf>
    <x:xf numFmtId="204" fontId="8" fillId="0" borderId="5" xfId="0" applyNumberFormat="1" applyFont="1" applyFill="1" applyBorder="1" applyAlignment="1">
      <x:alignment vertical="center"/>
    </x:xf>
    <x:xf numFmtId="204" fontId="8" fillId="0" borderId="6" xfId="0" applyNumberFormat="1" applyFont="1" applyFill="1" applyBorder="1" applyAlignment="1">
      <x:alignment vertical="center"/>
    </x:xf>
    <x:xf numFmtId="205" fontId="5" fillId="0" borderId="5" xfId="0" applyNumberFormat="1" applyFont="1" applyFill="1" applyBorder="1" applyAlignment="1">
      <x:alignment vertical="center"/>
    </x:xf>
    <x:xf numFmtId="204" fontId="5" fillId="0" borderId="5" xfId="0" applyNumberFormat="1" applyFont="1" applyFill="1" applyBorder="1" applyAlignment="1">
      <x:alignment vertical="center"/>
    </x:xf>
    <x:xf numFmtId="205" fontId="5" fillId="0" borderId="6" xfId="0" applyNumberFormat="1" applyFont="1" applyFill="1" applyBorder="1" applyAlignment="1">
      <x:alignment vertical="center"/>
    </x:xf>
    <x:xf numFmtId="204" fontId="5" fillId="0" borderId="6" xfId="0" applyNumberFormat="1" applyFont="1" applyFill="1" applyBorder="1" applyAlignment="1">
      <x:alignment vertical="center"/>
    </x:xf>
    <x:xf numFmtId="205" fontId="5" fillId="0" borderId="7" xfId="0" applyNumberFormat="1" applyFont="1" applyFill="1" applyBorder="1" applyAlignment="1">
      <x:alignment vertical="center"/>
    </x:xf>
    <x:xf numFmtId="204" fontId="5" fillId="0" borderId="7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/>
    <x:xf numFmtId="205" fontId="8" fillId="0" borderId="0" xfId="0" applyNumberFormat="1" applyFont="1" applyFill="1" applyBorder="1"/>
    <x:xf numFmtId="205" fontId="8" fillId="0" borderId="0" xfId="0" applyNumberFormat="1" applyFont="1" applyFill="1" applyBorder="1" applyAlignment="1">
      <x:alignment vertical="center"/>
    </x:xf>
    <x:xf numFmtId="205" fontId="8" fillId="4" borderId="7" xfId="0" applyNumberFormat="1" applyFont="1" applyFill="1" applyBorder="1" applyAlignment="1">
      <x:alignment vertical="center"/>
    </x:xf>
    <x:xf numFmtId="205" fontId="14" fillId="4" borderId="7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top" wrapText="1"/>
    </x:xf>
    <x:xf numFmtId="0" fontId="8" fillId="5" borderId="0" xfId="0" applyNumberFormat="1" applyFont="1" applyFill="1" applyBorder="1"/>
    <x:xf numFmtId="0" fontId="16" fillId="5" borderId="0" xfId="0" applyNumberFormat="1" applyFont="1" applyFill="1" applyBorder="1"/>
    <x:xf numFmtId="0" fontId="8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/>
    <x:xf numFmtId="0" fontId="8" fillId="0" borderId="13" xfId="0" applyNumberFormat="1" applyFont="1" applyFill="1" applyBorder="1"/>
    <x:xf numFmtId="0" fontId="8" fillId="0" borderId="14" xfId="0" applyNumberFormat="1" applyFont="1" applyFill="1" applyBorder="1"/>
    <x:xf numFmtId="0" fontId="8" fillId="0" borderId="15" xfId="0" applyNumberFormat="1" applyFont="1" applyFill="1" applyBorder="1"/>
    <x:xf numFmtId="0" fontId="8" fillId="0" borderId="13" xfId="0" applyNumberFormat="1" applyFont="1" applyFill="1" applyBorder="1" applyAlignment="1">
      <x:alignment vertical="center"/>
    </x:xf>
    <x:xf numFmtId="0" fontId="8" fillId="0" borderId="14" xfId="0" applyNumberFormat="1" applyFont="1" applyFill="1" applyBorder="1" applyAlignment="1">
      <x:alignment vertical="center"/>
    </x:xf>
    <x:xf numFmtId="0" fontId="8" fillId="0" borderId="15" xfId="0" applyNumberFormat="1" applyFont="1" applyFill="1" applyBorder="1" applyAlignment="1">
      <x:alignment vertical="center"/>
    </x:xf>
    <x:xf numFmtId="0" fontId="8" fillId="7" borderId="13" xfId="0" applyNumberFormat="1" applyFont="1" applyFill="1" applyBorder="1" applyAlignment="1">
      <x:alignment vertical="center"/>
    </x:xf>
    <x:xf numFmtId="0" fontId="8" fillId="7" borderId="14" xfId="0" applyNumberFormat="1" applyFont="1" applyFill="1" applyBorder="1" applyAlignment="1">
      <x:alignment vertical="center"/>
    </x:xf>
    <x:xf numFmtId="0" fontId="8" fillId="7" borderId="15" xfId="0" applyNumberFormat="1" applyFont="1" applyFill="1" applyBorder="1" applyAlignment="1">
      <x:alignment vertical="center"/>
    </x:xf>
    <x:xf numFmtId="0" fontId="17" fillId="7" borderId="13" xfId="0" applyNumberFormat="1" applyFont="1" applyFill="1" applyBorder="1" applyAlignment="1">
      <x:alignment vertical="center"/>
    </x:xf>
    <x:xf numFmtId="0" fontId="17" fillId="7" borderId="14" xfId="0" applyNumberFormat="1" applyFont="1" applyFill="1" applyBorder="1" applyAlignment="1">
      <x:alignment vertical="center"/>
    </x:xf>
    <x:xf numFmtId="0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/>
    </x:xf>
    <x:xf numFmtId="205" fontId="17" fillId="7" borderId="14" xfId="0" applyNumberFormat="1" applyFont="1" applyFill="1" applyBorder="1" applyAlignment="1">
      <x:alignment vertical="center"/>
    </x:xf>
    <x:xf numFmtId="205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 wrapText="1"/>
    </x:xf>
    <x:xf numFmtId="205" fontId="17" fillId="7" borderId="14" xfId="0" applyNumberFormat="1" applyFont="1" applyFill="1" applyBorder="1" applyAlignment="1">
      <x:alignment vertical="center" wrapText="1"/>
    </x:xf>
    <x:xf numFmtId="205" fontId="17" fillId="7" borderId="15" xfId="0" applyNumberFormat="1" applyFont="1" applyFill="1" applyBorder="1" applyAlignment="1">
      <x:alignment vertical="center" wrapText="1"/>
    </x:xf>
    <x:xf numFmtId="206" fontId="17" fillId="7" borderId="14" xfId="0" applyNumberFormat="1" applyFont="1" applyFill="1" applyBorder="1" applyAlignment="1">
      <x:alignment vertical="center" wrapText="1"/>
    </x:xf>
    <x:xf numFmtId="206" fontId="17" fillId="7" borderId="15" xfId="0" applyNumberFormat="1" applyFont="1" applyFill="1" applyBorder="1" applyAlignment="1">
      <x:alignment vertical="center" wrapText="1"/>
    </x:xf>
    <x:xf numFmtId="206" fontId="17" fillId="7" borderId="13" xfId="0" applyNumberFormat="1" applyFont="1" applyFill="1" applyBorder="1" applyAlignment="1">
      <x:alignment vertical="center" wrapText="1"/>
    </x:xf>
    <x:xf numFmtId="200" fontId="17" fillId="7" borderId="14" xfId="0" applyNumberFormat="1" applyFont="1" applyFill="1" applyBorder="1" applyAlignment="1">
      <x:alignment vertical="center" wrapText="1"/>
    </x:xf>
    <x:xf numFmtId="205" fontId="17" fillId="8" borderId="13" xfId="0" applyNumberFormat="1" applyFont="1" applyFill="1" applyBorder="1" applyAlignment="1">
      <x:alignment vertical="center" wrapText="1"/>
    </x:xf>
    <x:xf numFmtId="205" fontId="18" fillId="8" borderId="13" xfId="0" applyNumberFormat="1" applyFont="1" applyFill="1" applyBorder="1" applyAlignment="1">
      <x:alignment vertical="center" wrapText="1"/>
    </x:xf>
    <x:xf numFmtId="207" fontId="17" fillId="7" borderId="14" xfId="0" applyNumberFormat="1" applyFont="1" applyFill="1" applyBorder="1" applyAlignment="1">
      <x:alignment vertical="center" wrapText="1"/>
    </x:xf>
    <x:xf numFmtId="207" fontId="19" fillId="7" borderId="14" xfId="0" applyNumberFormat="1" applyFont="1" applyFill="1" applyBorder="1" applyAlignment="1">
      <x:alignment vertical="center" wrapText="1"/>
    </x:xf>
    <x:xf numFmtId="204" fontId="17" fillId="7" borderId="15" xfId="0" applyNumberFormat="1" applyFont="1" applyFill="1" applyBorder="1" applyAlignment="1">
      <x:alignment vertical="center" wrapText="1"/>
    </x:xf>
    <x:xf numFmtId="0" fontId="20" fillId="0" borderId="14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6" xfId="0" applyNumberFormat="1" applyFont="1" applyFill="1" applyBorder="1"/>
    <x:xf numFmtId="0" fontId="4" fillId="8" borderId="17" xfId="0" applyNumberFormat="1" applyFont="1" applyFill="1" applyBorder="1"/>
    <x:xf numFmtId="0" fontId="4" fillId="8" borderId="18" xfId="0" applyNumberFormat="1" applyFont="1" applyFill="1" applyBorder="1"/>
    <x:xf numFmtId="0" fontId="4" fillId="8" borderId="16" xfId="0" applyNumberFormat="1" applyFont="1" applyFill="1" applyBorder="1" applyAlignment="1">
      <x:alignment wrapText="1"/>
    </x:xf>
    <x:xf numFmtId="0" fontId="4" fillId="8" borderId="17" xfId="0" applyNumberFormat="1" applyFont="1" applyFill="1" applyBorder="1" applyAlignment="1">
      <x:alignment wrapText="1"/>
    </x:xf>
    <x:xf numFmtId="0" fontId="4" fillId="8" borderId="18" xfId="0" applyNumberFormat="1" applyFont="1" applyFill="1" applyBorder="1" applyAlignment="1">
      <x:alignment wrapText="1"/>
    </x:xf>
    <x:xf numFmtId="0" fontId="4" fillId="8" borderId="16" xfId="0" applyNumberFormat="1" applyFont="1" applyFill="1" applyBorder="1" applyAlignment="1">
      <x:alignment horizontal="center" wrapText="1"/>
    </x:xf>
    <x:xf numFmtId="0" fontId="4" fillId="8" borderId="17" xfId="0" applyNumberFormat="1" applyFont="1" applyFill="1" applyBorder="1" applyAlignment="1">
      <x:alignment horizontal="center" wrapText="1"/>
    </x:xf>
    <x:xf numFmtId="0" fontId="4" fillId="8" borderId="18" xfId="0" applyNumberFormat="1" applyFont="1" applyFill="1" applyBorder="1" applyAlignment="1">
      <x:alignment horizontal="center" wrapText="1"/>
    </x:xf>
    <x:xf numFmtId="0" fontId="4" fillId="8" borderId="16" xfId="0" applyNumberFormat="1" applyFont="1" applyFill="1" applyBorder="1" applyAlignment="1">
      <x:alignment horizontal="center" vertical="center" wrapText="1"/>
    </x:xf>
    <x:xf numFmtId="0" fontId="4" fillId="8" borderId="17" xfId="0" applyNumberFormat="1" applyFont="1" applyFill="1" applyBorder="1" applyAlignment="1">
      <x:alignment horizontal="center" vertical="center" wrapText="1"/>
    </x:xf>
    <x:xf numFmtId="0" fontId="4" fillId="8" borderId="18" xfId="0" applyNumberFormat="1" applyFont="1" applyFill="1" applyBorder="1" applyAlignment="1">
      <x:alignment horizontal="center" vertical="center" wrapText="1"/>
    </x:xf>
    <x:xf numFmtId="205" fontId="8" fillId="0" borderId="13" xfId="0" applyNumberFormat="1" applyFont="1" applyFill="1" applyBorder="1"/>
    <x:xf numFmtId="205" fontId="8" fillId="0" borderId="14" xfId="0" applyNumberFormat="1" applyFont="1" applyFill="1" applyBorder="1"/>
    <x:xf numFmtId="205" fontId="8" fillId="0" borderId="15" xfId="0" applyNumberFormat="1" applyFont="1" applyFill="1" applyBorder="1"/>
    <x:xf numFmtId="205" fontId="8" fillId="0" borderId="13" xfId="0" applyNumberFormat="1" applyFont="1" applyFill="1" applyBorder="1" applyAlignment="1">
      <x:alignment vertical="center"/>
    </x:xf>
    <x:xf numFmtId="205" fontId="8" fillId="0" borderId="14" xfId="0" applyNumberFormat="1" applyFont="1" applyFill="1" applyBorder="1" applyAlignment="1">
      <x:alignment vertical="center"/>
    </x:xf>
    <x:xf numFmtId="205" fontId="8" fillId="0" borderId="15" xfId="0" applyNumberFormat="1" applyFont="1" applyFill="1" applyBorder="1" applyAlignment="1">
      <x:alignment vertical="center"/>
    </x:xf>
    <x:xf numFmtId="206" fontId="8" fillId="0" borderId="13" xfId="0" applyNumberFormat="1" applyFont="1" applyFill="1" applyBorder="1" applyAlignment="1">
      <x:alignment vertical="center"/>
    </x:xf>
    <x:xf numFmtId="206" fontId="8" fillId="0" borderId="14" xfId="0" applyNumberFormat="1" applyFont="1" applyFill="1" applyBorder="1" applyAlignment="1">
      <x:alignment vertical="center"/>
    </x:xf>
    <x:xf numFmtId="206" fontId="8" fillId="0" borderId="15" xfId="0" applyNumberFormat="1" applyFont="1" applyFill="1" applyBorder="1" applyAlignment="1">
      <x:alignment vertical="center"/>
    </x:xf>
    <x:xf numFmtId="204" fontId="8" fillId="0" borderId="13" xfId="0" applyNumberFormat="1" applyFont="1" applyFill="1" applyBorder="1" applyAlignment="1">
      <x:alignment vertical="center"/>
    </x:xf>
    <x:xf numFmtId="204" fontId="8" fillId="0" borderId="14" xfId="0" applyNumberFormat="1" applyFont="1" applyFill="1" applyBorder="1" applyAlignment="1">
      <x:alignment vertical="center"/>
    </x:xf>
    <x:xf numFmtId="204" fontId="8" fillId="0" borderId="15" xfId="0" applyNumberFormat="1" applyFont="1" applyFill="1" applyBorder="1" applyAlignment="1">
      <x:alignment vertical="center"/>
    </x:xf>
    <x:xf numFmtId="205" fontId="8" fillId="7" borderId="13" xfId="0" applyNumberFormat="1" applyFont="1" applyFill="1" applyBorder="1" applyAlignment="1">
      <x:alignment vertical="center"/>
    </x:xf>
    <x:xf numFmtId="205" fontId="8" fillId="7" borderId="14" xfId="0" applyNumberFormat="1" applyFont="1" applyFill="1" applyBorder="1" applyAlignment="1">
      <x:alignment vertical="center"/>
    </x:xf>
    <x:xf numFmtId="205" fontId="8" fillId="7" borderId="15" xfId="0" applyNumberFormat="1" applyFont="1" applyFill="1" applyBorder="1" applyAlignment="1">
      <x:alignment vertical="center"/>
    </x:xf>
    <x:xf numFmtId="205" fontId="20" fillId="7" borderId="13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/>
    </x:xf>
    <x:xf numFmtId="205" fontId="20" fillId="7" borderId="15" xfId="0" applyNumberFormat="1" applyFont="1" applyFill="1" applyBorder="1" applyAlignment="1">
      <x:alignment vertical="center"/>
    </x:xf>
    <x:xf numFmtId="206" fontId="8" fillId="9" borderId="15" xfId="0" applyNumberFormat="1" applyFont="1" applyFill="1" applyBorder="1" applyAlignment="1">
      <x:alignment vertical="center"/>
    </x:xf>
    <x:xf numFmtId="205" fontId="8" fillId="9" borderId="15" xfId="0" applyNumberFormat="1" applyFont="1" applyFill="1" applyBorder="1" applyAlignment="1">
      <x:alignment vertical="center"/>
    </x:xf>
    <x:xf numFmtId="204" fontId="8" fillId="9" borderId="15" xfId="0" applyNumberFormat="1" applyFont="1" applyFill="1" applyBorder="1" applyAlignment="1">
      <x:alignment vertical="center"/>
    </x:xf>
    <x:xf numFmtId="206" fontId="4" fillId="9" borderId="15" xfId="0" applyNumberFormat="1" applyFont="1" applyFill="1" applyBorder="1" applyAlignment="1">
      <x:alignment vertical="center"/>
    </x:xf>
    <x:xf numFmtId="205" fontId="4" fillId="9" borderId="15" xfId="0" applyNumberFormat="1" applyFont="1" applyFill="1" applyBorder="1" applyAlignment="1">
      <x:alignment vertical="center"/>
    </x:xf>
    <x:xf numFmtId="204" fontId="4" fillId="9" borderId="15" xfId="0" applyNumberFormat="1" applyFont="1" applyFill="1" applyBorder="1" applyAlignment="1">
      <x:alignment vertical="center"/>
    </x:xf>
    <x:xf numFmtId="206" fontId="8" fillId="9" borderId="13" xfId="0" applyNumberFormat="1" applyFont="1" applyFill="1" applyBorder="1" applyAlignment="1">
      <x:alignment vertical="center"/>
    </x:xf>
    <x:xf numFmtId="205" fontId="8" fillId="9" borderId="13" xfId="0" applyNumberFormat="1" applyFont="1" applyFill="1" applyBorder="1" applyAlignment="1">
      <x:alignment vertical="center"/>
    </x:xf>
    <x:xf numFmtId="204" fontId="8" fillId="9" borderId="13" xfId="0" applyNumberFormat="1" applyFont="1" applyFill="1" applyBorder="1" applyAlignment="1">
      <x:alignment vertical="center"/>
    </x:xf>
    <x:xf numFmtId="206" fontId="4" fillId="9" borderId="13" xfId="0" applyNumberFormat="1" applyFont="1" applyFill="1" applyBorder="1" applyAlignment="1">
      <x:alignment vertical="center"/>
    </x:xf>
    <x:xf numFmtId="205" fontId="4" fillId="9" borderId="13" xfId="0" applyNumberFormat="1" applyFont="1" applyFill="1" applyBorder="1" applyAlignment="1">
      <x:alignment vertical="center"/>
    </x:xf>
    <x:xf numFmtId="204" fontId="4" fillId="9" borderId="13" xfId="0" applyNumberFormat="1" applyFont="1" applyFill="1" applyBorder="1" applyAlignment="1">
      <x:alignment vertical="center"/>
    </x:xf>
    <x:xf numFmtId="201" fontId="8" fillId="0" borderId="13" xfId="0" applyNumberFormat="1" applyFont="1" applyFill="1" applyBorder="1" applyAlignment="1">
      <x:alignment vertical="center"/>
    </x:xf>
    <x:xf numFmtId="201" fontId="8" fillId="0" borderId="14" xfId="0" applyNumberFormat="1" applyFont="1" applyFill="1" applyBorder="1" applyAlignment="1">
      <x:alignment vertical="center"/>
    </x:xf>
    <x:xf numFmtId="201" fontId="8" fillId="0" borderId="15" xfId="0" applyNumberFormat="1" applyFont="1" applyFill="1" applyBorder="1" applyAlignment="1">
      <x:alignment vertical="center"/>
    </x:xf>
    <x:xf numFmtId="0" fontId="11" fillId="10" borderId="6" xfId="0" applyNumberFormat="1" applyFont="1" applyFill="1" applyBorder="1" applyAlignment="1">
      <x:alignment vertical="center"/>
    </x:xf>
    <x:xf numFmtId="205" fontId="14" fillId="10" borderId="12" xfId="0" applyNumberFormat="1" applyFont="1" applyFill="1" applyBorder="1" applyAlignment="1">
      <x:alignment vertical="center"/>
    </x:xf>
    <x:xf numFmtId="0" fontId="8" fillId="10" borderId="6" xfId="0" applyNumberFormat="1" applyFont="1" applyFill="1" applyBorder="1" applyAlignment="1">
      <x:alignment vertical="center"/>
    </x:xf>
    <x:xf numFmtId="0" fontId="6" fillId="10" borderId="6" xfId="0" applyNumberFormat="1" applyFont="1" applyFill="1" applyBorder="1" applyAlignment="1">
      <x:alignment vertical="center" wrapText="1"/>
    </x:xf>
    <x:xf numFmtId="205" fontId="11" fillId="10" borderId="12" xfId="0" applyNumberFormat="1" applyFont="1" applyFill="1" applyBorder="1" applyAlignment="1">
      <x:alignment vertical="center"/>
    </x:xf>
    <x:xf numFmtId="0" fontId="21" fillId="10" borderId="6" xfId="0" applyNumberFormat="1" applyFont="1" applyFill="1" applyBorder="1" applyAlignment="1">
      <x:alignment vertical="center" wrapText="1"/>
    </x:xf>
    <x:xf numFmtId="0" fontId="11" fillId="10" borderId="19" xfId="0" applyNumberFormat="1" applyFont="1" applyFill="1" applyBorder="1" applyAlignment="1">
      <x:alignment vertical="center"/>
    </x:xf>
    <x:xf numFmtId="205" fontId="11" fillId="10" borderId="20" xfId="0" applyNumberFormat="1" applyFont="1" applyFill="1" applyBorder="1" applyAlignment="1">
      <x:alignment vertical="center"/>
    </x:xf>
    <x:xf numFmtId="0" fontId="21" fillId="10" borderId="19" xfId="0" applyNumberFormat="1" applyFont="1" applyFill="1" applyBorder="1" applyAlignment="1">
      <x:alignment vertical="center" wrapText="1"/>
    </x:xf>
    <x:xf numFmtId="206" fontId="17" fillId="11" borderId="14" xfId="0" applyNumberFormat="1" applyFont="1" applyFill="1" applyBorder="1" applyAlignment="1">
      <x:alignment vertical="center" wrapText="1"/>
    </x:xf>
    <x:xf numFmtId="206" fontId="22" fillId="11" borderId="14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horizontal="right" vertical="center" wrapText="1"/>
    </x:xf>
    <x:xf numFmtId="206" fontId="23" fillId="11" borderId="21" xfId="0" applyNumberFormat="1" applyFont="1" applyFill="1" applyBorder="1" applyAlignment="1">
      <x:alignment horizontal="right" vertical="center" wrapText="1"/>
    </x:xf>
    <x:xf numFmtId="205" fontId="17" fillId="11" borderId="14" xfId="0" applyNumberFormat="1" applyFont="1" applyFill="1" applyBorder="1" applyAlignment="1">
      <x:alignment vertical="center" wrapText="1"/>
    </x:xf>
    <x:xf numFmtId="205" fontId="22" fillId="11" borderId="14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horizontal="right" vertical="center" wrapText="1"/>
    </x:xf>
    <x:xf numFmtId="205" fontId="23" fillId="11" borderId="21" xfId="0" applyNumberFormat="1" applyFont="1" applyFill="1" applyBorder="1" applyAlignment="1">
      <x:alignment horizontal="right" vertical="center" wrapText="1"/>
    </x:xf>
    <x:xf numFmtId="200" fontId="17" fillId="11" borderId="14" xfId="0" applyNumberFormat="1" applyFont="1" applyFill="1" applyBorder="1" applyAlignment="1">
      <x:alignment vertical="center" wrapText="1"/>
    </x:xf>
    <x:xf numFmtId="200" fontId="22" fillId="11" borderId="14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horizontal="right" vertical="center" wrapText="1"/>
    </x:xf>
    <x:xf numFmtId="200" fontId="23" fillId="11" borderId="21" xfId="0" applyNumberFormat="1" applyFont="1" applyFill="1" applyBorder="1" applyAlignment="1">
      <x:alignment horizontal="right" vertical="center" wrapText="1"/>
    </x:xf>
    <x:xf numFmtId="206" fontId="17" fillId="11" borderId="15" xfId="0" applyNumberFormat="1" applyFont="1" applyFill="1" applyBorder="1" applyAlignment="1">
      <x:alignment vertical="center" wrapText="1"/>
    </x:xf>
    <x:xf numFmtId="206" fontId="22" fillId="11" borderId="15" xfId="0" applyNumberFormat="1" applyFont="1" applyFill="1" applyBorder="1" applyAlignment="1">
      <x:alignment vertical="center" wrapText="1"/>
    </x:xf>
    <x:xf numFmtId="205" fontId="17" fillId="11" borderId="15" xfId="0" applyNumberFormat="1" applyFont="1" applyFill="1" applyBorder="1" applyAlignment="1">
      <x:alignment vertical="center" wrapText="1"/>
    </x:xf>
    <x:xf numFmtId="205" fontId="22" fillId="11" borderId="15" xfId="0" applyNumberFormat="1" applyFont="1" applyFill="1" applyBorder="1" applyAlignment="1">
      <x:alignment vertical="center" wrapText="1"/>
    </x:xf>
    <x:xf numFmtId="205" fontId="8" fillId="7" borderId="14" xfId="0" applyNumberFormat="1" applyFont="1" applyFill="1" applyBorder="1" applyAlignment="1">
      <x:alignment vertical="center" wrapText="1"/>
    </x:xf>
    <x:xf numFmtId="206" fontId="8" fillId="7" borderId="14" xfId="0" applyNumberFormat="1" applyFont="1" applyFill="1" applyBorder="1" applyAlignment="1">
      <x:alignment vertical="center" wrapText="1"/>
    </x:xf>
    <x:xf numFmtId="205" fontId="8" fillId="7" borderId="15" xfId="0" applyNumberFormat="1" applyFont="1" applyFill="1" applyBorder="1" applyAlignment="1">
      <x:alignment vertical="center" wrapText="1"/>
    </x:xf>
    <x:xf numFmtId="206" fontId="12" fillId="4" borderId="0" xfId="0" applyNumberFormat="1" applyFont="1" applyFill="1" applyBorder="1" applyAlignment="1">
      <x:alignment horizontal="right"/>
    </x:xf>
    <x:xf numFmtId="0" fontId="4" fillId="8" borderId="17" xfId="0" applyNumberFormat="1" applyFont="1" applyFill="1" applyBorder="1" applyAlignment="1">
      <x:alignment horizontal="center" vertical="center" wrapText="0"/>
    </x:xf>
    <x:xf numFmtId="205" fontId="8" fillId="0" borderId="13" xfId="0" applyNumberFormat="1" applyFont="1" applyFill="1" applyBorder="1" applyAlignment="1">
      <x:alignment vertical="center" wrapText="0"/>
    </x:xf>
    <x:xf numFmtId="205" fontId="8" fillId="0" borderId="14" xfId="0" applyNumberFormat="1" applyFont="1" applyFill="1" applyBorder="1" applyAlignment="1">
      <x:alignment vertical="center" wrapText="0"/>
    </x:xf>
    <x:xf numFmtId="205" fontId="4" fillId="9" borderId="15" xfId="0" applyNumberFormat="1" applyFont="1" applyFill="1" applyBorder="1" applyAlignment="1">
      <x:alignment vertical="center" wrapText="0"/>
    </x:xf>
    <x:xf numFmtId="208" fontId="4" fillId="8" borderId="17" xfId="0" applyNumberFormat="1" applyFont="1" applyFill="1" applyBorder="1" applyAlignment="1">
      <x:alignment horizontal="center" vertical="center" wrapText="0"/>
    </x:xf>
    <x:xf numFmtId="208" fontId="8" fillId="0" borderId="13" xfId="0" applyNumberFormat="1" applyFont="1" applyFill="1" applyBorder="1" applyAlignment="1">
      <x:alignment vertical="center" wrapText="0"/>
    </x:xf>
    <x:xf numFmtId="208" fontId="8" fillId="0" borderId="14" xfId="0" applyNumberFormat="1" applyFont="1" applyFill="1" applyBorder="1" applyAlignment="1">
      <x:alignment vertical="center" wrapText="0"/>
    </x:xf>
    <x:xf numFmtId="208" fontId="4" fillId="9" borderId="15" xfId="0" applyNumberFormat="1" applyFont="1" applyFill="1" applyBorder="1" applyAlignment="1">
      <x:alignment vertical="center" wrapText="0"/>
    </x:xf>
    <x:xf numFmtId="205" fontId="4" fillId="9" borderId="13" xfId="0" applyNumberFormat="1" applyFont="1" applyFill="1" applyBorder="1" applyAlignment="1">
      <x:alignment vertical="center" wrapText="0"/>
    </x:xf>
    <x:xf numFmtId="205" fontId="8" fillId="0" borderId="15" xfId="0" applyNumberFormat="1" applyFont="1" applyFill="1" applyBorder="1" applyAlignment="1">
      <x:alignment vertical="center" wrapText="0"/>
    </x:xf>
    <x:xf numFmtId="208" fontId="4" fillId="9" borderId="13" xfId="0" applyNumberFormat="1" applyFont="1" applyFill="1" applyBorder="1" applyAlignment="1">
      <x:alignment vertical="center" wrapText="0"/>
    </x:xf>
    <x:xf numFmtId="208" fontId="8" fillId="0" borderId="15" xfId="0" applyNumberFormat="1" applyFont="1" applyFill="1" applyBorder="1" applyAlignment="1">
      <x:alignment vertical="center" wrapText="0"/>
    </x:xf>
    <x:xf numFmtId="0" fontId="10" fillId="3" borderId="10" xfId="0" applyNumberFormat="1" applyFont="1" applyFill="1" applyBorder="1" applyAlignment="1">
      <x:alignment horizontal="center" vertical="center" wrapText="0"/>
    </x:xf>
    <x:xf numFmtId="205" fontId="5" fillId="0" borderId="5" xfId="0" applyNumberFormat="1" applyFont="1" applyFill="1" applyBorder="1" applyAlignment="1">
      <x:alignment vertical="center" wrapText="0"/>
    </x:xf>
    <x:xf numFmtId="205" fontId="5" fillId="0" borderId="6" xfId="0" applyNumberFormat="1" applyFont="1" applyFill="1" applyBorder="1" applyAlignment="1">
      <x:alignment vertical="center" wrapText="0"/>
    </x:xf>
    <x:xf numFmtId="205" fontId="5" fillId="0" borderId="7" xfId="0" applyNumberFormat="1" applyFont="1" applyFill="1" applyBorder="1" applyAlignment="1">
      <x:alignment vertical="center" wrapText="0"/>
    </x:xf>
    <x:xf numFmtId="208" fontId="10" fillId="3" borderId="10" xfId="0" applyNumberFormat="1" applyFont="1" applyFill="1" applyBorder="1" applyAlignment="1">
      <x:alignment horizontal="center" vertical="center" wrapText="0"/>
    </x:xf>
    <x:xf numFmtId="208" fontId="5" fillId="0" borderId="5" xfId="0" applyNumberFormat="1" applyFont="1" applyFill="1" applyBorder="1" applyAlignment="1">
      <x:alignment vertical="center" wrapText="0"/>
    </x:xf>
    <x:xf numFmtId="208" fontId="5" fillId="0" borderId="6" xfId="0" applyNumberFormat="1" applyFont="1" applyFill="1" applyBorder="1" applyAlignment="1">
      <x:alignment vertical="center" wrapText="0"/>
    </x:xf>
    <x:xf numFmtId="208" fontId="5" fillId="0" borderId="7" xfId="0" applyNumberFormat="1" applyFont="1" applyFill="1" applyBorder="1" applyAlignment="1">
      <x:alignment vertical="center" wrapText="0"/>
    </x:xf>
    <x:xf numFmtId="0" fontId="4" fillId="12" borderId="17" xfId="0" applyNumberFormat="1" applyFont="1" applyFill="1" applyBorder="1" applyAlignment="1">
      <x:alignment horizontal="center" vertical="center" wrapText="1"/>
    </x:xf>
    <x:xf numFmtId="0" fontId="24" fillId="12" borderId="17" xfId="0" applyNumberFormat="1" applyFont="1" applyFill="1" applyBorder="1" applyAlignment="1">
      <x:alignment horizontal="center" vertical="center" wrapText="1"/>
    </x:xf>
    <x:xf numFmtId="209" fontId="24" fillId="12" borderId="17" xfId="0" applyNumberFormat="1" applyFont="1" applyFill="1" applyBorder="1" applyAlignment="1">
      <x:alignment horizontal="center" vertical="center" wrapText="1"/>
    </x:xf>
    <x:xf numFmtId="208" fontId="4" fillId="12" borderId="17" xfId="0" applyNumberFormat="1" applyFont="1" applyFill="1" applyBorder="1" applyAlignment="1">
      <x:alignment horizontal="center" vertical="center" wrapText="0"/>
    </x:xf>
    <x:xf numFmtId="208" fontId="24" fillId="12" borderId="17" xfId="0" applyNumberFormat="1" applyFont="1" applyFill="1" applyBorder="1" applyAlignment="1">
      <x:alignment horizontal="center" vertical="center" wrapText="0"/>
    </x:xf>
    <x:xf numFmtId="209" fontId="24" fillId="12" borderId="17" xfId="0" applyNumberFormat="1" applyFont="1" applyFill="1" applyBorder="1" applyAlignment="1">
      <x:alignment horizontal="center" vertical="center" wrapText="0"/>
    </x:xf>
    <x:xf numFmtId="0" fontId="4" fillId="12" borderId="18" xfId="0" applyNumberFormat="1" applyFont="1" applyFill="1" applyBorder="1" applyAlignment="1">
      <x:alignment horizontal="center" vertical="center" wrapText="1"/>
    </x:xf>
    <x:xf numFmtId="0" fontId="24" fillId="12" borderId="18" xfId="0" applyNumberFormat="1" applyFont="1" applyFill="1" applyBorder="1" applyAlignment="1">
      <x:alignment horizontal="center" vertical="center" wrapText="1"/>
    </x:xf>
    <x:xf numFmtId="209" fontId="24" fillId="12" borderId="18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24" fillId="12" borderId="0" xfId="0" applyNumberFormat="1" applyFont="1" applyFill="1" applyBorder="1"/>
    <x:xf numFmtId="209" fontId="24" fillId="12" borderId="0" xfId="0" applyNumberFormat="1" applyFont="1" applyFill="1" applyBorder="1"/>
    <x:xf numFmtId="209" fontId="24" fillId="12" borderId="0" xfId="0" applyNumberFormat="1" applyFont="1" applyFill="1" applyBorder="1" applyAlignment="1">
      <x:alignment wrapText="1"/>
    </x:xf>
    <x:xf numFmtId="209" fontId="24" fillId="12" borderId="0" xfId="0" applyNumberFormat="1" applyFont="1" applyFill="1" applyBorder="1" applyAlignment="1">
      <x:alignment horizontal="center" wrapText="1"/>
    </x:xf>
    <x:xf numFmtId="209" fontId="24" fillId="12" borderId="0" xfId="0" applyNumberFormat="1" applyFont="1" applyFill="1" applyBorder="1" applyAlignment="1">
      <x:alignment horizontal="center" vertical="center" wrapText="1"/>
    </x:xf>
    <x:xf numFmtId="204" fontId="8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 wrapText="0"/>
    </x:xf>
    <x:xf numFmtId="204" fontId="25" fillId="13" borderId="13" xfId="0" applyNumberFormat="1" applyFont="1" applyFill="1" applyBorder="1" applyAlignment="1">
      <x:alignment horizontal="right" vertical="center" wrapText="0"/>
    </x:xf>
    <x:xf numFmtId="208" fontId="8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horizontal="right" vertical="center" wrapText="0"/>
    </x:xf>
    <x:xf numFmtId="205" fontId="8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 wrapText="0"/>
    </x:xf>
    <x:xf numFmtId="205" fontId="25" fillId="13" borderId="13" xfId="0" applyNumberFormat="1" applyFont="1" applyFill="1" applyBorder="1" applyAlignment="1">
      <x:alignment horizontal="right" vertical="center" wrapText="0"/>
    </x:xf>
    <x:xf numFmtId="205" fontId="20" fillId="13" borderId="13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26" fillId="14" borderId="0" xfId="0" applyNumberFormat="1" applyFont="1" applyFill="1" applyBorder="1"/>
    <x:xf numFmtId="205" fontId="26" fillId="14" borderId="0" xfId="0" applyNumberFormat="1" applyFont="1" applyFill="1" applyBorder="1"/>
    <x:xf numFmtId="205" fontId="26" fillId="14" borderId="0" xfId="0" applyNumberFormat="1" applyFont="1" applyFill="1" applyBorder="1" applyAlignment="1">
      <x:alignment wrapText="0"/>
    </x:xf>
    <x:xf numFmtId="205" fontId="26" fillId="14" borderId="0" xfId="0" applyNumberFormat="1" applyFont="1" applyFill="1" applyBorder="1" applyAlignment="1">
      <x:alignment horizontal="right" wrapText="0"/>
    </x:xf>
    <x:xf numFmtId="205" fontId="26" fillId="14" borderId="0" xfId="0" applyNumberFormat="1" applyFont="1" applyFill="1" applyBorder="1" applyAlignment="1">
      <x:alignment horizontal="right" vertical="center" wrapText="0"/>
    </x:xf>
    <x:xf numFmtId="205" fontId="26" fillId="14" borderId="13" xfId="0" applyNumberFormat="1" applyFont="1" applyFill="1" applyBorder="1" applyAlignment="1">
      <x:alignment horizontal="right" vertical="center" wrapText="0"/>
    </x:xf>
    <x:xf numFmtId="204" fontId="8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 wrapText="0"/>
    </x:xf>
    <x:xf numFmtId="204" fontId="25" fillId="13" borderId="14" xfId="0" applyNumberFormat="1" applyFont="1" applyFill="1" applyBorder="1" applyAlignment="1">
      <x:alignment horizontal="right" vertical="center" wrapText="0"/>
    </x:xf>
    <x:xf numFmtId="208" fontId="8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horizontal="right" vertical="center" wrapText="0"/>
    </x:xf>
    <x:xf numFmtId="205" fontId="8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 wrapText="0"/>
    </x:xf>
    <x:xf numFmtId="205" fontId="25" fillId="13" borderId="14" xfId="0" applyNumberFormat="1" applyFont="1" applyFill="1" applyBorder="1" applyAlignment="1">
      <x:alignment horizontal="right" vertical="center" wrapText="0"/>
    </x:xf>
    <x:xf numFmtId="205" fontId="20" fillId="13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horizontal="right" vertical="center" wrapText="0"/>
    </x:xf>
    <x:xf numFmtId="204" fontId="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 wrapText="0"/>
    </x:xf>
    <x:xf numFmtId="204" fontId="24" fillId="15" borderId="15" xfId="0" applyNumberFormat="1" applyFont="1" applyFill="1" applyBorder="1" applyAlignment="1">
      <x:alignment horizontal="right" vertical="center" wrapText="0"/>
    </x:xf>
    <x:xf numFmtId="208" fontId="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horizontal="right" vertical="center" wrapText="0"/>
    </x:xf>
    <x:xf numFmtId="205" fontId="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 wrapText="0"/>
    </x:xf>
    <x:xf numFmtId="205" fontId="24" fillId="15" borderId="15" xfId="0" applyNumberFormat="1" applyFont="1" applyFill="1" applyBorder="1" applyAlignment="1">
      <x:alignment horizontal="right" vertical="center" wrapText="0"/>
    </x:xf>
    <x:xf numFmtId="205" fontId="20" fillId="15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horizontal="right" vertical="center" wrapText="0"/>
    </x:xf>
    <x:xf numFmtId="204" fontId="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 wrapText="0"/>
    </x:xf>
    <x:xf numFmtId="204" fontId="24" fillId="15" borderId="13" xfId="0" applyNumberFormat="1" applyFont="1" applyFill="1" applyBorder="1" applyAlignment="1">
      <x:alignment horizontal="right" vertical="center" wrapText="0"/>
    </x:xf>
    <x:xf numFmtId="208" fontId="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horizontal="right" vertical="center" wrapText="0"/>
    </x:xf>
    <x:xf numFmtId="205" fontId="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 wrapText="0"/>
    </x:xf>
    <x:xf numFmtId="205" fontId="24" fillId="15" borderId="13" xfId="0" applyNumberFormat="1" applyFont="1" applyFill="1" applyBorder="1" applyAlignment="1">
      <x:alignment horizontal="right" vertical="center" wrapText="0"/>
    </x:xf>
    <x:xf numFmtId="205" fontId="20" fillId="15" borderId="13" xfId="0" applyNumberFormat="1" applyFont="1" applyFill="1" applyBorder="1" applyAlignment="1">
      <x:alignment vertical="center"/>
    </x:xf>
    <x:xf numFmtId="205" fontId="8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25" fillId="13" borderId="0" xfId="0" applyNumberFormat="1" applyFont="1" applyFill="1" applyBorder="1"/>
    <x:xf numFmtId="205" fontId="25" fillId="13" borderId="0" xfId="0" applyNumberFormat="1" applyFont="1" applyFill="1" applyBorder="1"/>
    <x:xf numFmtId="205" fontId="25" fillId="13" borderId="0" xfId="0" applyNumberFormat="1" applyFont="1" applyFill="1" applyBorder="1" applyAlignment="1">
      <x:alignment wrapText="0"/>
    </x:xf>
    <x:xf numFmtId="205" fontId="25" fillId="13" borderId="0" xfId="0" applyNumberFormat="1" applyFont="1" applyFill="1" applyBorder="1" applyAlignment="1">
      <x:alignment horizontal="right" wrapText="0"/>
    </x:xf>
    <x:xf numFmtId="205" fontId="25" fillId="13" borderId="0" xfId="0" applyNumberFormat="1" applyFont="1" applyFill="1" applyBorder="1" applyAlignment="1">
      <x:alignment horizontal="right" vertical="center" wrapText="0"/>
    </x:xf>
    <x:xf numFmtId="205" fontId="8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 wrapText="0"/>
    </x:xf>
    <x:xf numFmtId="204" fontId="8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 wrapText="0"/>
    </x:xf>
    <x:xf numFmtId="204" fontId="25" fillId="13" borderId="15" xfId="0" applyNumberFormat="1" applyFont="1" applyFill="1" applyBorder="1" applyAlignment="1">
      <x:alignment horizontal="right" vertical="center" wrapText="0"/>
    </x:xf>
    <x:xf numFmtId="208" fontId="8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horizontal="right" vertical="center" wrapText="0"/>
    </x:xf>
    <x:xf numFmtId="205" fontId="8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 wrapText="0"/>
    </x:xf>
    <x:xf numFmtId="205" fontId="25" fillId="13" borderId="15" xfId="0" applyNumberFormat="1" applyFont="1" applyFill="1" applyBorder="1" applyAlignment="1">
      <x:alignment horizontal="right" vertical="center" wrapText="0"/>
    </x:xf>
    <x:xf numFmtId="205" fontId="20" fillId="13" borderId="15" xfId="0" applyNumberFormat="1" applyFont="1" applyFill="1" applyBorder="1" applyAlignment="1">
      <x:alignment vertical="center"/>
    </x:xf>
    <x:xf numFmtId="205" fontId="8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 wrapText="0"/>
    </x:xf>
    <x:xf numFmtId="0" fontId="0" fillId="16" borderId="0" xfId="0" applyNumberFormat="1" applyFont="1" applyFill="1" applyBorder="1"/>
    <x:xf numFmtId="0" fontId="27" fillId="16" borderId="0" xfId="0" applyNumberFormat="1" applyFont="1" applyFill="1" applyBorder="1"/>
    <x:xf numFmtId="205" fontId="27" fillId="16" borderId="0" xfId="0" applyNumberFormat="1" applyFont="1" applyFill="1" applyBorder="1"/>
    <x:xf numFmtId="205" fontId="27" fillId="16" borderId="0" xfId="0" applyNumberFormat="1" applyFont="1" applyFill="1" applyBorder="1" applyAlignment="1">
      <x:alignment wrapText="0"/>
    </x:xf>
    <x:xf numFmtId="205" fontId="27" fillId="16" borderId="0" xfId="0" applyNumberFormat="1" applyFont="1" applyFill="1" applyBorder="1" applyAlignment="1">
      <x:alignment horizontal="right" wrapText="0"/>
    </x:xf>
    <x:xf numFmtId="205" fontId="27" fillId="16" borderId="0" xfId="0" applyNumberFormat="1" applyFont="1" applyFill="1" applyBorder="1" applyAlignment="1">
      <x:alignment horizontal="right" vertical="center" wrapText="0"/>
    </x:xf>
    <x:xf numFmtId="205" fontId="27" fillId="16" borderId="15" xfId="0" applyNumberFormat="1" applyFont="1" applyFill="1" applyBorder="1" applyAlignment="1">
      <x:alignment horizontal="right" vertical="center" wrapText="0"/>
    </x:xf>
    <x:xf numFmtId="201" fontId="8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 wrapText="0"/>
    </x:xf>
    <x:xf numFmtId="201" fontId="25" fillId="13" borderId="13" xfId="0" applyNumberFormat="1" applyFont="1" applyFill="1" applyBorder="1" applyAlignment="1">
      <x:alignment horizontal="right" vertical="center" wrapText="0"/>
    </x:xf>
    <x:xf numFmtId="201" fontId="8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 wrapText="0"/>
    </x:xf>
    <x:xf numFmtId="201" fontId="25" fillId="13" borderId="14" xfId="0" applyNumberFormat="1" applyFont="1" applyFill="1" applyBorder="1" applyAlignment="1">
      <x:alignment horizontal="right" vertical="center" wrapText="0"/>
    </x:xf>
    <x:xf numFmtId="201" fontId="8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 wrapText="0"/>
    </x:xf>
    <x:xf numFmtId="201" fontId="25" fillId="13" borderId="15" xfId="0" applyNumberFormat="1" applyFont="1" applyFill="1" applyBorder="1" applyAlignment="1">
      <x:alignment horizontal="right" vertical="center" wrapText="0"/>
    </x:xf>
    <x:xf numFmtId="0" fontId="10" fillId="17" borderId="10" xfId="0" applyNumberFormat="1" applyFont="1" applyFill="1" applyBorder="1" applyAlignment="1">
      <x:alignment horizontal="center" vertical="center" wrapText="1"/>
    </x:xf>
    <x:xf numFmtId="0" fontId="28" fillId="17" borderId="10" xfId="0" applyNumberFormat="1" applyFont="1" applyFill="1" applyBorder="1" applyAlignment="1">
      <x:alignment horizontal="center" vertical="center" wrapText="1"/>
    </x:xf>
    <x:xf numFmtId="209" fontId="28" fillId="17" borderId="10" xfId="0" applyNumberFormat="1" applyFont="1" applyFill="1" applyBorder="1" applyAlignment="1">
      <x:alignment horizontal="center" vertical="center" wrapText="1"/>
    </x:xf>
    <x:xf numFmtId="208" fontId="10" fillId="17" borderId="10" xfId="0" applyNumberFormat="1" applyFont="1" applyFill="1" applyBorder="1" applyAlignment="1">
      <x:alignment horizontal="center" vertical="center" wrapText="0"/>
    </x:xf>
    <x:xf numFmtId="208" fontId="28" fillId="17" borderId="10" xfId="0" applyNumberFormat="1" applyFont="1" applyFill="1" applyBorder="1" applyAlignment="1">
      <x:alignment horizontal="center" vertical="center" wrapText="0"/>
    </x:xf>
    <x:xf numFmtId="209" fontId="28" fillId="17" borderId="10" xfId="0" applyNumberFormat="1" applyFont="1" applyFill="1" applyBorder="1" applyAlignment="1">
      <x:alignment horizontal="center" vertical="center" wrapText="0"/>
    </x:xf>
    <x:xf numFmtId="0" fontId="10" fillId="17" borderId="11" xfId="0" applyNumberFormat="1" applyFont="1" applyFill="1" applyBorder="1" applyAlignment="1">
      <x:alignment horizontal="center" vertical="center" wrapText="1"/>
    </x:xf>
    <x:xf numFmtId="0" fontId="28" fillId="17" borderId="11" xfId="0" applyNumberFormat="1" applyFont="1" applyFill="1" applyBorder="1" applyAlignment="1">
      <x:alignment horizontal="center" vertical="center" wrapText="1"/>
    </x:xf>
    <x:xf numFmtId="209" fontId="28" fillId="17" borderId="11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28" fillId="17" borderId="0" xfId="0" applyNumberFormat="1" applyFont="1" applyFill="1" applyBorder="1"/>
    <x:xf numFmtId="209" fontId="28" fillId="17" borderId="0" xfId="0" applyNumberFormat="1" applyFont="1" applyFill="1" applyBorder="1"/>
    <x:xf numFmtId="209" fontId="28" fillId="17" borderId="0" xfId="0" applyNumberFormat="1" applyFont="1" applyFill="1" applyBorder="1" applyAlignment="1">
      <x:alignment wrapText="1"/>
    </x:xf>
    <x:xf numFmtId="209" fontId="28" fillId="17" borderId="0" xfId="0" applyNumberFormat="1" applyFont="1" applyFill="1" applyBorder="1" applyAlignment="1">
      <x:alignment horizontal="center" wrapText="1"/>
    </x:xf>
    <x:xf numFmtId="209" fontId="28" fillId="17" borderId="0" xfId="0" applyNumberFormat="1" applyFont="1" applyFill="1" applyBorder="1" applyAlignment="1">
      <x:alignment horizontal="center" vertical="center" wrapText="1"/>
    </x:xf>
    <x:xf numFmtId="204" fontId="5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 wrapText="0"/>
    </x:xf>
    <x:xf numFmtId="204" fontId="29" fillId="13" borderId="5" xfId="0" applyNumberFormat="1" applyFont="1" applyFill="1" applyBorder="1" applyAlignment="1">
      <x:alignment horizontal="right" vertical="center" wrapText="0"/>
    </x:xf>
    <x:xf numFmtId="208" fontId="5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horizontal="right" vertical="center" wrapText="0"/>
    </x:xf>
    <x:xf numFmtId="0" fontId="5" fillId="13" borderId="5" xfId="0" applyNumberFormat="1" applyFont="1" applyFill="1" applyBorder="1" applyAlignment="1">
      <x:alignment vertical="center"/>
    </x:xf>
    <x:xf numFmtId="0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 wrapText="0"/>
    </x:xf>
    <x:xf numFmtId="205" fontId="29" fillId="13" borderId="5" xfId="0" applyNumberFormat="1" applyFont="1" applyFill="1" applyBorder="1" applyAlignment="1">
      <x:alignment horizontal="right" vertical="center" wrapText="0"/>
    </x:xf>
    <x:xf numFmtId="0" fontId="29" fillId="13" borderId="0" xfId="0" applyNumberFormat="1" applyFont="1" applyFill="1" applyBorder="1"/>
    <x:xf numFmtId="209" fontId="29" fillId="13" borderId="0" xfId="0" applyNumberFormat="1" applyFont="1" applyFill="1" applyBorder="1"/>
    <x:xf numFmtId="209" fontId="29" fillId="13" borderId="0" xfId="0" applyNumberFormat="1" applyFont="1" applyFill="1" applyBorder="1" applyAlignment="1">
      <x:alignment wrapText="0"/>
    </x:xf>
    <x:xf numFmtId="209" fontId="29" fillId="13" borderId="0" xfId="0" applyNumberFormat="1" applyFont="1" applyFill="1" applyBorder="1" applyAlignment="1">
      <x:alignment horizontal="right" wrapText="0"/>
    </x:xf>
    <x:xf numFmtId="209" fontId="29" fillId="13" borderId="0" xfId="0" applyNumberFormat="1" applyFont="1" applyFill="1" applyBorder="1" applyAlignment="1">
      <x:alignment horizontal="right" vertical="center" wrapText="0"/>
    </x:xf>
    <x:xf numFmtId="209" fontId="29" fillId="13" borderId="5" xfId="0" applyNumberFormat="1" applyFont="1" applyFill="1" applyBorder="1" applyAlignment="1">
      <x:alignment horizontal="right" vertical="center" wrapText="0"/>
    </x:xf>
    <x:xf numFmtId="204" fontId="5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 wrapText="0"/>
    </x:xf>
    <x:xf numFmtId="204" fontId="29" fillId="13" borderId="6" xfId="0" applyNumberFormat="1" applyFont="1" applyFill="1" applyBorder="1" applyAlignment="1">
      <x:alignment horizontal="right" vertical="center" wrapText="0"/>
    </x:xf>
    <x:xf numFmtId="208" fontId="5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horizontal="right" vertical="center" wrapText="0"/>
    </x:xf>
    <x:xf numFmtId="0" fontId="5" fillId="13" borderId="6" xfId="0" applyNumberFormat="1" applyFont="1" applyFill="1" applyBorder="1" applyAlignment="1">
      <x:alignment vertical="center"/>
    </x:xf>
    <x:xf numFmtId="0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 wrapText="0"/>
    </x:xf>
    <x:xf numFmtId="205" fontId="29" fillId="13" borderId="6" xfId="0" applyNumberFormat="1" applyFont="1" applyFill="1" applyBorder="1" applyAlignment="1">
      <x:alignment horizontal="right" vertical="center" wrapText="0"/>
    </x:xf>
    <x:xf numFmtId="209" fontId="29" fillId="13" borderId="6" xfId="0" applyNumberFormat="1" applyFont="1" applyFill="1" applyBorder="1" applyAlignment="1">
      <x:alignment horizontal="right" vertical="center" wrapText="0"/>
    </x:xf>
    <x:xf numFmtId="204" fontId="5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 wrapText="0"/>
    </x:xf>
    <x:xf numFmtId="204" fontId="29" fillId="13" borderId="7" xfId="0" applyNumberFormat="1" applyFont="1" applyFill="1" applyBorder="1" applyAlignment="1">
      <x:alignment horizontal="right" vertical="center" wrapText="0"/>
    </x:xf>
    <x:xf numFmtId="208" fontId="5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horizontal="right" vertical="center" wrapText="0"/>
    </x:xf>
    <x:xf numFmtId="0" fontId="5" fillId="13" borderId="7" xfId="0" applyNumberFormat="1" applyFont="1" applyFill="1" applyBorder="1" applyAlignment="1">
      <x:alignment vertical="center"/>
    </x:xf>
    <x:xf numFmtId="0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 wrapText="0"/>
    </x:xf>
    <x:xf numFmtId="205" fontId="29" fillId="13" borderId="7" xfId="0" applyNumberFormat="1" applyFont="1" applyFill="1" applyBorder="1" applyAlignment="1">
      <x:alignment horizontal="right" vertical="center" wrapText="0"/>
    </x:xf>
    <x:xf numFmtId="209" fontId="29" fillId="13" borderId="7" xfId="0" applyNumberFormat="1" applyFont="1" applyFill="1" applyBorder="1" applyAlignment="1">
      <x:alignment horizontal="right" vertical="center" wrapText="0"/>
    </x:xf>
    <x:xf numFmtId="210" fontId="0" fillId="0" borderId="0" xfId="0" applyNumberFormat="1" applyFont="1" applyFill="1" applyBorder="1"/>
    <x:xf numFmtId="200" fontId="8" fillId="11" borderId="21" xfId="0" applyNumberFormat="1" applyFont="1" applyFill="1" applyBorder="1" applyAlignment="1">
      <x:alignment horizontal="right" vertical="center" wrapText="1"/>
    </x:xf>
    <x:xf numFmtId="200" fontId="20" fillId="7" borderId="14" xfId="0" applyNumberFormat="1" applyFont="1" applyFill="1" applyBorder="1" applyAlignment="1">
      <x:alignment vertical="center" wrapText="1"/>
    </x:xf>
    <x:xf numFmtId="208" fontId="0" fillId="0" borderId="0" xfId="0" applyNumberFormat="1" applyFont="1" applyFill="1" applyBorder="1"/>
    <x:xf numFmtId="210" fontId="5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C62828"/>
      </x:font>
      <x:fill>
        <x:patternFill>
          <x:bgColor rgb="FFFDE8E7"/>
        </x:patternFill>
      </x:fill>
    </x:dxf>
    <x:dxf>
      <x:font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26618a549e4d45" /><Relationship Type="http://schemas.openxmlformats.org/officeDocument/2006/relationships/theme" Target="/xl/theme/theme1.xml" Id="R117c58010d53405f" /><Relationship Type="http://schemas.openxmlformats.org/officeDocument/2006/relationships/sharedStrings" Target="/xl/sharedStrings.xml" Id="R3fb7bf47d9464ee0" /><Relationship Type="http://schemas.openxmlformats.org/officeDocument/2006/relationships/worksheet" Target="/xl/worksheets/sheet1.xml" Id="Rffe7e1a924f44acc" /><Relationship Type="http://schemas.openxmlformats.org/officeDocument/2006/relationships/worksheet" Target="/xl/worksheets/sheet2.xml" Id="Rd15db576cb5b4c33" /><Relationship Type="http://schemas.openxmlformats.org/officeDocument/2006/relationships/worksheet" Target="/xl/worksheets/sheet3.xml" Id="R5319507f9c6c4c5e" /><Relationship Type="http://schemas.openxmlformats.org/officeDocument/2006/relationships/worksheet" Target="/xl/worksheets/sheet4.xml" Id="R0e2c89e81b7e455c" /><Relationship Type="http://schemas.openxmlformats.org/officeDocument/2006/relationships/worksheet" Target="/xl/worksheets/sheet5.xml" Id="R65d0f1aaffda4d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xSplit="3" ySplit="18" topLeftCell="D1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4" hidden="0" customWidth="1"/>
    <col min="4" max="4" width="25" hidden="0" customWidth="1"/>
    <col min="5" max="5" width="24" hidden="0" customWidth="1"/>
    <col min="6" max="6" width="25" hidden="0" customWidth="1"/>
    <col min="7" max="7" width="24" hidden="0" customWidth="1"/>
    <col min="8" max="8" width="20" hidden="0" customWidth="1"/>
    <col min="9" max="9" width="25" hidden="0" customWidth="1"/>
    <col min="10" max="10" width="24" hidden="0" customWidth="1"/>
    <col min="11" max="11" width="25" hidden="0" customWidth="1"/>
    <col min="12" max="12" width="24" hidden="0" customWidth="1"/>
    <col min="13" max="13" width="30" hidden="0" customWidth="1"/>
  </cols>
  <sheetData>
    <row r="2" ht="30" customHeight="1">
      <c r="C2" s="121" t="str">
        <v>Four.meme 4Stock · 发射控筹模型</v>
      </c>
      <c r="D2" s="121"/>
      <c r="E2" s="121"/>
      <c r="F2" s="121"/>
      <c r="G2" s="121"/>
      <c r="H2" s="121"/>
      <c r="I2" s="121"/>
      <c r="J2" s="121"/>
      <c r="K2" s="121"/>
      <c r="L2" s="121"/>
    </row>
    <row r="3" ht="30" customHeight="1">
      <c r="C3" s="124" t="str">
        <v>黄色格可编辑。手动价格留空用指定池每日价；预留按 10,000 USDT ÷ 有效价格向上取整。Gas 单独以 BNB 计价。</v>
      </c>
      <c r="D3" s="124"/>
      <c r="E3" s="124"/>
      <c r="F3" s="124"/>
      <c r="G3" s="124"/>
      <c r="H3" s="124"/>
      <c r="I3" s="124"/>
      <c r="J3" s="124"/>
      <c r="K3" s="124"/>
      <c r="L3" s="124"/>
    </row>
    <row r="4">
      <c r="C4" s="23"/>
      <c r="D4" s="23"/>
      <c r="E4" s="23"/>
      <c r="F4" s="23"/>
      <c r="G4" s="23"/>
      <c r="H4" s="23"/>
      <c r="I4" s="23"/>
      <c r="J4" s="23"/>
      <c r="K4" s="23"/>
      <c r="L4" s="23"/>
    </row>
    <row r="5" ht="25" customHeight="1">
      <c r="C5" s="125" t="str">
        <v>模型参数</v>
      </c>
      <c r="D5" s="125"/>
      <c r="E5" s="125" t="str">
        <v>曲线常数</v>
      </c>
      <c r="F5" s="125"/>
      <c r="G5" s="125" t="str">
        <v>执行参数</v>
      </c>
      <c r="H5" s="125"/>
      <c r="I5" s="125" t="str">
        <v>资金结果</v>
      </c>
      <c r="J5" s="125"/>
      <c r="K5" s="125" t="str">
        <v>Quote 信息</v>
      </c>
      <c r="L5" s="125"/>
    </row>
    <row r="6" ht="30" customHeight="1">
      <c r="C6" s="129" t="str">
        <v>Quote</v>
      </c>
      <c r="D6" s="149">
        <f>"BNC4"</f>
      </c>
      <c r="E6" s="129" t="str">
        <v>内盘 k</v>
      </c>
      <c r="F6" s="141">
        <f>D13*D14</f>
      </c>
      <c r="G6" s="129" t="str">
        <v>模型状态</v>
      </c>
      <c r="H6" s="141">
        <f>'控筹测算'!D26</f>
      </c>
      <c r="I6" s="129" t="str">
        <v>预算使用控筹率</v>
      </c>
      <c r="J6" s="146">
        <f>'控筹测算'!D25</f>
      </c>
      <c r="K6" s="129" t="str">
        <v>Quote 名称</v>
      </c>
      <c r="L6" s="141">
        <f>"BNC4"</f>
      </c>
    </row>
    <row r="7" ht="30" customHeight="1">
      <c r="C7" s="130" t="str">
        <v>total supply</v>
      </c>
      <c r="D7" s="230" t="n">
        <v>1000000000</v>
      </c>
      <c r="E7" s="130" t="str">
        <v>外盘初始 Meme</v>
      </c>
      <c r="F7" s="142">
        <f>D7-F13</f>
      </c>
      <c r="G7" s="130" t="str">
        <v>单地址 Gas / BNB</v>
      </c>
      <c r="H7" s="220" t="n">
        <v>0.01</v>
      </c>
      <c r="I7" s="130" t="str">
        <v>目标+缓冲理论累计</v>
      </c>
      <c r="J7" s="147">
        <f>'控筹测算'!D34</f>
      </c>
      <c r="K7" s="130" t="str">
        <v>Quote 合约</v>
      </c>
      <c r="L7" s="151" t="str">
        <v>​0x7c8d5502b544ddaf8852fc46d1174e34876d545c</v>
      </c>
    </row>
    <row r="8" ht="30" customHeight="1">
      <c r="C8" s="130" t="str">
        <v>内盘毕业所需</v>
      </c>
      <c r="D8" s="147">
        <f>L9*(1+D10+D11)</f>
      </c>
      <c r="E8" s="130" t="str">
        <v>外盘初始 Quote</v>
      </c>
      <c r="F8" s="142">
        <f>L9*(1-F12)</f>
      </c>
      <c r="G8" s="130" t="str">
        <v>资金预留 / BNC4</v>
      </c>
      <c r="H8" s="432">
        <f>IF(AND(ISNUMBER('参数与来源'!$N$19),'参数与来源'!$N$19&gt;0),ROUNDUP('参数与来源'!$N$11/'参数与来源'!$N$19,0),"")</f>
      </c>
      <c r="I8" s="130" t="str">
        <v>额外内盘资金</v>
      </c>
      <c r="J8" s="147">
        <f>'控筹测算'!D35</f>
      </c>
      <c r="K8" s="130" t="str">
        <v>Decimals</v>
      </c>
      <c r="L8" s="147">
        <f>18</f>
      </c>
    </row>
    <row r="9" ht="30" customHeight="1">
      <c r="C9" s="130" t="str">
        <v>毕业控筹率</v>
      </c>
      <c r="D9" s="231" t="n">
        <v>0.8</v>
      </c>
      <c r="E9" s="130" t="str">
        <v>外盘 k</v>
      </c>
      <c r="F9" s="142">
        <f>F7*F8</f>
      </c>
      <c r="G9" s="130" t="str">
        <v>洗筹双边费率</v>
      </c>
      <c r="H9" s="144">
        <f>D11+D12+2*F11</f>
      </c>
      <c r="I9" s="130" t="str">
        <v>目标+缓冲 FDV</v>
      </c>
      <c r="J9" s="147">
        <f>'控筹测算'!D43</f>
      </c>
      <c r="K9" s="130" t="str">
        <v>募集目标</v>
      </c>
      <c r="L9" s="230" t="n">
        <v>2000</v>
      </c>
    </row>
    <row r="10" ht="30" customHeight="1">
      <c r="C10" s="130" t="str">
        <v>内盘基础手续费</v>
      </c>
      <c r="D10" s="231" t="n">
        <v>0.01</v>
      </c>
      <c r="E10" s="130" t="str">
        <v>当前费率可达上限</v>
      </c>
      <c r="F10" s="144">
        <f>D9+(1-D9)*(1-D11)</f>
      </c>
      <c r="G10" s="130" t="str">
        <v>内盘地址 / 套</v>
      </c>
      <c r="H10" s="225" t="n">
        <v>20</v>
      </c>
      <c r="I10" s="130" t="str">
        <v>洗筹预算</v>
      </c>
      <c r="J10" s="147">
        <f>'控筹测算'!D36</f>
      </c>
      <c r="K10" s="130" t="str">
        <v>LP 销毁</v>
      </c>
      <c r="L10" s="142">
        <f>"烧毁"</f>
      </c>
    </row>
    <row r="11" ht="30" customHeight="1">
      <c r="C11" s="130" t="str">
        <v>买入 Tax</v>
      </c>
      <c r="D11" s="215" t="n">
        <v>0.03</v>
      </c>
      <c r="E11" s="130" t="str">
        <v>Pancake V2 费</v>
      </c>
      <c r="F11" s="231" t="n">
        <v>0.0025</v>
      </c>
      <c r="G11" s="130" t="str">
        <v>内盘套数</v>
      </c>
      <c r="H11" s="225" t="n">
        <v>2</v>
      </c>
      <c r="I11" s="153" t="str">
        <v>建议 BNC4 总资金</v>
      </c>
      <c r="J11" s="433">
        <f>'控筹测算'!D38</f>
      </c>
      <c r="K11" s="130" t="str">
        <v>外盘成交</v>
      </c>
      <c r="L11" s="142">
        <f>"PancakeSwap V2"</f>
      </c>
    </row>
    <row r="12" ht="30" customHeight="1">
      <c r="C12" s="130" t="str">
        <v>卖出 Tax</v>
      </c>
      <c r="D12" s="215" t="n">
        <v>0.03</v>
      </c>
      <c r="E12" s="130" t="str">
        <v>迁池费</v>
      </c>
      <c r="F12" s="231" t="n">
        <v>0.02</v>
      </c>
      <c r="G12" s="130" t="str">
        <v>外盘地址</v>
      </c>
      <c r="H12" s="225" t="n">
        <v>30</v>
      </c>
      <c r="I12" s="130" t="str">
        <v>地址总数</v>
      </c>
      <c r="J12" s="147">
        <f>'控筹测算'!D40</f>
      </c>
      <c r="K12" s="130" t="str">
        <v>洗筹口径</v>
      </c>
      <c r="L12" s="142">
        <f>"FDV × 双边费率"</f>
      </c>
    </row>
    <row r="13" ht="30" customHeight="1">
      <c r="C13" s="130" t="str">
        <v>内盘初始 Meme</v>
      </c>
      <c r="D13" s="230" t="n">
        <v>1073972601.740811</v>
      </c>
      <c r="E13" s="130" t="str">
        <v>内盘售出 Meme</v>
      </c>
      <c r="F13" s="142">
        <f>D7*D9</f>
      </c>
      <c r="G13" s="130" t="str">
        <v>Holder 地址</v>
      </c>
      <c r="H13" s="225" t="n">
        <v>150</v>
      </c>
      <c r="I13" s="130" t="str">
        <v>Gas 储备 / BNB</v>
      </c>
      <c r="J13" s="142">
        <f>'控筹测算'!D41</f>
      </c>
      <c r="K13" s="130" t="str">
        <v>费用方向</v>
      </c>
      <c r="L13" s="142">
        <f>"买输出扣税，卖输入扣税"</f>
      </c>
    </row>
    <row r="14" ht="30" customHeight="1">
      <c r="C14" s="131" t="str">
        <v>内盘初始 Quote</v>
      </c>
      <c r="D14" s="232" t="n">
        <v>684.9315068493152</v>
      </c>
      <c r="E14" s="131" t="str">
        <v>外盘毕业价格</v>
      </c>
      <c r="F14" s="152">
        <f>F8/F7</f>
      </c>
      <c r="G14" s="131" t="str">
        <v>目标控筹率</v>
      </c>
      <c r="H14" s="215" t="n">
        <v>0.9</v>
      </c>
      <c r="I14" s="131" t="str">
        <v>预算缓冲</v>
      </c>
      <c r="J14" s="215" t="n">
        <v>0.01</v>
      </c>
      <c r="K14" s="131" t="str">
        <v>手动价格 / USDT</v>
      </c>
      <c r="L14" s="220"/>
    </row>
    <row r="15">
      <c r="C15" s="23"/>
      <c r="D15" s="23"/>
      <c r="E15" s="23"/>
      <c r="F15" s="23"/>
      <c r="G15" s="23"/>
      <c r="H15" s="23"/>
      <c r="I15" s="23"/>
      <c r="J15" s="23"/>
      <c r="K15" s="23" t="str">
        <v>有效价格 / USDT</v>
      </c>
      <c r="L15" s="435">
        <f>'参数与来源'!$N$19</f>
      </c>
    </row>
    <row r="16">
      <c r="C16" s="23"/>
      <c r="D16" s="23"/>
      <c r="E16" s="23"/>
      <c r="F16" s="23"/>
      <c r="G16" s="23"/>
      <c r="H16" s="23"/>
      <c r="I16" s="23"/>
      <c r="J16" s="23"/>
      <c r="K16" s="23"/>
      <c r="L16" s="23"/>
    </row>
    <row r="17" ht="24" customHeight="1">
      <c r="C17" s="125" t="str">
        <v>内盘曲线</v>
      </c>
      <c r="D17" s="125"/>
      <c r="E17" s="125"/>
      <c r="F17" s="125"/>
      <c r="G17" s="125"/>
      <c r="H17" s="125"/>
      <c r="I17" s="125"/>
      <c r="J17" s="125"/>
      <c r="K17" s="125"/>
      <c r="L17" s="125"/>
    </row>
    <row r="18" ht="30" customHeight="1">
      <c r="C18" s="166" t="str">
        <v>控筹率</v>
      </c>
      <c r="D18" s="167" t="str">
        <v>pooled Meme</v>
      </c>
      <c r="E18" s="167" t="str">
        <v>pooled BNC4</v>
      </c>
      <c r="F18" s="167" t="str">
        <v>k</v>
      </c>
      <c r="G18" s="256" t="str">
        <v>价格 / BNC4</v>
      </c>
      <c r="H18" s="256" t="str">
        <v>价格 / USDT</v>
      </c>
      <c r="I18" s="256" t="str">
        <v>市值 / BNC4</v>
      </c>
      <c r="J18" s="256" t="str">
        <v>市值 / USD</v>
      </c>
      <c r="K18" s="256" t="str">
        <v>区间净投入</v>
      </c>
      <c r="L18" s="256" t="str">
        <v>区间含费</v>
      </c>
      <c r="M18" s="262" t="str">
        <v>理论累计所需</v>
      </c>
    </row>
    <row r="19" ht="23" customHeight="1">
      <c r="C19" s="175" t="n">
        <v>0</v>
      </c>
      <c r="D19" s="172">
        <f>'参数与来源'!$D$12-C19*'参数与来源'!$D$8</f>
      </c>
      <c r="E19" s="172">
        <f>'参数与来源'!$D$13/D19</f>
      </c>
      <c r="F19" s="172">
        <f>'参数与来源'!$D$13</f>
      </c>
      <c r="G19" s="272">
        <f>E19/D19</f>
      </c>
      <c r="H19" s="275">
        <f>IF(OR('参数与来源'!$N$19="",NOT(ISNUMBER(G19))),"",G19*'参数与来源'!$N$19)</f>
      </c>
      <c r="I19" s="279">
        <f>G19*'参数与来源'!$D$8</f>
      </c>
      <c r="J19" s="279">
        <f>IF(AND(ISNUMBER('参数与来源'!$N$19),'参数与来源'!$N$19&gt;0),(IF('参数与来源'!$N$19="","",I19*'参数与来源'!$N$19))*'参数与来源'!$N$8,"")</f>
      </c>
      <c r="K19" s="279">
        <f>0</f>
      </c>
      <c r="L19" s="279">
        <f>K19*(1+$D$10+$D$11)</f>
      </c>
      <c r="M19" s="287">
        <f>(E19-'参数与来源'!$D$11)*(1+$D$10+$D$11)</f>
      </c>
    </row>
    <row r="20" ht="23" customHeight="1">
      <c r="C20" s="176" t="n">
        <v>0.1</v>
      </c>
      <c r="D20" s="173">
        <f>'参数与来源'!$D$12-C20*'参数与来源'!$D$8</f>
      </c>
      <c r="E20" s="173">
        <f>'参数与来源'!$D$13/D20</f>
      </c>
      <c r="F20" s="173">
        <f>'参数与来源'!$D$13</f>
      </c>
      <c r="G20" s="291">
        <f>E20/D20</f>
      </c>
      <c r="H20" s="294">
        <f>IF(OR('参数与来源'!$N$19="",NOT(ISNUMBER(G20))),"",G20*'参数与来源'!$N$19)</f>
      </c>
      <c r="I20" s="298">
        <f>G20*'参数与来源'!$D$8</f>
      </c>
      <c r="J20" s="298">
        <f>IF(AND(ISNUMBER('参数与来源'!$N$19),'参数与来源'!$N$19&gt;0),(IF('参数与来源'!$N$19="","",I20*'参数与来源'!$N$19))*'参数与来源'!$N$8,"")</f>
      </c>
      <c r="K20" s="298">
        <f>E20-E19</f>
      </c>
      <c r="L20" s="298">
        <f>K20*(1+$D$10+$D$11)</f>
      </c>
      <c r="M20" s="300">
        <f>(E20-'参数与来源'!$D$11)*(1+$D$10+$D$11)</f>
      </c>
    </row>
    <row r="21" ht="23" customHeight="1">
      <c r="C21" s="176" t="n">
        <v>0.2</v>
      </c>
      <c r="D21" s="173">
        <f>'参数与来源'!$D$12-C21*'参数与来源'!$D$8</f>
      </c>
      <c r="E21" s="173">
        <f>'参数与来源'!$D$13/D21</f>
      </c>
      <c r="F21" s="173">
        <f>'参数与来源'!$D$13</f>
      </c>
      <c r="G21" s="291">
        <f>E21/D21</f>
      </c>
      <c r="H21" s="294">
        <f>IF(OR('参数与来源'!$N$19="",NOT(ISNUMBER(G21))),"",G21*'参数与来源'!$N$19)</f>
      </c>
      <c r="I21" s="298">
        <f>G21*'参数与来源'!$D$8</f>
      </c>
      <c r="J21" s="298">
        <f>IF(AND(ISNUMBER('参数与来源'!$N$19),'参数与来源'!$N$19&gt;0),(IF('参数与来源'!$N$19="","",I21*'参数与来源'!$N$19))*'参数与来源'!$N$8,"")</f>
      </c>
      <c r="K21" s="298">
        <f>E21-E20</f>
      </c>
      <c r="L21" s="298">
        <f>K21*(1+$D$10+$D$11)</f>
      </c>
      <c r="M21" s="300">
        <f>(E21-'参数与来源'!$D$11)*(1+$D$10+$D$11)</f>
      </c>
    </row>
    <row r="22" ht="23" customHeight="1">
      <c r="C22" s="176" t="n">
        <v>0.30000000000000004</v>
      </c>
      <c r="D22" s="173">
        <f>'参数与来源'!$D$12-C22*'参数与来源'!$D$8</f>
      </c>
      <c r="E22" s="173">
        <f>'参数与来源'!$D$13/D22</f>
      </c>
      <c r="F22" s="173">
        <f>'参数与来源'!$D$13</f>
      </c>
      <c r="G22" s="291">
        <f>E22/D22</f>
      </c>
      <c r="H22" s="294">
        <f>IF(OR('参数与来源'!$N$19="",NOT(ISNUMBER(G22))),"",G22*'参数与来源'!$N$19)</f>
      </c>
      <c r="I22" s="298">
        <f>G22*'参数与来源'!$D$8</f>
      </c>
      <c r="J22" s="298">
        <f>IF(AND(ISNUMBER('参数与来源'!$N$19),'参数与来源'!$N$19&gt;0),(IF('参数与来源'!$N$19="","",I22*'参数与来源'!$N$19))*'参数与来源'!$N$8,"")</f>
      </c>
      <c r="K22" s="298">
        <f>E22-E21</f>
      </c>
      <c r="L22" s="298">
        <f>K22*(1+$D$10+$D$11)</f>
      </c>
      <c r="M22" s="300">
        <f>(E22-'参数与来源'!$D$11)*(1+$D$10+$D$11)</f>
      </c>
    </row>
    <row r="23" ht="23" customHeight="1">
      <c r="C23" s="176" t="n">
        <v>0.4</v>
      </c>
      <c r="D23" s="173">
        <f>'参数与来源'!$D$12-C23*'参数与来源'!$D$8</f>
      </c>
      <c r="E23" s="173">
        <f>'参数与来源'!$D$13/D23</f>
      </c>
      <c r="F23" s="173">
        <f>'参数与来源'!$D$13</f>
      </c>
      <c r="G23" s="291">
        <f>E23/D23</f>
      </c>
      <c r="H23" s="294">
        <f>IF(OR('参数与来源'!$N$19="",NOT(ISNUMBER(G23))),"",G23*'参数与来源'!$N$19)</f>
      </c>
      <c r="I23" s="298">
        <f>G23*'参数与来源'!$D$8</f>
      </c>
      <c r="J23" s="298">
        <f>IF(AND(ISNUMBER('参数与来源'!$N$19),'参数与来源'!$N$19&gt;0),(IF('参数与来源'!$N$19="","",I23*'参数与来源'!$N$19))*'参数与来源'!$N$8,"")</f>
      </c>
      <c r="K23" s="298">
        <f>E23-E22</f>
      </c>
      <c r="L23" s="298">
        <f>K23*(1+$D$10+$D$11)</f>
      </c>
      <c r="M23" s="300">
        <f>(E23-'参数与来源'!$D$11)*(1+$D$10+$D$11)</f>
      </c>
    </row>
    <row r="24" ht="23" customHeight="1">
      <c r="C24" s="176" t="n">
        <v>0.5</v>
      </c>
      <c r="D24" s="173">
        <f>'参数与来源'!$D$12-C24*'参数与来源'!$D$8</f>
      </c>
      <c r="E24" s="173">
        <f>'参数与来源'!$D$13/D24</f>
      </c>
      <c r="F24" s="173">
        <f>'参数与来源'!$D$13</f>
      </c>
      <c r="G24" s="291">
        <f>E24/D24</f>
      </c>
      <c r="H24" s="294">
        <f>IF(OR('参数与来源'!$N$19="",NOT(ISNUMBER(G24))),"",G24*'参数与来源'!$N$19)</f>
      </c>
      <c r="I24" s="298">
        <f>G24*'参数与来源'!$D$8</f>
      </c>
      <c r="J24" s="298">
        <f>IF(AND(ISNUMBER('参数与来源'!$N$19),'参数与来源'!$N$19&gt;0),(IF('参数与来源'!$N$19="","",I24*'参数与来源'!$N$19))*'参数与来源'!$N$8,"")</f>
      </c>
      <c r="K24" s="298">
        <f>E24-E23</f>
      </c>
      <c r="L24" s="298">
        <f>K24*(1+$D$10+$D$11)</f>
      </c>
      <c r="M24" s="300">
        <f>(E24-'参数与来源'!$D$11)*(1+$D$10+$D$11)</f>
      </c>
    </row>
    <row r="25" ht="23" customHeight="1">
      <c r="C25" s="176" t="n">
        <v>0.6000000000000001</v>
      </c>
      <c r="D25" s="173">
        <f>'参数与来源'!$D$12-C25*'参数与来源'!$D$8</f>
      </c>
      <c r="E25" s="173">
        <f>'参数与来源'!$D$13/D25</f>
      </c>
      <c r="F25" s="173">
        <f>'参数与来源'!$D$13</f>
      </c>
      <c r="G25" s="291">
        <f>E25/D25</f>
      </c>
      <c r="H25" s="294">
        <f>IF(OR('参数与来源'!$N$19="",NOT(ISNUMBER(G25))),"",G25*'参数与来源'!$N$19)</f>
      </c>
      <c r="I25" s="298">
        <f>G25*'参数与来源'!$D$8</f>
      </c>
      <c r="J25" s="298">
        <f>IF(AND(ISNUMBER('参数与来源'!$N$19),'参数与来源'!$N$19&gt;0),(IF('参数与来源'!$N$19="","",I25*'参数与来源'!$N$19))*'参数与来源'!$N$8,"")</f>
      </c>
      <c r="K25" s="298">
        <f>E25-E24</f>
      </c>
      <c r="L25" s="298">
        <f>K25*(1+$D$10+$D$11)</f>
      </c>
      <c r="M25" s="300">
        <f>(E25-'参数与来源'!$D$11)*(1+$D$10+$D$11)</f>
      </c>
    </row>
    <row r="26" ht="23" customHeight="1">
      <c r="C26" s="176" t="n">
        <v>0.7000000000000001</v>
      </c>
      <c r="D26" s="173">
        <f>'参数与来源'!$D$12-C26*'参数与来源'!$D$8</f>
      </c>
      <c r="E26" s="173">
        <f>'参数与来源'!$D$13/D26</f>
      </c>
      <c r="F26" s="173">
        <f>'参数与来源'!$D$13</f>
      </c>
      <c r="G26" s="291">
        <f>E26/D26</f>
      </c>
      <c r="H26" s="294">
        <f>IF(OR('参数与来源'!$N$19="",NOT(ISNUMBER(G26))),"",G26*'参数与来源'!$N$19)</f>
      </c>
      <c r="I26" s="298">
        <f>G26*'参数与来源'!$D$8</f>
      </c>
      <c r="J26" s="298">
        <f>IF(AND(ISNUMBER('参数与来源'!$N$19),'参数与来源'!$N$19&gt;0),(IF('参数与来源'!$N$19="","",I26*'参数与来源'!$N$19))*'参数与来源'!$N$8,"")</f>
      </c>
      <c r="K26" s="298">
        <f>E26-E25</f>
      </c>
      <c r="L26" s="298">
        <f>K26*(1+$D$10+$D$11)</f>
      </c>
      <c r="M26" s="300">
        <f>(E26-'参数与来源'!$D$11)*(1+$D$10+$D$11)</f>
      </c>
    </row>
    <row r="27" ht="23" customHeight="1">
      <c r="C27" s="190" t="n">
        <v>0.8</v>
      </c>
      <c r="D27" s="191">
        <f>'参数与来源'!$D$12-C27*'参数与来源'!$D$8</f>
      </c>
      <c r="E27" s="191">
        <f>'参数与来源'!$D$13/D27</f>
      </c>
      <c r="F27" s="191">
        <f>'参数与来源'!$D$13</f>
      </c>
      <c r="G27" s="304">
        <f>E27/D27</f>
      </c>
      <c r="H27" s="307">
        <f>IF(OR('参数与来源'!$N$19="",NOT(ISNUMBER(G27))),"",G27*'参数与来源'!$N$19)</f>
      </c>
      <c r="I27" s="311">
        <f>G27*'参数与来源'!$D$8</f>
      </c>
      <c r="J27" s="311">
        <f>IF(AND(ISNUMBER('参数与来源'!$N$19),'参数与来源'!$N$19&gt;0),(IF('参数与来源'!$N$19="","",I27*'参数与来源'!$N$19))*'参数与来源'!$N$8,"")</f>
      </c>
      <c r="K27" s="311">
        <f>E27-E26</f>
      </c>
      <c r="L27" s="311">
        <f>K27*(1+$D$10+$D$11)</f>
      </c>
      <c r="M27" s="313">
        <f>(E27-'参数与来源'!$D$11)*(1+$D$10+$D$11)</f>
      </c>
    </row>
    <row r="28"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ht="24" customHeight="1">
      <c r="C30" s="125" t="str">
        <v>V2 外盘曲线</v>
      </c>
      <c r="D30" s="125"/>
      <c r="E30" s="125"/>
      <c r="F30" s="125"/>
      <c r="G30" s="125"/>
      <c r="H30" s="125"/>
      <c r="I30" s="125"/>
      <c r="J30" s="125"/>
      <c r="K30" s="125"/>
      <c r="L30" s="125"/>
    </row>
    <row r="31" ht="30" customHeight="1">
      <c r="C31" s="166" t="str">
        <v>净控筹率</v>
      </c>
      <c r="D31" s="167" t="str">
        <v>pooled Meme</v>
      </c>
      <c r="E31" s="167" t="str">
        <v>pooled BNC4</v>
      </c>
      <c r="F31" s="167" t="str">
        <v>k</v>
      </c>
      <c r="G31" s="256" t="str">
        <v>价格 / BNC4</v>
      </c>
      <c r="H31" s="256" t="str">
        <v>价格 / USDT</v>
      </c>
      <c r="I31" s="256" t="str">
        <v>市值 / BNC4</v>
      </c>
      <c r="J31" s="256" t="str">
        <v>市值 / USD</v>
      </c>
      <c r="K31" s="256" t="str">
        <v>外盘含费 BNC4</v>
      </c>
      <c r="L31" s="256" t="str">
        <v>理论累计所需</v>
      </c>
      <c r="M31" s="262" t="str">
        <v>状态</v>
      </c>
    </row>
    <row r="32" ht="23" customHeight="1">
      <c r="C32" s="196" t="n">
        <v>0.8</v>
      </c>
      <c r="D32" s="197">
        <f>IF(C32&gt;=$F$10,"",$F$7-(C32-$D$9)*'参数与来源'!$D$8/(1-$D$11))</f>
      </c>
      <c r="E32" s="197">
        <f>IF(D32="","",$F$9/D32)</f>
      </c>
      <c r="F32" s="197">
        <f>$F$9</f>
      </c>
      <c r="G32" s="317">
        <f>IF(D32="","",E32/D32)</f>
      </c>
      <c r="H32" s="320">
        <f>IF(OR('参数与来源'!$N$19="",NOT(ISNUMBER(G32))),"",G32*'参数与来源'!$N$19)</f>
      </c>
      <c r="I32" s="324">
        <f>IF(G32="","",G32*'参数与来源'!$D$8)</f>
      </c>
      <c r="J32" s="324">
        <f>IF(AND(ISNUMBER('参数与来源'!$N$19),'参数与来源'!$N$19&gt;0),(IF(OR('参数与来源'!$N$19="",I32=""),"",I32*'参数与来源'!$N$19))*'参数与来源'!$N$8,"")</f>
      </c>
      <c r="K32" s="324">
        <f>IF(E32="","",(E32-$F$8)/(1-$F$11))</f>
      </c>
      <c r="L32" s="287">
        <f>IF(C32&gt;=$F$10,"",$D$8+K32)</f>
      </c>
      <c r="M32" s="279">
        <f>IF(C32&gt;=$F$10,"不可达","可达")</f>
      </c>
    </row>
    <row r="33" ht="23" customHeight="1">
      <c r="C33" s="176" t="n">
        <v>0.81</v>
      </c>
      <c r="D33" s="173">
        <f>IF(C33&gt;=$F$10,"",$F$7-(C33-$D$9)*'参数与来源'!$D$8/(1-$D$11))</f>
      </c>
      <c r="E33" s="173">
        <f>IF(D33="","",$F$9/D33)</f>
      </c>
      <c r="F33" s="173">
        <f>$F$9</f>
      </c>
      <c r="G33" s="291">
        <f>IF(D33="","",E33/D33)</f>
      </c>
      <c r="H33" s="294">
        <f>IF(OR('参数与来源'!$N$19="",NOT(ISNUMBER(G33))),"",G33*'参数与来源'!$N$19)</f>
      </c>
      <c r="I33" s="298">
        <f>IF(G33="","",G33*'参数与来源'!$D$8)</f>
      </c>
      <c r="J33" s="298">
        <f>IF(AND(ISNUMBER('参数与来源'!$N$19),'参数与来源'!$N$19&gt;0),(IF(OR('参数与来源'!$N$19="",I33=""),"",I33*'参数与来源'!$N$19))*'参数与来源'!$N$8,"")</f>
      </c>
      <c r="K33" s="298">
        <f>IF(E33="","",(E33-$F$8)/(1-$F$11))</f>
      </c>
      <c r="L33" s="300">
        <f>IF(C33&gt;=$F$10,"",$D$8+K33)</f>
      </c>
      <c r="M33" s="298">
        <f>IF(C33&gt;=$F$10,"不可达","可达")</f>
      </c>
    </row>
    <row r="34" ht="23" customHeight="1">
      <c r="C34" s="176" t="n">
        <v>0.82</v>
      </c>
      <c r="D34" s="173">
        <f>IF(C34&gt;=$F$10,"",$F$7-(C34-$D$9)*'参数与来源'!$D$8/(1-$D$11))</f>
      </c>
      <c r="E34" s="173">
        <f>IF(D34="","",$F$9/D34)</f>
      </c>
      <c r="F34" s="173">
        <f>$F$9</f>
      </c>
      <c r="G34" s="291">
        <f>IF(D34="","",E34/D34)</f>
      </c>
      <c r="H34" s="294">
        <f>IF(OR('参数与来源'!$N$19="",NOT(ISNUMBER(G34))),"",G34*'参数与来源'!$N$19)</f>
      </c>
      <c r="I34" s="298">
        <f>IF(G34="","",G34*'参数与来源'!$D$8)</f>
      </c>
      <c r="J34" s="298">
        <f>IF(AND(ISNUMBER('参数与来源'!$N$19),'参数与来源'!$N$19&gt;0),(IF(OR('参数与来源'!$N$19="",I34=""),"",I34*'参数与来源'!$N$19))*'参数与来源'!$N$8,"")</f>
      </c>
      <c r="K34" s="298">
        <f>IF(E34="","",(E34-$F$8)/(1-$F$11))</f>
      </c>
      <c r="L34" s="300">
        <f>IF(C34&gt;=$F$10,"",$D$8+K34)</f>
      </c>
      <c r="M34" s="298">
        <f>IF(C34&gt;=$F$10,"不可达","可达")</f>
      </c>
    </row>
    <row r="35" ht="23" customHeight="1">
      <c r="C35" s="176" t="n">
        <v>0.83</v>
      </c>
      <c r="D35" s="173">
        <f>IF(C35&gt;=$F$10,"",$F$7-(C35-$D$9)*'参数与来源'!$D$8/(1-$D$11))</f>
      </c>
      <c r="E35" s="173">
        <f>IF(D35="","",$F$9/D35)</f>
      </c>
      <c r="F35" s="173">
        <f>$F$9</f>
      </c>
      <c r="G35" s="291">
        <f>IF(D35="","",E35/D35)</f>
      </c>
      <c r="H35" s="294">
        <f>IF(OR('参数与来源'!$N$19="",NOT(ISNUMBER(G35))),"",G35*'参数与来源'!$N$19)</f>
      </c>
      <c r="I35" s="298">
        <f>IF(G35="","",G35*'参数与来源'!$D$8)</f>
      </c>
      <c r="J35" s="298">
        <f>IF(AND(ISNUMBER('参数与来源'!$N$19),'参数与来源'!$N$19&gt;0),(IF(OR('参数与来源'!$N$19="",I35=""),"",I35*'参数与来源'!$N$19))*'参数与来源'!$N$8,"")</f>
      </c>
      <c r="K35" s="298">
        <f>IF(E35="","",(E35-$F$8)/(1-$F$11))</f>
      </c>
      <c r="L35" s="300">
        <f>IF(C35&gt;=$F$10,"",$D$8+K35)</f>
      </c>
      <c r="M35" s="298">
        <f>IF(C35&gt;=$F$10,"不可达","可达")</f>
      </c>
    </row>
    <row r="36" ht="23" customHeight="1">
      <c r="C36" s="176" t="n">
        <v>0.84</v>
      </c>
      <c r="D36" s="173">
        <f>IF(C36&gt;=$F$10,"",$F$7-(C36-$D$9)*'参数与来源'!$D$8/(1-$D$11))</f>
      </c>
      <c r="E36" s="173">
        <f>IF(D36="","",$F$9/D36)</f>
      </c>
      <c r="F36" s="173">
        <f>$F$9</f>
      </c>
      <c r="G36" s="291">
        <f>IF(D36="","",E36/D36)</f>
      </c>
      <c r="H36" s="294">
        <f>IF(OR('参数与来源'!$N$19="",NOT(ISNUMBER(G36))),"",G36*'参数与来源'!$N$19)</f>
      </c>
      <c r="I36" s="298">
        <f>IF(G36="","",G36*'参数与来源'!$D$8)</f>
      </c>
      <c r="J36" s="298">
        <f>IF(AND(ISNUMBER('参数与来源'!$N$19),'参数与来源'!$N$19&gt;0),(IF(OR('参数与来源'!$N$19="",I36=""),"",I36*'参数与来源'!$N$19))*'参数与来源'!$N$8,"")</f>
      </c>
      <c r="K36" s="298">
        <f>IF(E36="","",(E36-$F$8)/(1-$F$11))</f>
      </c>
      <c r="L36" s="300">
        <f>IF(C36&gt;=$F$10,"",$D$8+K36)</f>
      </c>
      <c r="M36" s="298">
        <f>IF(C36&gt;=$F$10,"不可达","可达")</f>
      </c>
    </row>
    <row r="37" ht="23" customHeight="1">
      <c r="C37" s="176" t="n">
        <v>0.85</v>
      </c>
      <c r="D37" s="173">
        <f>IF(C37&gt;=$F$10,"",$F$7-(C37-$D$9)*'参数与来源'!$D$8/(1-$D$11))</f>
      </c>
      <c r="E37" s="173">
        <f>IF(D37="","",$F$9/D37)</f>
      </c>
      <c r="F37" s="173">
        <f>$F$9</f>
      </c>
      <c r="G37" s="291">
        <f>IF(D37="","",E37/D37)</f>
      </c>
      <c r="H37" s="294">
        <f>IF(OR('参数与来源'!$N$19="",NOT(ISNUMBER(G37))),"",G37*'参数与来源'!$N$19)</f>
      </c>
      <c r="I37" s="298">
        <f>IF(G37="","",G37*'参数与来源'!$D$8)</f>
      </c>
      <c r="J37" s="298">
        <f>IF(AND(ISNUMBER('参数与来源'!$N$19),'参数与来源'!$N$19&gt;0),(IF(OR('参数与来源'!$N$19="",I37=""),"",I37*'参数与来源'!$N$19))*'参数与来源'!$N$8,"")</f>
      </c>
      <c r="K37" s="298">
        <f>IF(E37="","",(E37-$F$8)/(1-$F$11))</f>
      </c>
      <c r="L37" s="300">
        <f>IF(C37&gt;=$F$10,"",$D$8+K37)</f>
      </c>
      <c r="M37" s="298">
        <f>IF(C37&gt;=$F$10,"不可达","可达")</f>
      </c>
    </row>
    <row r="38" ht="23" customHeight="1">
      <c r="C38" s="176" t="n">
        <v>0.86</v>
      </c>
      <c r="D38" s="173">
        <f>IF(C38&gt;=$F$10,"",$F$7-(C38-$D$9)*'参数与来源'!$D$8/(1-$D$11))</f>
      </c>
      <c r="E38" s="173">
        <f>IF(D38="","",$F$9/D38)</f>
      </c>
      <c r="F38" s="173">
        <f>$F$9</f>
      </c>
      <c r="G38" s="291">
        <f>IF(D38="","",E38/D38)</f>
      </c>
      <c r="H38" s="294">
        <f>IF(OR('参数与来源'!$N$19="",NOT(ISNUMBER(G38))),"",G38*'参数与来源'!$N$19)</f>
      </c>
      <c r="I38" s="298">
        <f>IF(G38="","",G38*'参数与来源'!$D$8)</f>
      </c>
      <c r="J38" s="298">
        <f>IF(AND(ISNUMBER('参数与来源'!$N$19),'参数与来源'!$N$19&gt;0),(IF(OR('参数与来源'!$N$19="",I38=""),"",I38*'参数与来源'!$N$19))*'参数与来源'!$N$8,"")</f>
      </c>
      <c r="K38" s="298">
        <f>IF(E38="","",(E38-$F$8)/(1-$F$11))</f>
      </c>
      <c r="L38" s="300">
        <f>IF(C38&gt;=$F$10,"",$D$8+K38)</f>
      </c>
      <c r="M38" s="298">
        <f>IF(C38&gt;=$F$10,"不可达","可达")</f>
      </c>
    </row>
    <row r="39" ht="23" customHeight="1">
      <c r="C39" s="176" t="n">
        <v>0.87</v>
      </c>
      <c r="D39" s="173">
        <f>IF(C39&gt;=$F$10,"",$F$7-(C39-$D$9)*'参数与来源'!$D$8/(1-$D$11))</f>
      </c>
      <c r="E39" s="173">
        <f>IF(D39="","",$F$9/D39)</f>
      </c>
      <c r="F39" s="173">
        <f>$F$9</f>
      </c>
      <c r="G39" s="291">
        <f>IF(D39="","",E39/D39)</f>
      </c>
      <c r="H39" s="294">
        <f>IF(OR('参数与来源'!$N$19="",NOT(ISNUMBER(G39))),"",G39*'参数与来源'!$N$19)</f>
      </c>
      <c r="I39" s="298">
        <f>IF(G39="","",G39*'参数与来源'!$D$8)</f>
      </c>
      <c r="J39" s="298">
        <f>IF(AND(ISNUMBER('参数与来源'!$N$19),'参数与来源'!$N$19&gt;0),(IF(OR('参数与来源'!$N$19="",I39=""),"",I39*'参数与来源'!$N$19))*'参数与来源'!$N$8,"")</f>
      </c>
      <c r="K39" s="298">
        <f>IF(E39="","",(E39-$F$8)/(1-$F$11))</f>
      </c>
      <c r="L39" s="300">
        <f>IF(C39&gt;=$F$10,"",$D$8+K39)</f>
      </c>
      <c r="M39" s="298">
        <f>IF(C39&gt;=$F$10,"不可达","可达")</f>
      </c>
    </row>
    <row r="40" ht="23" customHeight="1">
      <c r="C40" s="176" t="n">
        <v>0.88</v>
      </c>
      <c r="D40" s="173">
        <f>IF(C40&gt;=$F$10,"",$F$7-(C40-$D$9)*'参数与来源'!$D$8/(1-$D$11))</f>
      </c>
      <c r="E40" s="173">
        <f>IF(D40="","",$F$9/D40)</f>
      </c>
      <c r="F40" s="173">
        <f>$F$9</f>
      </c>
      <c r="G40" s="291">
        <f>IF(D40="","",E40/D40)</f>
      </c>
      <c r="H40" s="294">
        <f>IF(OR('参数与来源'!$N$19="",NOT(ISNUMBER(G40))),"",G40*'参数与来源'!$N$19)</f>
      </c>
      <c r="I40" s="298">
        <f>IF(G40="","",G40*'参数与来源'!$D$8)</f>
      </c>
      <c r="J40" s="298">
        <f>IF(AND(ISNUMBER('参数与来源'!$N$19),'参数与来源'!$N$19&gt;0),(IF(OR('参数与来源'!$N$19="",I40=""),"",I40*'参数与来源'!$N$19))*'参数与来源'!$N$8,"")</f>
      </c>
      <c r="K40" s="298">
        <f>IF(E40="","",(E40-$F$8)/(1-$F$11))</f>
      </c>
      <c r="L40" s="300">
        <f>IF(C40&gt;=$F$10,"",$D$8+K40)</f>
      </c>
      <c r="M40" s="298">
        <f>IF(C40&gt;=$F$10,"不可达","可达")</f>
      </c>
    </row>
    <row r="41" ht="23" customHeight="1">
      <c r="C41" s="176" t="n">
        <v>0.89</v>
      </c>
      <c r="D41" s="173">
        <f>IF(C41&gt;=$F$10,"",$F$7-(C41-$D$9)*'参数与来源'!$D$8/(1-$D$11))</f>
      </c>
      <c r="E41" s="173">
        <f>IF(D41="","",$F$9/D41)</f>
      </c>
      <c r="F41" s="173">
        <f>$F$9</f>
      </c>
      <c r="G41" s="291">
        <f>IF(D41="","",E41/D41)</f>
      </c>
      <c r="H41" s="294">
        <f>IF(OR('参数与来源'!$N$19="",NOT(ISNUMBER(G41))),"",G41*'参数与来源'!$N$19)</f>
      </c>
      <c r="I41" s="298">
        <f>IF(G41="","",G41*'参数与来源'!$D$8)</f>
      </c>
      <c r="J41" s="298">
        <f>IF(AND(ISNUMBER('参数与来源'!$N$19),'参数与来源'!$N$19&gt;0),(IF(OR('参数与来源'!$N$19="",I41=""),"",I41*'参数与来源'!$N$19))*'参数与来源'!$N$8,"")</f>
      </c>
      <c r="K41" s="298">
        <f>IF(E41="","",(E41-$F$8)/(1-$F$11))</f>
      </c>
      <c r="L41" s="300">
        <f>IF(C41&gt;=$F$10,"",$D$8+K41)</f>
      </c>
      <c r="M41" s="298">
        <f>IF(C41&gt;=$F$10,"不可达","可达")</f>
      </c>
    </row>
    <row r="42" ht="23" customHeight="1">
      <c r="C42" s="176" t="n">
        <v>0.9</v>
      </c>
      <c r="D42" s="173">
        <f>IF(C42&gt;=$F$10,"",$F$7-(C42-$D$9)*'参数与来源'!$D$8/(1-$D$11))</f>
      </c>
      <c r="E42" s="173">
        <f>IF(D42="","",$F$9/D42)</f>
      </c>
      <c r="F42" s="173">
        <f>$F$9</f>
      </c>
      <c r="G42" s="291">
        <f>IF(D42="","",E42/D42)</f>
      </c>
      <c r="H42" s="294">
        <f>IF(OR('参数与来源'!$N$19="",NOT(ISNUMBER(G42))),"",G42*'参数与来源'!$N$19)</f>
      </c>
      <c r="I42" s="298">
        <f>IF(G42="","",G42*'参数与来源'!$D$8)</f>
      </c>
      <c r="J42" s="298">
        <f>IF(AND(ISNUMBER('参数与来源'!$N$19),'参数与来源'!$N$19&gt;0),(IF(OR('参数与来源'!$N$19="",I42=""),"",I42*'参数与来源'!$N$19))*'参数与来源'!$N$8,"")</f>
      </c>
      <c r="K42" s="298">
        <f>IF(E42="","",(E42-$F$8)/(1-$F$11))</f>
      </c>
      <c r="L42" s="300">
        <f>IF(C42&gt;=$F$10,"",$D$8+K42)</f>
      </c>
      <c r="M42" s="298">
        <f>IF(C42&gt;=$F$10,"不可达","可达")</f>
      </c>
    </row>
    <row r="43" ht="23" customHeight="1">
      <c r="C43" s="176" t="n">
        <v>0.91</v>
      </c>
      <c r="D43" s="173">
        <f>IF(C43&gt;=$F$10,"",$F$7-(C43-$D$9)*'参数与来源'!$D$8/(1-$D$11))</f>
      </c>
      <c r="E43" s="173">
        <f>IF(D43="","",$F$9/D43)</f>
      </c>
      <c r="F43" s="173">
        <f>$F$9</f>
      </c>
      <c r="G43" s="291">
        <f>IF(D43="","",E43/D43)</f>
      </c>
      <c r="H43" s="294">
        <f>IF(OR('参数与来源'!$N$19="",NOT(ISNUMBER(G43))),"",G43*'参数与来源'!$N$19)</f>
      </c>
      <c r="I43" s="298">
        <f>IF(G43="","",G43*'参数与来源'!$D$8)</f>
      </c>
      <c r="J43" s="298">
        <f>IF(AND(ISNUMBER('参数与来源'!$N$19),'参数与来源'!$N$19&gt;0),(IF(OR('参数与来源'!$N$19="",I43=""),"",I43*'参数与来源'!$N$19))*'参数与来源'!$N$8,"")</f>
      </c>
      <c r="K43" s="298">
        <f>IF(E43="","",(E43-$F$8)/(1-$F$11))</f>
      </c>
      <c r="L43" s="300">
        <f>IF(C43&gt;=$F$10,"",$D$8+K43)</f>
      </c>
      <c r="M43" s="298">
        <f>IF(C43&gt;=$F$10,"不可达","可达")</f>
      </c>
    </row>
    <row r="44" ht="23" customHeight="1">
      <c r="C44" s="176" t="n">
        <v>0.92</v>
      </c>
      <c r="D44" s="173">
        <f>IF(C44&gt;=$F$10,"",$F$7-(C44-$D$9)*'参数与来源'!$D$8/(1-$D$11))</f>
      </c>
      <c r="E44" s="173">
        <f>IF(D44="","",$F$9/D44)</f>
      </c>
      <c r="F44" s="173">
        <f>$F$9</f>
      </c>
      <c r="G44" s="291">
        <f>IF(D44="","",E44/D44)</f>
      </c>
      <c r="H44" s="294">
        <f>IF(OR('参数与来源'!$N$19="",NOT(ISNUMBER(G44))),"",G44*'参数与来源'!$N$19)</f>
      </c>
      <c r="I44" s="298">
        <f>IF(G44="","",G44*'参数与来源'!$D$8)</f>
      </c>
      <c r="J44" s="298">
        <f>IF(AND(ISNUMBER('参数与来源'!$N$19),'参数与来源'!$N$19&gt;0),(IF(OR('参数与来源'!$N$19="",I44=""),"",I44*'参数与来源'!$N$19))*'参数与来源'!$N$8,"")</f>
      </c>
      <c r="K44" s="298">
        <f>IF(E44="","",(E44-$F$8)/(1-$F$11))</f>
      </c>
      <c r="L44" s="300">
        <f>IF(C44&gt;=$F$10,"",$D$8+K44)</f>
      </c>
      <c r="M44" s="298">
        <f>IF(C44&gt;=$F$10,"不可达","可达")</f>
      </c>
    </row>
    <row r="45" ht="23" customHeight="1">
      <c r="C45" s="176" t="n">
        <v>0.93</v>
      </c>
      <c r="D45" s="173">
        <f>IF(C45&gt;=$F$10,"",$F$7-(C45-$D$9)*'参数与来源'!$D$8/(1-$D$11))</f>
      </c>
      <c r="E45" s="173">
        <f>IF(D45="","",$F$9/D45)</f>
      </c>
      <c r="F45" s="173">
        <f>$F$9</f>
      </c>
      <c r="G45" s="291">
        <f>IF(D45="","",E45/D45)</f>
      </c>
      <c r="H45" s="294">
        <f>IF(OR('参数与来源'!$N$19="",NOT(ISNUMBER(G45))),"",G45*'参数与来源'!$N$19)</f>
      </c>
      <c r="I45" s="298">
        <f>IF(G45="","",G45*'参数与来源'!$D$8)</f>
      </c>
      <c r="J45" s="298">
        <f>IF(AND(ISNUMBER('参数与来源'!$N$19),'参数与来源'!$N$19&gt;0),(IF(OR('参数与来源'!$N$19="",I45=""),"",I45*'参数与来源'!$N$19))*'参数与来源'!$N$8,"")</f>
      </c>
      <c r="K45" s="298">
        <f>IF(E45="","",(E45-$F$8)/(1-$F$11))</f>
      </c>
      <c r="L45" s="300">
        <f>IF(C45&gt;=$F$10,"",$D$8+K45)</f>
      </c>
      <c r="M45" s="298">
        <f>IF(C45&gt;=$F$10,"不可达","可达")</f>
      </c>
    </row>
    <row r="46" ht="23" customHeight="1">
      <c r="C46" s="176" t="n">
        <v>0.94</v>
      </c>
      <c r="D46" s="173">
        <f>IF(C46&gt;=$F$10,"",$F$7-(C46-$D$9)*'参数与来源'!$D$8/(1-$D$11))</f>
      </c>
      <c r="E46" s="173">
        <f>IF(D46="","",$F$9/D46)</f>
      </c>
      <c r="F46" s="173">
        <f>$F$9</f>
      </c>
      <c r="G46" s="291">
        <f>IF(D46="","",E46/D46)</f>
      </c>
      <c r="H46" s="294">
        <f>IF(OR('参数与来源'!$N$19="",NOT(ISNUMBER(G46))),"",G46*'参数与来源'!$N$19)</f>
      </c>
      <c r="I46" s="298">
        <f>IF(G46="","",G46*'参数与来源'!$D$8)</f>
      </c>
      <c r="J46" s="298">
        <f>IF(AND(ISNUMBER('参数与来源'!$N$19),'参数与来源'!$N$19&gt;0),(IF(OR('参数与来源'!$N$19="",I46=""),"",I46*'参数与来源'!$N$19))*'参数与来源'!$N$8,"")</f>
      </c>
      <c r="K46" s="298">
        <f>IF(E46="","",(E46-$F$8)/(1-$F$11))</f>
      </c>
      <c r="L46" s="300">
        <f>IF(C46&gt;=$F$10,"",$D$8+K46)</f>
      </c>
      <c r="M46" s="298">
        <f>IF(C46&gt;=$F$10,"不可达","可达")</f>
      </c>
    </row>
    <row r="47" ht="23" customHeight="1">
      <c r="C47" s="176" t="n">
        <v>0.95</v>
      </c>
      <c r="D47" s="173">
        <f>IF(C47&gt;=$F$10,"",$F$7-(C47-$D$9)*'参数与来源'!$D$8/(1-$D$11))</f>
      </c>
      <c r="E47" s="173">
        <f>IF(D47="","",$F$9/D47)</f>
      </c>
      <c r="F47" s="173">
        <f>$F$9</f>
      </c>
      <c r="G47" s="291">
        <f>IF(D47="","",E47/D47)</f>
      </c>
      <c r="H47" s="294">
        <f>IF(OR('参数与来源'!$N$19="",NOT(ISNUMBER(G47))),"",G47*'参数与来源'!$N$19)</f>
      </c>
      <c r="I47" s="298">
        <f>IF(G47="","",G47*'参数与来源'!$D$8)</f>
      </c>
      <c r="J47" s="298">
        <f>IF(AND(ISNUMBER('参数与来源'!$N$19),'参数与来源'!$N$19&gt;0),(IF(OR('参数与来源'!$N$19="",I47=""),"",I47*'参数与来源'!$N$19))*'参数与来源'!$N$8,"")</f>
      </c>
      <c r="K47" s="298">
        <f>IF(E47="","",(E47-$F$8)/(1-$F$11))</f>
      </c>
      <c r="L47" s="300">
        <f>IF(C47&gt;=$F$10,"",$D$8+K47)</f>
      </c>
      <c r="M47" s="298">
        <f>IF(C47&gt;=$F$10,"不可达","可达")</f>
      </c>
    </row>
    <row r="48" ht="23" customHeight="1">
      <c r="C48" s="176" t="n">
        <v>0.96</v>
      </c>
      <c r="D48" s="173">
        <f>IF(C48&gt;=$F$10,"",$F$7-(C48-$D$9)*'参数与来源'!$D$8/(1-$D$11))</f>
      </c>
      <c r="E48" s="173">
        <f>IF(D48="","",$F$9/D48)</f>
      </c>
      <c r="F48" s="173">
        <f>$F$9</f>
      </c>
      <c r="G48" s="291">
        <f>IF(D48="","",E48/D48)</f>
      </c>
      <c r="H48" s="294">
        <f>IF(OR('参数与来源'!$N$19="",NOT(ISNUMBER(G48))),"",G48*'参数与来源'!$N$19)</f>
      </c>
      <c r="I48" s="298">
        <f>IF(G48="","",G48*'参数与来源'!$D$8)</f>
      </c>
      <c r="J48" s="298">
        <f>IF(AND(ISNUMBER('参数与来源'!$N$19),'参数与来源'!$N$19&gt;0),(IF(OR('参数与来源'!$N$19="",I48=""),"",I48*'参数与来源'!$N$19))*'参数与来源'!$N$8,"")</f>
      </c>
      <c r="K48" s="298">
        <f>IF(E48="","",(E48-$F$8)/(1-$F$11))</f>
      </c>
      <c r="L48" s="300">
        <f>IF(C48&gt;=$F$10,"",$D$8+K48)</f>
      </c>
      <c r="M48" s="298">
        <f>IF(C48&gt;=$F$10,"不可达","可达")</f>
      </c>
    </row>
    <row r="49" ht="23" customHeight="1">
      <c r="C49" s="176" t="n">
        <v>0.97</v>
      </c>
      <c r="D49" s="173">
        <f>IF(C49&gt;=$F$10,"",$F$7-(C49-$D$9)*'参数与来源'!$D$8/(1-$D$11))</f>
      </c>
      <c r="E49" s="173">
        <f>IF(D49="","",$F$9/D49)</f>
      </c>
      <c r="F49" s="173">
        <f>$F$9</f>
      </c>
      <c r="G49" s="291">
        <f>IF(D49="","",E49/D49)</f>
      </c>
      <c r="H49" s="294">
        <f>IF(OR('参数与来源'!$N$19="",NOT(ISNUMBER(G49))),"",G49*'参数与来源'!$N$19)</f>
      </c>
      <c r="I49" s="298">
        <f>IF(G49="","",G49*'参数与来源'!$D$8)</f>
      </c>
      <c r="J49" s="298">
        <f>IF(AND(ISNUMBER('参数与来源'!$N$19),'参数与来源'!$N$19&gt;0),(IF(OR('参数与来源'!$N$19="",I49=""),"",I49*'参数与来源'!$N$19))*'参数与来源'!$N$8,"")</f>
      </c>
      <c r="K49" s="298">
        <f>IF(E49="","",(E49-$F$8)/(1-$F$11))</f>
      </c>
      <c r="L49" s="300">
        <f>IF(C49&gt;=$F$10,"",$D$8+K49)</f>
      </c>
      <c r="M49" s="298">
        <f>IF(C49&gt;=$F$10,"不可达","可达")</f>
      </c>
    </row>
    <row r="50" ht="23" customHeight="1">
      <c r="C50" s="176" t="n">
        <v>0.98</v>
      </c>
      <c r="D50" s="173">
        <f>IF(C50&gt;=$F$10,"",$F$7-(C50-$D$9)*'参数与来源'!$D$8/(1-$D$11))</f>
      </c>
      <c r="E50" s="173">
        <f>IF(D50="","",$F$9/D50)</f>
      </c>
      <c r="F50" s="173">
        <f>$F$9</f>
      </c>
      <c r="G50" s="291">
        <f>IF(D50="","",E50/D50)</f>
      </c>
      <c r="H50" s="294">
        <f>IF(OR('参数与来源'!$N$19="",NOT(ISNUMBER(G50))),"",G50*'参数与来源'!$N$19)</f>
      </c>
      <c r="I50" s="298">
        <f>IF(G50="","",G50*'参数与来源'!$D$8)</f>
      </c>
      <c r="J50" s="298">
        <f>IF(AND(ISNUMBER('参数与来源'!$N$19),'参数与来源'!$N$19&gt;0),(IF(OR('参数与来源'!$N$19="",I50=""),"",I50*'参数与来源'!$N$19))*'参数与来源'!$N$8,"")</f>
      </c>
      <c r="K50" s="298">
        <f>IF(E50="","",(E50-$F$8)/(1-$F$11))</f>
      </c>
      <c r="L50" s="300">
        <f>IF(C50&gt;=$F$10,"",$D$8+K50)</f>
      </c>
      <c r="M50" s="298">
        <f>IF(C50&gt;=$F$10,"不可达","可达")</f>
      </c>
    </row>
    <row r="51" ht="23" customHeight="1">
      <c r="C51" s="176" t="n">
        <v>0.984</v>
      </c>
      <c r="D51" s="173">
        <f>IF(C51&gt;=$F$10,"",$F$7-(C51-$D$9)*'参数与来源'!$D$8/(1-$D$11))</f>
      </c>
      <c r="E51" s="173">
        <f>IF(D51="","",$F$9/D51)</f>
      </c>
      <c r="F51" s="173">
        <f>$F$9</f>
      </c>
      <c r="G51" s="291">
        <f>IF(D51="","",E51/D51)</f>
      </c>
      <c r="H51" s="294">
        <f>IF(OR('参数与来源'!$N$19="",NOT(ISNUMBER(G51))),"",G51*'参数与来源'!$N$19)</f>
      </c>
      <c r="I51" s="298">
        <f>IF(G51="","",G51*'参数与来源'!$D$8)</f>
      </c>
      <c r="J51" s="298">
        <f>IF(AND(ISNUMBER('参数与来源'!$N$19),'参数与来源'!$N$19&gt;0),(IF(OR('参数与来源'!$N$19="",I51=""),"",I51*'参数与来源'!$N$19))*'参数与来源'!$N$8,"")</f>
      </c>
      <c r="K51" s="298">
        <f>IF(E51="","",(E51-$F$8)/(1-$F$11))</f>
      </c>
      <c r="L51" s="300">
        <f>IF(C51&gt;=$F$10,"",$D$8+K51)</f>
      </c>
      <c r="M51" s="298">
        <f>IF(C51&gt;=$F$10,"不可达","可达")</f>
      </c>
    </row>
    <row r="52" ht="23" customHeight="1">
      <c r="C52" s="176" t="n">
        <v>0.99</v>
      </c>
      <c r="D52" s="173">
        <f>IF(C52&gt;=$F$10,"",$F$7-(C52-$D$9)*'参数与来源'!$D$8/(1-$D$11))</f>
      </c>
      <c r="E52" s="173">
        <f>IF(D52="","",$F$9/D52)</f>
      </c>
      <c r="F52" s="173">
        <f>$F$9</f>
      </c>
      <c r="G52" s="291">
        <f>IF(D52="","",E52/D52)</f>
      </c>
      <c r="H52" s="294">
        <f>IF(OR('参数与来源'!$N$19="",NOT(ISNUMBER(G52))),"",G52*'参数与来源'!$N$19)</f>
      </c>
      <c r="I52" s="298">
        <f>IF(G52="","",G52*'参数与来源'!$D$8)</f>
      </c>
      <c r="J52" s="298">
        <f>IF(AND(ISNUMBER('参数与来源'!$N$19),'参数与来源'!$N$19&gt;0),(IF(OR('参数与来源'!$N$19="",I52=""),"",I52*'参数与来源'!$N$19))*'参数与来源'!$N$8,"")</f>
      </c>
      <c r="K52" s="298">
        <f>IF(E52="","",(E52-$F$8)/(1-$F$11))</f>
      </c>
      <c r="L52" s="300">
        <f>IF(C52&gt;=$F$10,"",$D$8+K52)</f>
      </c>
      <c r="M52" s="298">
        <f>IF(C52&gt;=$F$10,"不可达","可达")</f>
      </c>
    </row>
    <row r="53" ht="23" customHeight="1">
      <c r="C53" s="176" t="n">
        <v>0.993</v>
      </c>
      <c r="D53" s="173">
        <f>IF(C53&gt;=$F$10,"",$F$7-(C53-$D$9)*'参数与来源'!$D$8/(1-$D$11))</f>
      </c>
      <c r="E53" s="173">
        <f>IF(D53="","",$F$9/D53)</f>
      </c>
      <c r="F53" s="173">
        <f>$F$9</f>
      </c>
      <c r="G53" s="291">
        <f>IF(D53="","",E53/D53)</f>
      </c>
      <c r="H53" s="294">
        <f>IF(OR('参数与来源'!$N$19="",NOT(ISNUMBER(G53))),"",G53*'参数与来源'!$N$19)</f>
      </c>
      <c r="I53" s="298">
        <f>IF(G53="","",G53*'参数与来源'!$D$8)</f>
      </c>
      <c r="J53" s="298">
        <f>IF(AND(ISNUMBER('参数与来源'!$N$19),'参数与来源'!$N$19&gt;0),(IF(OR('参数与来源'!$N$19="",I53=""),"",I53*'参数与来源'!$N$19))*'参数与来源'!$N$8,"")</f>
      </c>
      <c r="K53" s="298">
        <f>IF(E53="","",(E53-$F$8)/(1-$F$11))</f>
      </c>
      <c r="L53" s="300">
        <f>IF(C53&gt;=$F$10,"",$D$8+K53)</f>
      </c>
      <c r="M53" s="298">
        <f>IF(C53&gt;=$F$10,"不可达","可达")</f>
      </c>
    </row>
    <row r="54" ht="23" customHeight="1">
      <c r="C54" s="177" t="n">
        <v>0.994</v>
      </c>
      <c r="D54" s="174">
        <f>IF(C54&gt;=$F$10,"",$F$7-(C54-$D$9)*'参数与来源'!$D$8/(1-$D$11))</f>
      </c>
      <c r="E54" s="174">
        <f>IF(D54="","",$F$9/D54)</f>
      </c>
      <c r="F54" s="174">
        <f>$F$9</f>
      </c>
      <c r="G54" s="341">
        <f>IF(D54="","",E54/D54)</f>
      </c>
      <c r="H54" s="344">
        <f>IF(OR('参数与来源'!$N$19="",NOT(ISNUMBER(G54))),"",G54*'参数与来源'!$N$19)</f>
      </c>
      <c r="I54" s="348">
        <f>IF(G54="","",G54*'参数与来源'!$D$8)</f>
      </c>
      <c r="J54" s="348">
        <f>IF(AND(ISNUMBER('参数与来源'!$N$19),'参数与来源'!$N$19&gt;0),(IF(OR('参数与来源'!$N$19="",I54=""),"",I54*'参数与来源'!$N$19))*'参数与来源'!$N$8,"")</f>
      </c>
      <c r="K54" s="348">
        <f>IF(E54="","",(E54-$F$8)/(1-$F$11))</f>
      </c>
      <c r="L54" s="313">
        <f>IF(C54&gt;=$F$10,"",$D$8+K54)</f>
      </c>
      <c r="M54" s="359">
        <f>IF(C54&gt;=$F$10,"不可达","可达")</f>
      </c>
    </row>
    <row r="55"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ht="24" customHeight="1">
      <c r="C57" s="125" t="str">
        <v>外盘回落参考 · 从毕业点卖出回落，计入卖税与 V2 费</v>
      </c>
      <c r="D57" s="125"/>
      <c r="E57" s="125"/>
      <c r="F57" s="125"/>
      <c r="G57" s="125"/>
      <c r="H57" s="125"/>
      <c r="I57" s="125"/>
      <c r="J57" s="125"/>
      <c r="K57" s="125"/>
      <c r="L57" s="125"/>
    </row>
    <row r="58" ht="30" customHeight="1">
      <c r="C58" s="166" t="str">
        <v>净控筹率</v>
      </c>
      <c r="D58" s="167" t="str">
        <v>pooled Meme</v>
      </c>
      <c r="E58" s="167" t="str">
        <v>pooled BNC4</v>
      </c>
      <c r="F58" s="167" t="str">
        <v>池 k</v>
      </c>
      <c r="G58" s="256" t="str">
        <v>价格 / BNC4</v>
      </c>
      <c r="H58" s="256" t="str">
        <v>价格 / USDT</v>
      </c>
      <c r="I58" s="256" t="str">
        <v>市值 / BNC4</v>
      </c>
      <c r="J58" s="256" t="str">
        <v>市值 / USD</v>
      </c>
      <c r="K58" s="256" t="str">
        <v>较毕业点回撤</v>
      </c>
      <c r="L58" s="256" t="str">
        <v>卖出收到 BNC4</v>
      </c>
      <c r="M58" s="262" t="str">
        <v>卖出 Meme</v>
      </c>
    </row>
    <row r="59" ht="23" customHeight="1">
      <c r="C59" s="175" t="n">
        <v>0.8</v>
      </c>
      <c r="D59" s="172">
        <f>$F$7+M59*(1-$D$12)</f>
      </c>
      <c r="E59" s="172">
        <f>$F$8-L59</f>
      </c>
      <c r="F59" s="172">
        <f>D59*E59</f>
      </c>
      <c r="G59" s="272">
        <f>E59/D59</f>
      </c>
      <c r="H59" s="275">
        <f>IF(OR('参数与来源'!$N$19="",NOT(ISNUMBER(G59))),"",G59*'参数与来源'!$N$19)</f>
      </c>
      <c r="I59" s="279">
        <f>G59*'参数与来源'!$D$8</f>
      </c>
      <c r="J59" s="279">
        <f>IF(AND(ISNUMBER('参数与来源'!$N$19),'参数与来源'!$N$19&gt;0),(IF('参数与来源'!$N$19="","",I59*'参数与来源'!$N$19))*'参数与来源'!$N$8,"")</f>
      </c>
      <c r="K59" s="363">
        <f>1-G59/$F$14</f>
      </c>
      <c r="L59" s="287">
        <f>$F$8*(M59*(1-$D$12)*(1-$F$11))/($F$7+M59*(1-$D$12)*(1-$F$11))</f>
      </c>
      <c r="M59" s="279">
        <f>($D$9-C59)*'参数与来源'!$D$8</f>
      </c>
    </row>
    <row r="60" ht="23" customHeight="1">
      <c r="C60" s="176" t="n">
        <v>0.7000000000000001</v>
      </c>
      <c r="D60" s="173">
        <f>$F$7+M60*(1-$D$12)</f>
      </c>
      <c r="E60" s="173">
        <f>$F$8-L60</f>
      </c>
      <c r="F60" s="173">
        <f>D60*E60</f>
      </c>
      <c r="G60" s="291">
        <f>E60/D60</f>
      </c>
      <c r="H60" s="294">
        <f>IF(OR('参数与来源'!$N$19="",NOT(ISNUMBER(G60))),"",G60*'参数与来源'!$N$19)</f>
      </c>
      <c r="I60" s="298">
        <f>G60*'参数与来源'!$D$8</f>
      </c>
      <c r="J60" s="298">
        <f>IF(AND(ISNUMBER('参数与来源'!$N$19),'参数与来源'!$N$19&gt;0),(IF('参数与来源'!$N$19="","",I60*'参数与来源'!$N$19))*'参数与来源'!$N$8,"")</f>
      </c>
      <c r="K60" s="367">
        <f>1-G60/$F$14</f>
      </c>
      <c r="L60" s="300">
        <f>$F$8*(M60*(1-$D$12)*(1-$F$11))/($F$7+M60*(1-$D$12)*(1-$F$11))</f>
      </c>
      <c r="M60" s="298">
        <f>($D$9-C60)*'参数与来源'!$D$8</f>
      </c>
    </row>
    <row r="61" ht="23" customHeight="1">
      <c r="C61" s="176" t="n">
        <v>0.6000000000000001</v>
      </c>
      <c r="D61" s="173">
        <f>$F$7+M61*(1-$D$12)</f>
      </c>
      <c r="E61" s="173">
        <f>$F$8-L61</f>
      </c>
      <c r="F61" s="173">
        <f>D61*E61</f>
      </c>
      <c r="G61" s="291">
        <f>E61/D61</f>
      </c>
      <c r="H61" s="294">
        <f>IF(OR('参数与来源'!$N$19="",NOT(ISNUMBER(G61))),"",G61*'参数与来源'!$N$19)</f>
      </c>
      <c r="I61" s="298">
        <f>G61*'参数与来源'!$D$8</f>
      </c>
      <c r="J61" s="298">
        <f>IF(AND(ISNUMBER('参数与来源'!$N$19),'参数与来源'!$N$19&gt;0),(IF('参数与来源'!$N$19="","",I61*'参数与来源'!$N$19))*'参数与来源'!$N$8,"")</f>
      </c>
      <c r="K61" s="367">
        <f>1-G61/$F$14</f>
      </c>
      <c r="L61" s="300">
        <f>$F$8*(M61*(1-$D$12)*(1-$F$11))/($F$7+M61*(1-$D$12)*(1-$F$11))</f>
      </c>
      <c r="M61" s="298">
        <f>($D$9-C61)*'参数与来源'!$D$8</f>
      </c>
    </row>
    <row r="62" ht="23" customHeight="1">
      <c r="C62" s="176" t="n">
        <v>0.5</v>
      </c>
      <c r="D62" s="173">
        <f>$F$7+M62*(1-$D$12)</f>
      </c>
      <c r="E62" s="173">
        <f>$F$8-L62</f>
      </c>
      <c r="F62" s="173">
        <f>D62*E62</f>
      </c>
      <c r="G62" s="291">
        <f>E62/D62</f>
      </c>
      <c r="H62" s="294">
        <f>IF(OR('参数与来源'!$N$19="",NOT(ISNUMBER(G62))),"",G62*'参数与来源'!$N$19)</f>
      </c>
      <c r="I62" s="298">
        <f>G62*'参数与来源'!$D$8</f>
      </c>
      <c r="J62" s="298">
        <f>IF(AND(ISNUMBER('参数与来源'!$N$19),'参数与来源'!$N$19&gt;0),(IF('参数与来源'!$N$19="","",I62*'参数与来源'!$N$19))*'参数与来源'!$N$8,"")</f>
      </c>
      <c r="K62" s="367">
        <f>1-G62/$F$14</f>
      </c>
      <c r="L62" s="300">
        <f>$F$8*(M62*(1-$D$12)*(1-$F$11))/($F$7+M62*(1-$D$12)*(1-$F$11))</f>
      </c>
      <c r="M62" s="298">
        <f>($D$9-C62)*'参数与来源'!$D$8</f>
      </c>
    </row>
    <row r="63" ht="23" customHeight="1">
      <c r="C63" s="176" t="n">
        <v>0.4</v>
      </c>
      <c r="D63" s="173">
        <f>$F$7+M63*(1-$D$12)</f>
      </c>
      <c r="E63" s="173">
        <f>$F$8-L63</f>
      </c>
      <c r="F63" s="173">
        <f>D63*E63</f>
      </c>
      <c r="G63" s="291">
        <f>E63/D63</f>
      </c>
      <c r="H63" s="294">
        <f>IF(OR('参数与来源'!$N$19="",NOT(ISNUMBER(G63))),"",G63*'参数与来源'!$N$19)</f>
      </c>
      <c r="I63" s="298">
        <f>G63*'参数与来源'!$D$8</f>
      </c>
      <c r="J63" s="298">
        <f>IF(AND(ISNUMBER('参数与来源'!$N$19),'参数与来源'!$N$19&gt;0),(IF('参数与来源'!$N$19="","",I63*'参数与来源'!$N$19))*'参数与来源'!$N$8,"")</f>
      </c>
      <c r="K63" s="367">
        <f>1-G63/$F$14</f>
      </c>
      <c r="L63" s="300">
        <f>$F$8*(M63*(1-$D$12)*(1-$F$11))/($F$7+M63*(1-$D$12)*(1-$F$11))</f>
      </c>
      <c r="M63" s="298">
        <f>($D$9-C63)*'参数与来源'!$D$8</f>
      </c>
    </row>
    <row r="64" ht="23" customHeight="1">
      <c r="C64" s="176" t="n">
        <v>0.30000000000000004</v>
      </c>
      <c r="D64" s="173">
        <f>$F$7+M64*(1-$D$12)</f>
      </c>
      <c r="E64" s="173">
        <f>$F$8-L64</f>
      </c>
      <c r="F64" s="173">
        <f>D64*E64</f>
      </c>
      <c r="G64" s="291">
        <f>E64/D64</f>
      </c>
      <c r="H64" s="294">
        <f>IF(OR('参数与来源'!$N$19="",NOT(ISNUMBER(G64))),"",G64*'参数与来源'!$N$19)</f>
      </c>
      <c r="I64" s="298">
        <f>G64*'参数与来源'!$D$8</f>
      </c>
      <c r="J64" s="298">
        <f>IF(AND(ISNUMBER('参数与来源'!$N$19),'参数与来源'!$N$19&gt;0),(IF('参数与来源'!$N$19="","",I64*'参数与来源'!$N$19))*'参数与来源'!$N$8,"")</f>
      </c>
      <c r="K64" s="367">
        <f>1-G64/$F$14</f>
      </c>
      <c r="L64" s="300">
        <f>$F$8*(M64*(1-$D$12)*(1-$F$11))/($F$7+M64*(1-$D$12)*(1-$F$11))</f>
      </c>
      <c r="M64" s="298">
        <f>($D$9-C64)*'参数与来源'!$D$8</f>
      </c>
    </row>
    <row r="65" ht="23" customHeight="1">
      <c r="C65" s="176" t="n">
        <v>0.19999999999999996</v>
      </c>
      <c r="D65" s="173">
        <f>$F$7+M65*(1-$D$12)</f>
      </c>
      <c r="E65" s="173">
        <f>$F$8-L65</f>
      </c>
      <c r="F65" s="173">
        <f>D65*E65</f>
      </c>
      <c r="G65" s="291">
        <f>E65/D65</f>
      </c>
      <c r="H65" s="294">
        <f>IF(OR('参数与来源'!$N$19="",NOT(ISNUMBER(G65))),"",G65*'参数与来源'!$N$19)</f>
      </c>
      <c r="I65" s="298">
        <f>G65*'参数与来源'!$D$8</f>
      </c>
      <c r="J65" s="298">
        <f>IF(AND(ISNUMBER('参数与来源'!$N$19),'参数与来源'!$N$19&gt;0),(IF('参数与来源'!$N$19="","",I65*'参数与来源'!$N$19))*'参数与来源'!$N$8,"")</f>
      </c>
      <c r="K65" s="367">
        <f>1-G65/$F$14</f>
      </c>
      <c r="L65" s="300">
        <f>$F$8*(M65*(1-$D$12)*(1-$F$11))/($F$7+M65*(1-$D$12)*(1-$F$11))</f>
      </c>
      <c r="M65" s="298">
        <f>($D$9-C65)*'参数与来源'!$D$8</f>
      </c>
    </row>
    <row r="66" ht="23" customHeight="1">
      <c r="C66" s="176" t="n">
        <v>0.09999999999999998</v>
      </c>
      <c r="D66" s="173">
        <f>$F$7+M66*(1-$D$12)</f>
      </c>
      <c r="E66" s="173">
        <f>$F$8-L66</f>
      </c>
      <c r="F66" s="173">
        <f>D66*E66</f>
      </c>
      <c r="G66" s="291">
        <f>E66/D66</f>
      </c>
      <c r="H66" s="294">
        <f>IF(OR('参数与来源'!$N$19="",NOT(ISNUMBER(G66))),"",G66*'参数与来源'!$N$19)</f>
      </c>
      <c r="I66" s="298">
        <f>G66*'参数与来源'!$D$8</f>
      </c>
      <c r="J66" s="298">
        <f>IF(AND(ISNUMBER('参数与来源'!$N$19),'参数与来源'!$N$19&gt;0),(IF('参数与来源'!$N$19="","",I66*'参数与来源'!$N$19))*'参数与来源'!$N$8,"")</f>
      </c>
      <c r="K66" s="367">
        <f>1-G66/$F$14</f>
      </c>
      <c r="L66" s="300">
        <f>$F$8*(M66*(1-$D$12)*(1-$F$11))/($F$7+M66*(1-$D$12)*(1-$F$11))</f>
      </c>
      <c r="M66" s="298">
        <f>($D$9-C66)*'参数与来源'!$D$8</f>
      </c>
    </row>
    <row r="67" ht="23" customHeight="1">
      <c r="C67" s="177" t="n">
        <v>0</v>
      </c>
      <c r="D67" s="174">
        <f>$F$7+M67*(1-$D$12)</f>
      </c>
      <c r="E67" s="174">
        <f>$F$8-L67</f>
      </c>
      <c r="F67" s="174">
        <f>D67*E67</f>
      </c>
      <c r="G67" s="341">
        <f>E67/D67</f>
      </c>
      <c r="H67" s="344">
        <f>IF(OR('参数与来源'!$N$19="",NOT(ISNUMBER(G67))),"",G67*'参数与来源'!$N$19)</f>
      </c>
      <c r="I67" s="348">
        <f>G67*'参数与来源'!$D$8</f>
      </c>
      <c r="J67" s="348">
        <f>IF(AND(ISNUMBER('参数与来源'!$N$19),'参数与来源'!$N$19&gt;0),(IF('参数与来源'!$N$19="","",I67*'参数与来源'!$N$19))*'参数与来源'!$N$8,"")</f>
      </c>
      <c r="K67" s="371">
        <f>1-G67/$F$14</f>
      </c>
      <c r="L67" s="313">
        <f>$F$8*(M67*(1-$D$12)*(1-$F$11))/($F$7+M67*(1-$D$12)*(1-$F$11))</f>
      </c>
      <c r="M67" s="348">
        <f>($D$9-C67)*'参数与来源'!$D$8</f>
      </c>
    </row>
    <row r="69" ht="30" customHeight="1">
      <c r="C69" s="81" t="str">
        <v>来源与参数验证见“参数与来源”。回落参考为从毕业点一次性卖出，不含第三方交易、税收自动兑换、分红返还或 MEV。更新日期：2026-09-16。</v>
      </c>
      <c r="D69" s="81"/>
      <c r="E69" s="81"/>
      <c r="F69" s="81"/>
      <c r="G69" s="81"/>
      <c r="H69" s="81"/>
      <c r="I69" s="81"/>
      <c r="J69" s="81"/>
      <c r="K69" s="81"/>
      <c r="L69" s="81"/>
    </row>
  </sheetData>
  <mergeCells>
    <mergeCell ref="C2:L2"/>
    <mergeCell ref="C3:L3"/>
    <mergeCell ref="C5:D5"/>
    <mergeCell ref="E5:F5"/>
    <mergeCell ref="G5:H5"/>
    <mergeCell ref="I5:J5"/>
    <mergeCell ref="K5:L5"/>
    <mergeCell ref="C17:L17"/>
    <mergeCell ref="C30:L30"/>
    <mergeCell ref="C57:L57"/>
    <mergeCell ref="C69:L69"/>
  </mergeCells>
  <conditionalFormatting sqref="M32:M54">
    <cfRule type="containsText" dxfId="2" priority="1" operator="containsText" text="上限"/>
  </conditionalFormatting>
  <dataValidations count="11">
    <dataValidation type="decimal" operator="between" sqref="D11">
      <formula1>0</formula1>
      <formula2>0.999999</formula2>
    </dataValidation>
    <dataValidation type="decimal" operator="between" sqref="D12">
      <formula1>0</formula1>
      <formula2>0.999999</formula2>
    </dataValidation>
    <dataValidation type="decimal" operator="greaterThanOrEqual" sqref="H7">
      <formula1>0</formula1>
    </dataValidation>
    <dataValidation type="decimal" operator="greaterThanOrEqual" sqref="H8">
      <formula1>0</formula1>
    </dataValidation>
    <dataValidation type="whole" operator="greaterThanOrEqual" sqref="H10">
      <formula1>0</formula1>
    </dataValidation>
    <dataValidation type="whole" operator="greaterThanOrEqual" sqref="H11">
      <formula1>0</formula1>
    </dataValidation>
    <dataValidation type="whole" operator="greaterThanOrEqual" sqref="H12">
      <formula1>0</formula1>
    </dataValidation>
    <dataValidation type="whole" operator="greaterThanOrEqual" sqref="H13">
      <formula1>0</formula1>
    </dataValidation>
    <dataValidation type="decimal" operator="between" sqref="H14">
      <formula1>0</formula1>
      <formula2>0.999999</formula2>
    </dataValidation>
    <dataValidation type="decimal" operator="between" sqref="J14">
      <formula1>0</formula1>
      <formula2>0.999999</formula2>
    </dataValidation>
    <dataValidation type="decimal" operator="greaterThanOrEqual" sqref="L14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7" hidden="0" customWidth="1"/>
    <col min="4" max="4" width="20" hidden="0" customWidth="1"/>
    <col min="5" max="5" width="16" hidden="0" customWidth="1"/>
    <col min="6" max="6" width="36" hidden="0" customWidth="1"/>
    <col min="7" max="7" width="2" hidden="0" customWidth="1"/>
    <col min="8" max="8" width="18" hidden="0" customWidth="1"/>
    <col min="9" max="9" width="19" hidden="0" customWidth="1"/>
    <col min="10" max="10" width="24" hidden="0" customWidth="1"/>
    <col min="11" max="11" width="46" hidden="0" customWidth="1"/>
  </cols>
  <sheetData>
    <row r="2">
      <c r="C2" s="2" t="str">
        <v>Four.meme 4Stock BNC4 控筹测算</v>
      </c>
      <c r="D2" s="1"/>
      <c r="E2" s="1"/>
      <c r="F2" s="1"/>
      <c r="G2" s="1"/>
      <c r="H2" s="1"/>
      <c r="I2" s="1"/>
      <c r="J2" s="1"/>
      <c r="K2" s="1"/>
    </row>
    <row r="3">
      <c r="C3" s="3" t="str">
        <v>计算明细。全部参数引用“控筹模型”，请在该 tab 的黄色单元格修改。</v>
      </c>
      <c r="D3" s="3"/>
      <c r="E3" s="3"/>
      <c r="F3" s="3"/>
      <c r="G3" s="3"/>
      <c r="H3" s="3"/>
      <c r="I3" s="3"/>
      <c r="J3" s="3"/>
      <c r="K3" s="3"/>
    </row>
    <row r="6">
      <c r="C6" s="9" t="str">
        <v>参数引用（在控筹模型修改）</v>
      </c>
      <c r="D6" s="10"/>
      <c r="E6" s="10"/>
      <c r="F6" s="11"/>
      <c r="H6" s="9" t="str">
        <v>核心参数</v>
      </c>
      <c r="I6" s="10"/>
      <c r="J6" s="10"/>
      <c r="K6" s="11"/>
    </row>
    <row r="8">
      <c r="C8" s="76" t="str">
        <v>目标控筹率</v>
      </c>
      <c r="D8" s="82">
        <f>'控筹模型'!H14</f>
      </c>
      <c r="E8" s="81" t="str">
        <v>占总供应量</v>
      </c>
      <c r="H8" s="37" t="str">
        <v>内盘售出</v>
      </c>
      <c r="I8" s="85">
        <f>'参数与来源'!D9</f>
      </c>
    </row>
    <row r="9">
      <c r="C9" s="76" t="str">
        <v>预算缓冲</v>
      </c>
      <c r="D9" s="82">
        <f>'控筹模型'!J14</f>
      </c>
      <c r="E9" s="81" t="str">
        <v>默认多算 1%</v>
      </c>
      <c r="H9" s="41" t="str">
        <v>募集目标</v>
      </c>
      <c r="I9" s="46">
        <f>'参数与来源'!D14</f>
      </c>
    </row>
    <row r="10">
      <c r="C10" s="76" t="str">
        <v>买入 Tax</v>
      </c>
      <c r="D10" s="82">
        <f>'控筹模型'!D11</f>
      </c>
      <c r="E10" s="81" t="str">
        <v>页面可见 1% / 3% 等配置</v>
      </c>
      <c r="H10" s="41" t="str">
        <v>基础内盘费</v>
      </c>
      <c r="I10" s="45">
        <f>'参数与来源'!D15</f>
      </c>
    </row>
    <row r="11">
      <c r="C11" s="76" t="str">
        <v>卖出 Tax</v>
      </c>
      <c r="D11" s="82">
        <f>'控筹模型'!D12</f>
      </c>
      <c r="E11" s="81" t="str">
        <v>计入洗筹双边费率</v>
      </c>
      <c r="H11" s="41" t="str">
        <v>迁池费</v>
      </c>
      <c r="I11" s="45">
        <f>'参数与来源'!D16</f>
      </c>
    </row>
    <row r="12">
      <c r="C12" s="76" t="str">
        <v>内盘套数</v>
      </c>
      <c r="D12" s="83">
        <f>'控筹模型'!H11</f>
      </c>
      <c r="E12" s="81" t="str">
        <v>第 2 套起作为额外资金</v>
      </c>
      <c r="H12" s="41" t="str">
        <v>外盘初始 TOKEN</v>
      </c>
      <c r="I12" s="46">
        <f>'参数与来源'!D17</f>
      </c>
    </row>
    <row r="13">
      <c r="C13" s="76" t="str">
        <v>内盘地址 / 套</v>
      </c>
      <c r="D13" s="83">
        <f>'控筹模型'!H10</f>
      </c>
      <c r="E13" s="81" t="str">
        <v>地址预算</v>
      </c>
      <c r="H13" s="41" t="str">
        <v>外盘初始 BNC4</v>
      </c>
      <c r="I13" s="46">
        <f>'参数与来源'!D18</f>
      </c>
    </row>
    <row r="14">
      <c r="C14" s="76" t="str">
        <v>外盘地址</v>
      </c>
      <c r="D14" s="83">
        <f>'控筹模型'!H12</f>
      </c>
      <c r="E14" s="81" t="str">
        <v>DEX 执行地址</v>
      </c>
      <c r="H14" s="41" t="str">
        <v>Pancake V2 费</v>
      </c>
      <c r="I14" s="45">
        <f>'参数与来源'!D20</f>
      </c>
    </row>
    <row r="15">
      <c r="C15" s="76" t="str">
        <v>Holder 地址</v>
      </c>
      <c r="D15" s="83">
        <f>'控筹模型'!H13</f>
      </c>
      <c r="E15" s="81" t="str">
        <v>分散持仓地址</v>
      </c>
      <c r="H15" s="41" t="str">
        <v>外盘 K</v>
      </c>
      <c r="I15" s="46">
        <f>'参数与来源'!D19</f>
      </c>
    </row>
    <row r="16">
      <c r="C16" s="76" t="str">
        <v>单地址 Gas</v>
      </c>
      <c r="D16" s="84">
        <f>'控筹模型'!H7</f>
      </c>
      <c r="E16" s="81" t="str">
        <v>BNB / 地址</v>
      </c>
      <c r="H16" s="41" t="str">
        <v>毕业控筹率</v>
      </c>
      <c r="I16" s="45">
        <f>'参数与来源'!D10</f>
      </c>
    </row>
    <row r="17">
      <c r="C17" s="76" t="str">
        <v>手操与预留</v>
      </c>
      <c r="D17" s="84">
        <f>'控筹模型'!H8</f>
      </c>
      <c r="E17" s="81" t="str">
        <v>BNC4</v>
      </c>
      <c r="H17" s="48" t="str">
        <v>Tax 后净控筹上限</v>
      </c>
      <c r="I17" s="86">
        <f>$I$16+(1-$D$10)*$I$12/'参数与来源'!D8</f>
      </c>
    </row>
    <row r="18">
      <c r="C18" s="76" t="str">
        <v>洗筹双边费率</v>
      </c>
      <c r="D18" s="233">
        <f>'控筹模型'!H9</f>
      </c>
      <c r="E18" s="81" t="str">
        <v>买税 + 卖税 + 2 × LP 费</v>
      </c>
    </row>
    <row r="19">
      <c r="C19" s="76" t="str">
        <v>BNC4 / USDT 价格</v>
      </c>
      <c r="D19" s="84">
        <f>IF('控筹模型'!L14="","",'控筹模型'!L14)</f>
      </c>
      <c r="E19" s="81" t="str">
        <v>可选；留空不输出 USD</v>
      </c>
    </row>
    <row r="23">
      <c r="C23" s="9" t="str">
        <v>资金结果</v>
      </c>
      <c r="D23" s="10"/>
      <c r="E23" s="10"/>
      <c r="F23" s="11"/>
      <c r="H23" s="9" t="str">
        <v>机制摘要</v>
      </c>
      <c r="I23" s="10"/>
      <c r="J23" s="10"/>
      <c r="K23" s="11"/>
    </row>
    <row r="25" ht="34" customHeight="1">
      <c r="C25" s="87" t="str">
        <v>预算使用控筹率</v>
      </c>
      <c r="D25" s="96">
        <f>$D$8+$D$9</f>
      </c>
      <c r="E25" s="39" t="str">
        <v>控筹率</v>
      </c>
      <c r="F25" s="93" t="str">
        <v>目标控筹率 + 缓冲</v>
      </c>
      <c r="H25" s="64" t="str">
        <v>阶段</v>
      </c>
      <c r="I25" s="65" t="str">
        <v>TOKEN</v>
      </c>
      <c r="J25" s="65" t="str">
        <v>Quote</v>
      </c>
      <c r="K25" s="66" t="str">
        <v>资金机制</v>
      </c>
    </row>
    <row r="26" ht="42" customHeight="1">
      <c r="C26" s="88" t="str">
        <v>模型状态</v>
      </c>
      <c r="D26" s="43">
        <f>IF(OR($D$8&lt;0,$D$9&lt;0,$D$10&lt;0,$D$10&gt;=1,$D$11&lt;0,$D$11&gt;=1),"输入无效",IF($D$25&gt;=$I$17,"目标+缓冲不可达","可达"))</f>
      </c>
      <c r="E26" s="43" t="str"/>
      <c r="F26" s="94" t="str">
        <v>预算率必须小于 Tax 后净控筹上限</v>
      </c>
      <c r="H26" s="67" t="str">
        <v>内盘</v>
      </c>
      <c r="I26" s="67" t="str">
        <v>8 亿曲线售出</v>
      </c>
      <c r="J26" s="67" t="str">
        <v>募集 2,000 BNC4</v>
      </c>
      <c r="K26" s="67" t="str">
        <v>虚拟常数乘积；买卖均收 1% 基础费 + 子代币 Tax</v>
      </c>
    </row>
    <row r="27" ht="42" customHeight="1">
      <c r="C27" s="88" t="str">
        <v>一套内盘打满</v>
      </c>
      <c r="D27" s="97">
        <f>$I$9*(1+$I$10+$D$10)</f>
      </c>
      <c r="E27" s="43" t="str">
        <v>BNC4</v>
      </c>
      <c r="F27" s="94" t="str">
        <v>2,000 × (1% + 买税 + 1)</v>
      </c>
      <c r="H27" s="68" t="str">
        <v>毕业</v>
      </c>
      <c r="I27" s="68" t="str">
        <v>剩余 2 亿进池</v>
      </c>
      <c r="J27" s="68" t="str">
        <v>2,000 扣 2% 后为 1,960</v>
      </c>
      <c r="K27" s="68" t="str">
        <v>毕业价格 0.0000098 BNC4/TOKEN，LP 烧毁</v>
      </c>
    </row>
    <row r="28" ht="42" customHeight="1">
      <c r="C28" s="88" t="str">
        <v>预算内盘成本</v>
      </c>
      <c r="D28" s="97">
        <f>IF($D$25&lt;=$I$16,('参数与来源'!D13/('参数与来源'!D12-$D$25*'参数与来源'!D8)-'参数与来源'!D11)*(1+$I$10+$D$10),$D$27)</f>
      </c>
      <c r="E28" s="43" t="str">
        <v>BNC4</v>
      </c>
      <c r="F28" s="94" t="str">
        <v>未毕业时按虚拟曲线；毕业后按一套打满</v>
      </c>
      <c r="H28" s="68" t="str">
        <v>外盘</v>
      </c>
      <c r="I28" s="68" t="str">
        <v>Pancake V2</v>
      </c>
      <c r="J28" s="68" t="str">
        <v>BNC4</v>
      </c>
      <c r="K28" s="68" t="str">
        <v>V2 每腿 0.25%，TOKEN 买/卖继续按配置收税</v>
      </c>
    </row>
    <row r="29" ht="42" customHeight="1">
      <c r="C29" s="88" t="str">
        <v>外盘净增持 TOKEN</v>
      </c>
      <c r="D29" s="97">
        <f>IF($D$25&lt;=$I$16,0,($D$25-$I$16)*'参数与来源'!D8)</f>
      </c>
      <c r="E29" s="43" t="str">
        <v>TOKEN</v>
      </c>
      <c r="F29" s="94" t="str">
        <v>预算率超过 80% 的净增持</v>
      </c>
      <c r="H29" s="68" t="str">
        <v>控筹上限</v>
      </c>
      <c r="I29" s="68" t="str">
        <v>80% + 外盘净买入</v>
      </c>
      <c r="J29" s="68" t="str">
        <v>随买税下降</v>
      </c>
      <c r="K29" s="68" t="str">
        <v>3% 买税下净上限 99.4%；目标+缓冲必须低于上限</v>
      </c>
    </row>
    <row r="30" ht="42" customHeight="1">
      <c r="C30" s="88" t="str">
        <v>池子实际转出 TOKEN</v>
      </c>
      <c r="D30" s="97">
        <f>IF($D$29=0,0,$D$29/(1-$D$10))</f>
      </c>
      <c r="E30" s="43" t="str">
        <v>TOKEN</v>
      </c>
      <c r="F30" s="94" t="str">
        <v>净增持 ÷ (1 - 买税)</v>
      </c>
      <c r="H30" s="68" t="str">
        <v>洗筹</v>
      </c>
      <c r="I30" s="68" t="str">
        <v>预算近似</v>
      </c>
      <c r="J30" s="68" t="str">
        <v>FDV × 双边费率</v>
      </c>
      <c r="K30" s="68" t="str">
        <v>买税 + 卖税 + 双边 LP 费；未抵扣持有人分红</v>
      </c>
    </row>
    <row r="31" ht="42" customHeight="1">
      <c r="C31" s="88" t="str">
        <v>外盘剩余 TOKEN</v>
      </c>
      <c r="D31" s="97">
        <f>IF($D$30=0,$I$12,$I$12-$D$30)</f>
      </c>
      <c r="E31" s="43" t="str">
        <v>TOKEN</v>
      </c>
      <c r="F31" s="94" t="str">
        <v>2 亿 - 池子实际转出</v>
      </c>
      <c r="H31" s="69" t="str">
        <v>税率</v>
      </c>
      <c r="I31" s="69" t="str">
        <v>逐币不同</v>
      </c>
      <c r="J31" s="69" t="str">
        <v>页面可见 1% / 3%</v>
      </c>
      <c r="K31" s="69" t="str">
        <v>本表税率可改；切换代币时先看详情页再输入</v>
      </c>
    </row>
    <row r="32">
      <c r="C32" s="88" t="str">
        <v>外盘 Quote 储备</v>
      </c>
      <c r="D32" s="97">
        <f>IF($D$31=$I$12,$I$13,$I$15/$D$31)</f>
      </c>
      <c r="E32" s="43" t="str">
        <v>BNC4</v>
      </c>
      <c r="F32" s="94" t="str">
        <v>Outer K ÷ 剩余 TOKEN</v>
      </c>
    </row>
    <row r="33">
      <c r="C33" s="88" t="str">
        <v>外盘投入（含 V2 费）</v>
      </c>
      <c r="D33" s="97">
        <f>IF($D$29=0,0,($D$32-$I$13)/(1-$I$14))</f>
      </c>
      <c r="E33" s="43" t="str">
        <v>BNC4</v>
      </c>
      <c r="F33" s="94" t="str">
        <v>Quote 增量 ÷ (1 - 0.25%)</v>
      </c>
    </row>
    <row r="34">
      <c r="C34" s="88" t="str">
        <v>理论累计资金</v>
      </c>
      <c r="D34" s="97">
        <f>$D$28+$D$33</f>
      </c>
      <c r="E34" s="43" t="str">
        <v>BNC4</v>
      </c>
      <c r="F34" s="94" t="str">
        <v>预算内盘成本 + 外盘投入</v>
      </c>
    </row>
    <row r="35">
      <c r="C35" s="88" t="str">
        <v>额外内盘套数资金</v>
      </c>
      <c r="D35" s="97">
        <f>$D$27*MAX(0,$D$12-1)</f>
      </c>
      <c r="E35" s="43" t="str">
        <v>BNC4</v>
      </c>
      <c r="F35" s="94" t="str">
        <v>一套打满 × (套数 - 1)</v>
      </c>
    </row>
    <row r="36">
      <c r="C36" s="88" t="str">
        <v>洗筹预算</v>
      </c>
      <c r="D36" s="97">
        <f>'洗筹明细'!D29</f>
      </c>
      <c r="E36" s="43" t="str">
        <v>BNC4</v>
      </c>
      <c r="F36" s="94" t="str">
        <v>预算点 FDV × 洗筹双边费率</v>
      </c>
    </row>
    <row r="37">
      <c r="C37" s="88" t="str">
        <v>手操与预留</v>
      </c>
      <c r="D37" s="97">
        <f>MAX(0,$D$17)</f>
      </c>
      <c r="E37" s="43" t="str">
        <v>BNC4</v>
      </c>
      <c r="F37" s="94" t="str">
        <v>输入值</v>
      </c>
    </row>
    <row r="38">
      <c r="C38" s="208" t="str">
        <v>建议 BNC4 总资金</v>
      </c>
      <c r="D38" s="209">
        <f>IF(AND(D26="可达",ISNUMBER(D17),D17&gt;=0),SUM(D34:D37),"")</f>
      </c>
      <c r="E38" s="208" t="str">
        <v>BNC4</v>
      </c>
      <c r="F38" s="210" t="str">
        <v>理论累计 + 额外内盘 + 洗筹 + 预留</v>
      </c>
    </row>
    <row r="39">
      <c r="C39" s="88" t="str">
        <v>建议资金 / USD</v>
      </c>
      <c r="D39" s="97">
        <f>IF(AND(ISNUMBER(D38),ISNUMBER(D19),D19&gt;0),D38*D19*'参数与来源'!$N$8,"")</f>
      </c>
      <c r="E39" s="43" t="str">
        <v>USD</v>
      </c>
      <c r="F39" s="94" t="str">
        <v>有效 USDT 价格再换算 USD</v>
      </c>
    </row>
    <row r="40">
      <c r="C40" s="88" t="str">
        <v>地址总数</v>
      </c>
      <c r="D40" s="97">
        <f>MAX(0,$D$13)*MAX(0,$D$12)+MAX(0,$D$14)+MAX(0,$D$15)</f>
      </c>
      <c r="E40" s="43" t="str">
        <v>地址</v>
      </c>
      <c r="F40" s="94" t="str">
        <v>内盘地址×套数 + 外盘 + Holder</v>
      </c>
    </row>
    <row r="41">
      <c r="C41" s="88" t="str">
        <v>Gas 总额</v>
      </c>
      <c r="D41" s="97">
        <f>$D$40*MAX(0,$D$16)</f>
      </c>
      <c r="E41" s="43" t="str">
        <v>BNB</v>
      </c>
      <c r="F41" s="94" t="str">
        <v>地址总数 × 单地址 Gas</v>
      </c>
    </row>
    <row r="42">
      <c r="C42" s="88" t="str">
        <v>目标点价格</v>
      </c>
      <c r="D42" s="97">
        <f>IF($D$25&lt;=$I$16,'参数与来源'!D13/('参数与来源'!D12-$D$25*'参数与来源'!D8)^2,$D$32/$D$31)</f>
      </c>
      <c r="E42" s="43" t="str">
        <v>BNC4/TOKEN</v>
      </c>
      <c r="F42" s="94" t="str">
        <v>预算点池价</v>
      </c>
    </row>
    <row r="43">
      <c r="C43" s="89" t="str">
        <v>目标点 FDV</v>
      </c>
      <c r="D43" s="98">
        <f>$D$42*'参数与来源'!D8</f>
      </c>
      <c r="E43" s="50" t="str">
        <v>BNC4</v>
      </c>
      <c r="F43" s="95" t="str">
        <v>池价 × 10 亿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xSplit="4" ySplit="6" topLeftCell="E7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12" hidden="0" customWidth="1"/>
    <col min="4" max="4" width="10" hidden="0" customWidth="1"/>
    <col min="5" max="5" width="18" hidden="0" customWidth="1"/>
    <col min="6" max="6" width="18" hidden="0" customWidth="1"/>
    <col min="7" max="7" width="16" hidden="0" customWidth="1"/>
    <col min="8" max="8" width="16" hidden="0" customWidth="1"/>
    <col min="9" max="9" width="18" hidden="0" customWidth="1"/>
    <col min="10" max="10" width="18" hidden="0" customWidth="1"/>
    <col min="11" max="11" width="18" hidden="0" customWidth="1"/>
    <col min="12" max="12" width="18" hidden="0" customWidth="1"/>
    <col min="13" max="13" width="18" hidden="0" customWidth="1"/>
    <col min="14" max="14" width="18" hidden="0" customWidth="1"/>
    <col min="15" max="15" width="20" hidden="0" customWidth="1"/>
    <col min="16" max="16" width="18" hidden="0" customWidth="1"/>
    <col min="17" max="17" width="17" hidden="0" customWidth="1"/>
  </cols>
  <sheetData>
    <row r="2">
      <c r="C2" s="2" t="str">
        <v>4Stock 内外盘控筹曲线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>
      <c r="C3" s="3" t="str">
        <v>税率与费用引用“控筹测算”。外盘 TOKEN 列按用户净收到量，池子转出量已含买税。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6" ht="34" customHeight="1">
      <c r="C6" s="64" t="str">
        <v>控筹率</v>
      </c>
      <c r="D6" s="65" t="str">
        <v>阶段</v>
      </c>
      <c r="E6" s="65" t="str">
        <v>净持有 TOKEN</v>
      </c>
      <c r="F6" s="65" t="str">
        <v>内盘曲线 Quote</v>
      </c>
      <c r="G6" s="65" t="str">
        <v>内盘费用</v>
      </c>
      <c r="H6" s="65" t="str">
        <v>外盘净增持</v>
      </c>
      <c r="I6" s="65" t="str">
        <v>池子转出 TOKEN</v>
      </c>
      <c r="J6" s="65" t="str">
        <v>池剩 TOKEN</v>
      </c>
      <c r="K6" s="65" t="str">
        <v>池 Quote</v>
      </c>
      <c r="L6" s="65" t="str">
        <v>外盘投入</v>
      </c>
      <c r="M6" s="65" t="str">
        <v>累计资金</v>
      </c>
      <c r="N6" s="374" t="str">
        <v>池价</v>
      </c>
      <c r="O6" s="374" t="str">
        <v>价格 / USDT</v>
      </c>
      <c r="P6" s="374" t="str">
        <v>FDV</v>
      </c>
      <c r="Q6" s="380" t="str">
        <v>状态</v>
      </c>
    </row>
    <row r="7">
      <c r="C7" s="96" t="n">
        <v>0</v>
      </c>
      <c r="D7" s="70">
        <f>IF(C7&lt;=80%,"内盘","外盘")</f>
      </c>
      <c r="E7" s="106">
        <f>C7*'参数与来源'!$D$8</f>
      </c>
      <c r="F7" s="106">
        <f>IF(C7&lt;=80%,'参数与来源'!$D$13/('参数与来源'!$D$12-C7*'参数与来源'!$D$8)-'参数与来源'!$D$11,'参数与来源'!$D$14)</f>
      </c>
      <c r="G7" s="106">
        <f>F7*('控筹测算'!$I$10+'控筹测算'!$D$10)</f>
      </c>
      <c r="H7" s="106">
        <f>IF(C7&lt;=80%,0,(C7-80%)*'参数与来源'!$D$8)</f>
      </c>
      <c r="I7" s="106">
        <f>IF(H7=0,0,H7/(1-'控筹测算'!$D$10))</f>
      </c>
      <c r="J7" s="106">
        <f>IF(C7&lt;=80%,0,'参数与来源'!$D$17-I7)</f>
      </c>
      <c r="K7" s="106">
        <f>IF(C7&lt;=80%,0,'参数与来源'!$D$19/J7)</f>
      </c>
      <c r="L7" s="106">
        <f>IF(C7&lt;=80%,0,(K7-'参数与来源'!$D$18)/(1-'参数与来源'!$D$20))</f>
      </c>
      <c r="M7" s="106">
        <f>IF(C7&lt;=80%,F7+G7,'参数与来源'!$D$14*(1+'控筹测算'!$I$10+'控筹测算'!$D$10)+L7)</f>
      </c>
      <c r="N7" s="390">
        <f>IF(C7&lt;=80%,('参数与来源'!$D$11+F7)/('参数与来源'!$D$12-C7*'参数与来源'!$D$8),K7/J7)</f>
      </c>
      <c r="O7" s="393">
        <f>IF(OR('参数与来源'!$N$19="",NOT(ISNUMBER(N7))),"",N7*'参数与来源'!$N$19)</f>
      </c>
      <c r="P7" s="398">
        <f>N7*'参数与来源'!$D$8</f>
      </c>
      <c r="Q7" s="404">
        <f>IF(C7&lt;'控筹测算'!$I$17,"可达","接近/超过上限")</f>
      </c>
    </row>
    <row r="8">
      <c r="C8" s="45" t="n">
        <v>0.1</v>
      </c>
      <c r="D8" s="71">
        <f>IF(C8&lt;=80%,"内盘","外盘")</f>
      </c>
      <c r="E8" s="108">
        <f>C8*'参数与来源'!$D$8</f>
      </c>
      <c r="F8" s="108">
        <f>IF(C8&lt;=80%,'参数与来源'!$D$13/('参数与来源'!$D$12-C8*'参数与来源'!$D$8)-'参数与来源'!$D$11,'参数与来源'!$D$14)</f>
      </c>
      <c r="G8" s="108">
        <f>F8*('控筹测算'!$I$10+'控筹测算'!$D$10)</f>
      </c>
      <c r="H8" s="108">
        <f>IF(C8&lt;=80%,0,(C8-80%)*'参数与来源'!$D$8)</f>
      </c>
      <c r="I8" s="108">
        <f>IF(H8=0,0,H8/(1-'控筹测算'!$D$10))</f>
      </c>
      <c r="J8" s="108">
        <f>IF(C8&lt;=80%,0,'参数与来源'!$D$17-I8)</f>
      </c>
      <c r="K8" s="108">
        <f>IF(C8&lt;=80%,0,'参数与来源'!$D$19/J8)</f>
      </c>
      <c r="L8" s="108">
        <f>IF(C8&lt;=80%,0,(K8-'参数与来源'!$D$18)/(1-'参数与来源'!$D$20))</f>
      </c>
      <c r="M8" s="108">
        <f>IF(C8&lt;=80%,F8+G8,'参数与来源'!$D$14*(1+'控筹测算'!$I$10+'控筹测算'!$D$10)+L8)</f>
      </c>
      <c r="N8" s="408">
        <f>IF(C8&lt;=80%,('参数与来源'!$D$11+F8)/('参数与来源'!$D$12-C8*'参数与来源'!$D$8),K8/J8)</f>
      </c>
      <c r="O8" s="411">
        <f>IF(OR('参数与来源'!$N$19="",NOT(ISNUMBER(N8))),"",N8*'参数与来源'!$N$19)</f>
      </c>
      <c r="P8" s="416">
        <f>N8*'参数与来源'!$D$8</f>
      </c>
      <c r="Q8" s="417">
        <f>IF(C8&lt;'控筹测算'!$I$17,"可达","接近/超过上限")</f>
      </c>
    </row>
    <row r="9">
      <c r="C9" s="45" t="n">
        <v>0.2</v>
      </c>
      <c r="D9" s="71">
        <f>IF(C9&lt;=80%,"内盘","外盘")</f>
      </c>
      <c r="E9" s="108">
        <f>C9*'参数与来源'!$D$8</f>
      </c>
      <c r="F9" s="108">
        <f>IF(C9&lt;=80%,'参数与来源'!$D$13/('参数与来源'!$D$12-C9*'参数与来源'!$D$8)-'参数与来源'!$D$11,'参数与来源'!$D$14)</f>
      </c>
      <c r="G9" s="108">
        <f>F9*('控筹测算'!$I$10+'控筹测算'!$D$10)</f>
      </c>
      <c r="H9" s="108">
        <f>IF(C9&lt;=80%,0,(C9-80%)*'参数与来源'!$D$8)</f>
      </c>
      <c r="I9" s="108">
        <f>IF(H9=0,0,H9/(1-'控筹测算'!$D$10))</f>
      </c>
      <c r="J9" s="108">
        <f>IF(C9&lt;=80%,0,'参数与来源'!$D$17-I9)</f>
      </c>
      <c r="K9" s="108">
        <f>IF(C9&lt;=80%,0,'参数与来源'!$D$19/J9)</f>
      </c>
      <c r="L9" s="108">
        <f>IF(C9&lt;=80%,0,(K9-'参数与来源'!$D$18)/(1-'参数与来源'!$D$20))</f>
      </c>
      <c r="M9" s="108">
        <f>IF(C9&lt;=80%,F9+G9,'参数与来源'!$D$14*(1+'控筹测算'!$I$10+'控筹测算'!$D$10)+L9)</f>
      </c>
      <c r="N9" s="408">
        <f>IF(C9&lt;=80%,('参数与来源'!$D$11+F9)/('参数与来源'!$D$12-C9*'参数与来源'!$D$8),K9/J9)</f>
      </c>
      <c r="O9" s="411">
        <f>IF(OR('参数与来源'!$N$19="",NOT(ISNUMBER(N9))),"",N9*'参数与来源'!$N$19)</f>
      </c>
      <c r="P9" s="416">
        <f>N9*'参数与来源'!$D$8</f>
      </c>
      <c r="Q9" s="417">
        <f>IF(C9&lt;'控筹测算'!$I$17,"可达","接近/超过上限")</f>
      </c>
    </row>
    <row r="10">
      <c r="C10" s="45" t="n">
        <v>0.3</v>
      </c>
      <c r="D10" s="71">
        <f>IF(C10&lt;=80%,"内盘","外盘")</f>
      </c>
      <c r="E10" s="108">
        <f>C10*'参数与来源'!$D$8</f>
      </c>
      <c r="F10" s="108">
        <f>IF(C10&lt;=80%,'参数与来源'!$D$13/('参数与来源'!$D$12-C10*'参数与来源'!$D$8)-'参数与来源'!$D$11,'参数与来源'!$D$14)</f>
      </c>
      <c r="G10" s="108">
        <f>F10*('控筹测算'!$I$10+'控筹测算'!$D$10)</f>
      </c>
      <c r="H10" s="108">
        <f>IF(C10&lt;=80%,0,(C10-80%)*'参数与来源'!$D$8)</f>
      </c>
      <c r="I10" s="108">
        <f>IF(H10=0,0,H10/(1-'控筹测算'!$D$10))</f>
      </c>
      <c r="J10" s="108">
        <f>IF(C10&lt;=80%,0,'参数与来源'!$D$17-I10)</f>
      </c>
      <c r="K10" s="108">
        <f>IF(C10&lt;=80%,0,'参数与来源'!$D$19/J10)</f>
      </c>
      <c r="L10" s="108">
        <f>IF(C10&lt;=80%,0,(K10-'参数与来源'!$D$18)/(1-'参数与来源'!$D$20))</f>
      </c>
      <c r="M10" s="108">
        <f>IF(C10&lt;=80%,F10+G10,'参数与来源'!$D$14*(1+'控筹测算'!$I$10+'控筹测算'!$D$10)+L10)</f>
      </c>
      <c r="N10" s="408">
        <f>IF(C10&lt;=80%,('参数与来源'!$D$11+F10)/('参数与来源'!$D$12-C10*'参数与来源'!$D$8),K10/J10)</f>
      </c>
      <c r="O10" s="411">
        <f>IF(OR('参数与来源'!$N$19="",NOT(ISNUMBER(N10))),"",N10*'参数与来源'!$N$19)</f>
      </c>
      <c r="P10" s="416">
        <f>N10*'参数与来源'!$D$8</f>
      </c>
      <c r="Q10" s="417">
        <f>IF(C10&lt;'控筹测算'!$I$17,"可达","接近/超过上限")</f>
      </c>
    </row>
    <row r="11">
      <c r="C11" s="45" t="n">
        <v>0.4</v>
      </c>
      <c r="D11" s="71">
        <f>IF(C11&lt;=80%,"内盘","外盘")</f>
      </c>
      <c r="E11" s="108">
        <f>C11*'参数与来源'!$D$8</f>
      </c>
      <c r="F11" s="108">
        <f>IF(C11&lt;=80%,'参数与来源'!$D$13/('参数与来源'!$D$12-C11*'参数与来源'!$D$8)-'参数与来源'!$D$11,'参数与来源'!$D$14)</f>
      </c>
      <c r="G11" s="108">
        <f>F11*('控筹测算'!$I$10+'控筹测算'!$D$10)</f>
      </c>
      <c r="H11" s="108">
        <f>IF(C11&lt;=80%,0,(C11-80%)*'参数与来源'!$D$8)</f>
      </c>
      <c r="I11" s="108">
        <f>IF(H11=0,0,H11/(1-'控筹测算'!$D$10))</f>
      </c>
      <c r="J11" s="108">
        <f>IF(C11&lt;=80%,0,'参数与来源'!$D$17-I11)</f>
      </c>
      <c r="K11" s="108">
        <f>IF(C11&lt;=80%,0,'参数与来源'!$D$19/J11)</f>
      </c>
      <c r="L11" s="108">
        <f>IF(C11&lt;=80%,0,(K11-'参数与来源'!$D$18)/(1-'参数与来源'!$D$20))</f>
      </c>
      <c r="M11" s="108">
        <f>IF(C11&lt;=80%,F11+G11,'参数与来源'!$D$14*(1+'控筹测算'!$I$10+'控筹测算'!$D$10)+L11)</f>
      </c>
      <c r="N11" s="408">
        <f>IF(C11&lt;=80%,('参数与来源'!$D$11+F11)/('参数与来源'!$D$12-C11*'参数与来源'!$D$8),K11/J11)</f>
      </c>
      <c r="O11" s="411">
        <f>IF(OR('参数与来源'!$N$19="",NOT(ISNUMBER(N11))),"",N11*'参数与来源'!$N$19)</f>
      </c>
      <c r="P11" s="416">
        <f>N11*'参数与来源'!$D$8</f>
      </c>
      <c r="Q11" s="417">
        <f>IF(C11&lt;'控筹测算'!$I$17,"可达","接近/超过上限")</f>
      </c>
    </row>
    <row r="12">
      <c r="C12" s="45" t="n">
        <v>0.5</v>
      </c>
      <c r="D12" s="71">
        <f>IF(C12&lt;=80%,"内盘","外盘")</f>
      </c>
      <c r="E12" s="108">
        <f>C12*'参数与来源'!$D$8</f>
      </c>
      <c r="F12" s="108">
        <f>IF(C12&lt;=80%,'参数与来源'!$D$13/('参数与来源'!$D$12-C12*'参数与来源'!$D$8)-'参数与来源'!$D$11,'参数与来源'!$D$14)</f>
      </c>
      <c r="G12" s="108">
        <f>F12*('控筹测算'!$I$10+'控筹测算'!$D$10)</f>
      </c>
      <c r="H12" s="108">
        <f>IF(C12&lt;=80%,0,(C12-80%)*'参数与来源'!$D$8)</f>
      </c>
      <c r="I12" s="108">
        <f>IF(H12=0,0,H12/(1-'控筹测算'!$D$10))</f>
      </c>
      <c r="J12" s="108">
        <f>IF(C12&lt;=80%,0,'参数与来源'!$D$17-I12)</f>
      </c>
      <c r="K12" s="108">
        <f>IF(C12&lt;=80%,0,'参数与来源'!$D$19/J12)</f>
      </c>
      <c r="L12" s="108">
        <f>IF(C12&lt;=80%,0,(K12-'参数与来源'!$D$18)/(1-'参数与来源'!$D$20))</f>
      </c>
      <c r="M12" s="108">
        <f>IF(C12&lt;=80%,F12+G12,'参数与来源'!$D$14*(1+'控筹测算'!$I$10+'控筹测算'!$D$10)+L12)</f>
      </c>
      <c r="N12" s="408">
        <f>IF(C12&lt;=80%,('参数与来源'!$D$11+F12)/('参数与来源'!$D$12-C12*'参数与来源'!$D$8),K12/J12)</f>
      </c>
      <c r="O12" s="411">
        <f>IF(OR('参数与来源'!$N$19="",NOT(ISNUMBER(N12))),"",N12*'参数与来源'!$N$19)</f>
      </c>
      <c r="P12" s="416">
        <f>N12*'参数与来源'!$D$8</f>
      </c>
      <c r="Q12" s="417">
        <f>IF(C12&lt;'控筹测算'!$I$17,"可达","接近/超过上限")</f>
      </c>
    </row>
    <row r="13">
      <c r="C13" s="45" t="n">
        <v>0.6</v>
      </c>
      <c r="D13" s="71">
        <f>IF(C13&lt;=80%,"内盘","外盘")</f>
      </c>
      <c r="E13" s="108">
        <f>C13*'参数与来源'!$D$8</f>
      </c>
      <c r="F13" s="108">
        <f>IF(C13&lt;=80%,'参数与来源'!$D$13/('参数与来源'!$D$12-C13*'参数与来源'!$D$8)-'参数与来源'!$D$11,'参数与来源'!$D$14)</f>
      </c>
      <c r="G13" s="108">
        <f>F13*('控筹测算'!$I$10+'控筹测算'!$D$10)</f>
      </c>
      <c r="H13" s="108">
        <f>IF(C13&lt;=80%,0,(C13-80%)*'参数与来源'!$D$8)</f>
      </c>
      <c r="I13" s="108">
        <f>IF(H13=0,0,H13/(1-'控筹测算'!$D$10))</f>
      </c>
      <c r="J13" s="108">
        <f>IF(C13&lt;=80%,0,'参数与来源'!$D$17-I13)</f>
      </c>
      <c r="K13" s="108">
        <f>IF(C13&lt;=80%,0,'参数与来源'!$D$19/J13)</f>
      </c>
      <c r="L13" s="108">
        <f>IF(C13&lt;=80%,0,(K13-'参数与来源'!$D$18)/(1-'参数与来源'!$D$20))</f>
      </c>
      <c r="M13" s="108">
        <f>IF(C13&lt;=80%,F13+G13,'参数与来源'!$D$14*(1+'控筹测算'!$I$10+'控筹测算'!$D$10)+L13)</f>
      </c>
      <c r="N13" s="408">
        <f>IF(C13&lt;=80%,('参数与来源'!$D$11+F13)/('参数与来源'!$D$12-C13*'参数与来源'!$D$8),K13/J13)</f>
      </c>
      <c r="O13" s="411">
        <f>IF(OR('参数与来源'!$N$19="",NOT(ISNUMBER(N13))),"",N13*'参数与来源'!$N$19)</f>
      </c>
      <c r="P13" s="416">
        <f>N13*'参数与来源'!$D$8</f>
      </c>
      <c r="Q13" s="417">
        <f>IF(C13&lt;'控筹测算'!$I$17,"可达","接近/超过上限")</f>
      </c>
    </row>
    <row r="14">
      <c r="C14" s="45" t="n">
        <v>0.7</v>
      </c>
      <c r="D14" s="71">
        <f>IF(C14&lt;=80%,"内盘","外盘")</f>
      </c>
      <c r="E14" s="108">
        <f>C14*'参数与来源'!$D$8</f>
      </c>
      <c r="F14" s="108">
        <f>IF(C14&lt;=80%,'参数与来源'!$D$13/('参数与来源'!$D$12-C14*'参数与来源'!$D$8)-'参数与来源'!$D$11,'参数与来源'!$D$14)</f>
      </c>
      <c r="G14" s="108">
        <f>F14*('控筹测算'!$I$10+'控筹测算'!$D$10)</f>
      </c>
      <c r="H14" s="108">
        <f>IF(C14&lt;=80%,0,(C14-80%)*'参数与来源'!$D$8)</f>
      </c>
      <c r="I14" s="108">
        <f>IF(H14=0,0,H14/(1-'控筹测算'!$D$10))</f>
      </c>
      <c r="J14" s="108">
        <f>IF(C14&lt;=80%,0,'参数与来源'!$D$17-I14)</f>
      </c>
      <c r="K14" s="108">
        <f>IF(C14&lt;=80%,0,'参数与来源'!$D$19/J14)</f>
      </c>
      <c r="L14" s="108">
        <f>IF(C14&lt;=80%,0,(K14-'参数与来源'!$D$18)/(1-'参数与来源'!$D$20))</f>
      </c>
      <c r="M14" s="108">
        <f>IF(C14&lt;=80%,F14+G14,'参数与来源'!$D$14*(1+'控筹测算'!$I$10+'控筹测算'!$D$10)+L14)</f>
      </c>
      <c r="N14" s="408">
        <f>IF(C14&lt;=80%,('参数与来源'!$D$11+F14)/('参数与来源'!$D$12-C14*'参数与来源'!$D$8),K14/J14)</f>
      </c>
      <c r="O14" s="411">
        <f>IF(OR('参数与来源'!$N$19="",NOT(ISNUMBER(N14))),"",N14*'参数与来源'!$N$19)</f>
      </c>
      <c r="P14" s="416">
        <f>N14*'参数与来源'!$D$8</f>
      </c>
      <c r="Q14" s="417">
        <f>IF(C14&lt;'控筹测算'!$I$17,"可达","接近/超过上限")</f>
      </c>
    </row>
    <row r="15">
      <c r="C15" s="45" t="n">
        <v>0.8</v>
      </c>
      <c r="D15" s="71">
        <f>IF(C15&lt;=80%,"内盘","外盘")</f>
      </c>
      <c r="E15" s="108">
        <f>C15*'参数与来源'!$D$8</f>
      </c>
      <c r="F15" s="108">
        <f>IF(C15&lt;=80%,'参数与来源'!$D$13/('参数与来源'!$D$12-C15*'参数与来源'!$D$8)-'参数与来源'!$D$11,'参数与来源'!$D$14)</f>
      </c>
      <c r="G15" s="108">
        <f>F15*('控筹测算'!$I$10+'控筹测算'!$D$10)</f>
      </c>
      <c r="H15" s="108">
        <f>IF(C15&lt;=80%,0,(C15-80%)*'参数与来源'!$D$8)</f>
      </c>
      <c r="I15" s="108">
        <f>IF(H15=0,0,H15/(1-'控筹测算'!$D$10))</f>
      </c>
      <c r="J15" s="108">
        <f>IF(C15&lt;=80%,0,'参数与来源'!$D$17-I15)</f>
      </c>
      <c r="K15" s="108">
        <f>IF(C15&lt;=80%,0,'参数与来源'!$D$19/J15)</f>
      </c>
      <c r="L15" s="108">
        <f>IF(C15&lt;=80%,0,(K15-'参数与来源'!$D$18)/(1-'参数与来源'!$D$20))</f>
      </c>
      <c r="M15" s="108">
        <f>IF(C15&lt;=80%,F15+G15,'参数与来源'!$D$14*(1+'控筹测算'!$I$10+'控筹测算'!$D$10)+L15)</f>
      </c>
      <c r="N15" s="408">
        <f>IF(C15&lt;=80%,('参数与来源'!$D$11+F15)/('参数与来源'!$D$12-C15*'参数与来源'!$D$8),K15/J15)</f>
      </c>
      <c r="O15" s="411">
        <f>IF(OR('参数与来源'!$N$19="",NOT(ISNUMBER(N15))),"",N15*'参数与来源'!$N$19)</f>
      </c>
      <c r="P15" s="416">
        <f>N15*'参数与来源'!$D$8</f>
      </c>
      <c r="Q15" s="417">
        <f>IF(C15&lt;'控筹测算'!$I$17,"可达","接近/超过上限")</f>
      </c>
    </row>
    <row r="16">
      <c r="C16" s="45" t="n">
        <v>0.81</v>
      </c>
      <c r="D16" s="71">
        <f>IF(C16&lt;=80%,"内盘","外盘")</f>
      </c>
      <c r="E16" s="108">
        <f>C16*'参数与来源'!$D$8</f>
      </c>
      <c r="F16" s="108">
        <f>IF(C16&lt;=80%,'参数与来源'!$D$13/('参数与来源'!$D$12-C16*'参数与来源'!$D$8)-'参数与来源'!$D$11,'参数与来源'!$D$14)</f>
      </c>
      <c r="G16" s="108">
        <f>F16*('控筹测算'!$I$10+'控筹测算'!$D$10)</f>
      </c>
      <c r="H16" s="108">
        <f>IF(C16&lt;=80%,0,(C16-80%)*'参数与来源'!$D$8)</f>
      </c>
      <c r="I16" s="108">
        <f>IF(H16=0,0,H16/(1-'控筹测算'!$D$10))</f>
      </c>
      <c r="J16" s="108">
        <f>IF(C16&lt;=80%,0,'参数与来源'!$D$17-I16)</f>
      </c>
      <c r="K16" s="108">
        <f>IF(C16&lt;=80%,0,'参数与来源'!$D$19/J16)</f>
      </c>
      <c r="L16" s="108">
        <f>IF(C16&lt;=80%,0,(K16-'参数与来源'!$D$18)/(1-'参数与来源'!$D$20))</f>
      </c>
      <c r="M16" s="108">
        <f>IF(C16&lt;=80%,F16+G16,'参数与来源'!$D$14*(1+'控筹测算'!$I$10+'控筹测算'!$D$10)+L16)</f>
      </c>
      <c r="N16" s="408">
        <f>IF(C16&lt;=80%,('参数与来源'!$D$11+F16)/('参数与来源'!$D$12-C16*'参数与来源'!$D$8),K16/J16)</f>
      </c>
      <c r="O16" s="411">
        <f>IF(OR('参数与来源'!$N$19="",NOT(ISNUMBER(N16))),"",N16*'参数与来源'!$N$19)</f>
      </c>
      <c r="P16" s="416">
        <f>N16*'参数与来源'!$D$8</f>
      </c>
      <c r="Q16" s="417">
        <f>IF(C16&lt;'控筹测算'!$I$17,"可达","接近/超过上限")</f>
      </c>
    </row>
    <row r="17">
      <c r="C17" s="45" t="n">
        <v>0.82</v>
      </c>
      <c r="D17" s="71">
        <f>IF(C17&lt;=80%,"内盘","外盘")</f>
      </c>
      <c r="E17" s="108">
        <f>C17*'参数与来源'!$D$8</f>
      </c>
      <c r="F17" s="108">
        <f>IF(C17&lt;=80%,'参数与来源'!$D$13/('参数与来源'!$D$12-C17*'参数与来源'!$D$8)-'参数与来源'!$D$11,'参数与来源'!$D$14)</f>
      </c>
      <c r="G17" s="108">
        <f>F17*('控筹测算'!$I$10+'控筹测算'!$D$10)</f>
      </c>
      <c r="H17" s="108">
        <f>IF(C17&lt;=80%,0,(C17-80%)*'参数与来源'!$D$8)</f>
      </c>
      <c r="I17" s="108">
        <f>IF(H17=0,0,H17/(1-'控筹测算'!$D$10))</f>
      </c>
      <c r="J17" s="108">
        <f>IF(C17&lt;=80%,0,'参数与来源'!$D$17-I17)</f>
      </c>
      <c r="K17" s="108">
        <f>IF(C17&lt;=80%,0,'参数与来源'!$D$19/J17)</f>
      </c>
      <c r="L17" s="108">
        <f>IF(C17&lt;=80%,0,(K17-'参数与来源'!$D$18)/(1-'参数与来源'!$D$20))</f>
      </c>
      <c r="M17" s="108">
        <f>IF(C17&lt;=80%,F17+G17,'参数与来源'!$D$14*(1+'控筹测算'!$I$10+'控筹测算'!$D$10)+L17)</f>
      </c>
      <c r="N17" s="408">
        <f>IF(C17&lt;=80%,('参数与来源'!$D$11+F17)/('参数与来源'!$D$12-C17*'参数与来源'!$D$8),K17/J17)</f>
      </c>
      <c r="O17" s="411">
        <f>IF(OR('参数与来源'!$N$19="",NOT(ISNUMBER(N17))),"",N17*'参数与来源'!$N$19)</f>
      </c>
      <c r="P17" s="416">
        <f>N17*'参数与来源'!$D$8</f>
      </c>
      <c r="Q17" s="417">
        <f>IF(C17&lt;'控筹测算'!$I$17,"可达","接近/超过上限")</f>
      </c>
    </row>
    <row r="18">
      <c r="C18" s="45" t="n">
        <v>0.83</v>
      </c>
      <c r="D18" s="71">
        <f>IF(C18&lt;=80%,"内盘","外盘")</f>
      </c>
      <c r="E18" s="108">
        <f>C18*'参数与来源'!$D$8</f>
      </c>
      <c r="F18" s="108">
        <f>IF(C18&lt;=80%,'参数与来源'!$D$13/('参数与来源'!$D$12-C18*'参数与来源'!$D$8)-'参数与来源'!$D$11,'参数与来源'!$D$14)</f>
      </c>
      <c r="G18" s="108">
        <f>F18*('控筹测算'!$I$10+'控筹测算'!$D$10)</f>
      </c>
      <c r="H18" s="108">
        <f>IF(C18&lt;=80%,0,(C18-80%)*'参数与来源'!$D$8)</f>
      </c>
      <c r="I18" s="108">
        <f>IF(H18=0,0,H18/(1-'控筹测算'!$D$10))</f>
      </c>
      <c r="J18" s="108">
        <f>IF(C18&lt;=80%,0,'参数与来源'!$D$17-I18)</f>
      </c>
      <c r="K18" s="108">
        <f>IF(C18&lt;=80%,0,'参数与来源'!$D$19/J18)</f>
      </c>
      <c r="L18" s="108">
        <f>IF(C18&lt;=80%,0,(K18-'参数与来源'!$D$18)/(1-'参数与来源'!$D$20))</f>
      </c>
      <c r="M18" s="108">
        <f>IF(C18&lt;=80%,F18+G18,'参数与来源'!$D$14*(1+'控筹测算'!$I$10+'控筹测算'!$D$10)+L18)</f>
      </c>
      <c r="N18" s="408">
        <f>IF(C18&lt;=80%,('参数与来源'!$D$11+F18)/('参数与来源'!$D$12-C18*'参数与来源'!$D$8),K18/J18)</f>
      </c>
      <c r="O18" s="411">
        <f>IF(OR('参数与来源'!$N$19="",NOT(ISNUMBER(N18))),"",N18*'参数与来源'!$N$19)</f>
      </c>
      <c r="P18" s="416">
        <f>N18*'参数与来源'!$D$8</f>
      </c>
      <c r="Q18" s="417">
        <f>IF(C18&lt;'控筹测算'!$I$17,"可达","接近/超过上限")</f>
      </c>
    </row>
    <row r="19">
      <c r="C19" s="45" t="n">
        <v>0.84</v>
      </c>
      <c r="D19" s="71">
        <f>IF(C19&lt;=80%,"内盘","外盘")</f>
      </c>
      <c r="E19" s="108">
        <f>C19*'参数与来源'!$D$8</f>
      </c>
      <c r="F19" s="108">
        <f>IF(C19&lt;=80%,'参数与来源'!$D$13/('参数与来源'!$D$12-C19*'参数与来源'!$D$8)-'参数与来源'!$D$11,'参数与来源'!$D$14)</f>
      </c>
      <c r="G19" s="108">
        <f>F19*('控筹测算'!$I$10+'控筹测算'!$D$10)</f>
      </c>
      <c r="H19" s="108">
        <f>IF(C19&lt;=80%,0,(C19-80%)*'参数与来源'!$D$8)</f>
      </c>
      <c r="I19" s="108">
        <f>IF(H19=0,0,H19/(1-'控筹测算'!$D$10))</f>
      </c>
      <c r="J19" s="108">
        <f>IF(C19&lt;=80%,0,'参数与来源'!$D$17-I19)</f>
      </c>
      <c r="K19" s="108">
        <f>IF(C19&lt;=80%,0,'参数与来源'!$D$19/J19)</f>
      </c>
      <c r="L19" s="108">
        <f>IF(C19&lt;=80%,0,(K19-'参数与来源'!$D$18)/(1-'参数与来源'!$D$20))</f>
      </c>
      <c r="M19" s="108">
        <f>IF(C19&lt;=80%,F19+G19,'参数与来源'!$D$14*(1+'控筹测算'!$I$10+'控筹测算'!$D$10)+L19)</f>
      </c>
      <c r="N19" s="408">
        <f>IF(C19&lt;=80%,('参数与来源'!$D$11+F19)/('参数与来源'!$D$12-C19*'参数与来源'!$D$8),K19/J19)</f>
      </c>
      <c r="O19" s="411">
        <f>IF(OR('参数与来源'!$N$19="",NOT(ISNUMBER(N19))),"",N19*'参数与来源'!$N$19)</f>
      </c>
      <c r="P19" s="416">
        <f>N19*'参数与来源'!$D$8</f>
      </c>
      <c r="Q19" s="417">
        <f>IF(C19&lt;'控筹测算'!$I$17,"可达","接近/超过上限")</f>
      </c>
    </row>
    <row r="20">
      <c r="C20" s="45" t="n">
        <v>0.85</v>
      </c>
      <c r="D20" s="71">
        <f>IF(C20&lt;=80%,"内盘","外盘")</f>
      </c>
      <c r="E20" s="108">
        <f>C20*'参数与来源'!$D$8</f>
      </c>
      <c r="F20" s="108">
        <f>IF(C20&lt;=80%,'参数与来源'!$D$13/('参数与来源'!$D$12-C20*'参数与来源'!$D$8)-'参数与来源'!$D$11,'参数与来源'!$D$14)</f>
      </c>
      <c r="G20" s="108">
        <f>F20*('控筹测算'!$I$10+'控筹测算'!$D$10)</f>
      </c>
      <c r="H20" s="108">
        <f>IF(C20&lt;=80%,0,(C20-80%)*'参数与来源'!$D$8)</f>
      </c>
      <c r="I20" s="108">
        <f>IF(H20=0,0,H20/(1-'控筹测算'!$D$10))</f>
      </c>
      <c r="J20" s="108">
        <f>IF(C20&lt;=80%,0,'参数与来源'!$D$17-I20)</f>
      </c>
      <c r="K20" s="108">
        <f>IF(C20&lt;=80%,0,'参数与来源'!$D$19/J20)</f>
      </c>
      <c r="L20" s="108">
        <f>IF(C20&lt;=80%,0,(K20-'参数与来源'!$D$18)/(1-'参数与来源'!$D$20))</f>
      </c>
      <c r="M20" s="108">
        <f>IF(C20&lt;=80%,F20+G20,'参数与来源'!$D$14*(1+'控筹测算'!$I$10+'控筹测算'!$D$10)+L20)</f>
      </c>
      <c r="N20" s="408">
        <f>IF(C20&lt;=80%,('参数与来源'!$D$11+F20)/('参数与来源'!$D$12-C20*'参数与来源'!$D$8),K20/J20)</f>
      </c>
      <c r="O20" s="411">
        <f>IF(OR('参数与来源'!$N$19="",NOT(ISNUMBER(N20))),"",N20*'参数与来源'!$N$19)</f>
      </c>
      <c r="P20" s="416">
        <f>N20*'参数与来源'!$D$8</f>
      </c>
      <c r="Q20" s="417">
        <f>IF(C20&lt;'控筹测算'!$I$17,"可达","接近/超过上限")</f>
      </c>
    </row>
    <row r="21">
      <c r="C21" s="45" t="n">
        <v>0.86</v>
      </c>
      <c r="D21" s="71">
        <f>IF(C21&lt;=80%,"内盘","外盘")</f>
      </c>
      <c r="E21" s="108">
        <f>C21*'参数与来源'!$D$8</f>
      </c>
      <c r="F21" s="108">
        <f>IF(C21&lt;=80%,'参数与来源'!$D$13/('参数与来源'!$D$12-C21*'参数与来源'!$D$8)-'参数与来源'!$D$11,'参数与来源'!$D$14)</f>
      </c>
      <c r="G21" s="108">
        <f>F21*('控筹测算'!$I$10+'控筹测算'!$D$10)</f>
      </c>
      <c r="H21" s="108">
        <f>IF(C21&lt;=80%,0,(C21-80%)*'参数与来源'!$D$8)</f>
      </c>
      <c r="I21" s="108">
        <f>IF(H21=0,0,H21/(1-'控筹测算'!$D$10))</f>
      </c>
      <c r="J21" s="108">
        <f>IF(C21&lt;=80%,0,'参数与来源'!$D$17-I21)</f>
      </c>
      <c r="K21" s="108">
        <f>IF(C21&lt;=80%,0,'参数与来源'!$D$19/J21)</f>
      </c>
      <c r="L21" s="108">
        <f>IF(C21&lt;=80%,0,(K21-'参数与来源'!$D$18)/(1-'参数与来源'!$D$20))</f>
      </c>
      <c r="M21" s="108">
        <f>IF(C21&lt;=80%,F21+G21,'参数与来源'!$D$14*(1+'控筹测算'!$I$10+'控筹测算'!$D$10)+L21)</f>
      </c>
      <c r="N21" s="408">
        <f>IF(C21&lt;=80%,('参数与来源'!$D$11+F21)/('参数与来源'!$D$12-C21*'参数与来源'!$D$8),K21/J21)</f>
      </c>
      <c r="O21" s="411">
        <f>IF(OR('参数与来源'!$N$19="",NOT(ISNUMBER(N21))),"",N21*'参数与来源'!$N$19)</f>
      </c>
      <c r="P21" s="416">
        <f>N21*'参数与来源'!$D$8</f>
      </c>
      <c r="Q21" s="417">
        <f>IF(C21&lt;'控筹测算'!$I$17,"可达","接近/超过上限")</f>
      </c>
    </row>
    <row r="22">
      <c r="C22" s="45" t="n">
        <v>0.87</v>
      </c>
      <c r="D22" s="71">
        <f>IF(C22&lt;=80%,"内盘","外盘")</f>
      </c>
      <c r="E22" s="108">
        <f>C22*'参数与来源'!$D$8</f>
      </c>
      <c r="F22" s="108">
        <f>IF(C22&lt;=80%,'参数与来源'!$D$13/('参数与来源'!$D$12-C22*'参数与来源'!$D$8)-'参数与来源'!$D$11,'参数与来源'!$D$14)</f>
      </c>
      <c r="G22" s="108">
        <f>F22*('控筹测算'!$I$10+'控筹测算'!$D$10)</f>
      </c>
      <c r="H22" s="108">
        <f>IF(C22&lt;=80%,0,(C22-80%)*'参数与来源'!$D$8)</f>
      </c>
      <c r="I22" s="108">
        <f>IF(H22=0,0,H22/(1-'控筹测算'!$D$10))</f>
      </c>
      <c r="J22" s="108">
        <f>IF(C22&lt;=80%,0,'参数与来源'!$D$17-I22)</f>
      </c>
      <c r="K22" s="108">
        <f>IF(C22&lt;=80%,0,'参数与来源'!$D$19/J22)</f>
      </c>
      <c r="L22" s="108">
        <f>IF(C22&lt;=80%,0,(K22-'参数与来源'!$D$18)/(1-'参数与来源'!$D$20))</f>
      </c>
      <c r="M22" s="108">
        <f>IF(C22&lt;=80%,F22+G22,'参数与来源'!$D$14*(1+'控筹测算'!$I$10+'控筹测算'!$D$10)+L22)</f>
      </c>
      <c r="N22" s="408">
        <f>IF(C22&lt;=80%,('参数与来源'!$D$11+F22)/('参数与来源'!$D$12-C22*'参数与来源'!$D$8),K22/J22)</f>
      </c>
      <c r="O22" s="411">
        <f>IF(OR('参数与来源'!$N$19="",NOT(ISNUMBER(N22))),"",N22*'参数与来源'!$N$19)</f>
      </c>
      <c r="P22" s="416">
        <f>N22*'参数与来源'!$D$8</f>
      </c>
      <c r="Q22" s="417">
        <f>IF(C22&lt;'控筹测算'!$I$17,"可达","接近/超过上限")</f>
      </c>
    </row>
    <row r="23">
      <c r="C23" s="45" t="n">
        <v>0.88</v>
      </c>
      <c r="D23" s="71">
        <f>IF(C23&lt;=80%,"内盘","外盘")</f>
      </c>
      <c r="E23" s="108">
        <f>C23*'参数与来源'!$D$8</f>
      </c>
      <c r="F23" s="108">
        <f>IF(C23&lt;=80%,'参数与来源'!$D$13/('参数与来源'!$D$12-C23*'参数与来源'!$D$8)-'参数与来源'!$D$11,'参数与来源'!$D$14)</f>
      </c>
      <c r="G23" s="108">
        <f>F23*('控筹测算'!$I$10+'控筹测算'!$D$10)</f>
      </c>
      <c r="H23" s="108">
        <f>IF(C23&lt;=80%,0,(C23-80%)*'参数与来源'!$D$8)</f>
      </c>
      <c r="I23" s="108">
        <f>IF(H23=0,0,H23/(1-'控筹测算'!$D$10))</f>
      </c>
      <c r="J23" s="108">
        <f>IF(C23&lt;=80%,0,'参数与来源'!$D$17-I23)</f>
      </c>
      <c r="K23" s="108">
        <f>IF(C23&lt;=80%,0,'参数与来源'!$D$19/J23)</f>
      </c>
      <c r="L23" s="108">
        <f>IF(C23&lt;=80%,0,(K23-'参数与来源'!$D$18)/(1-'参数与来源'!$D$20))</f>
      </c>
      <c r="M23" s="108">
        <f>IF(C23&lt;=80%,F23+G23,'参数与来源'!$D$14*(1+'控筹测算'!$I$10+'控筹测算'!$D$10)+L23)</f>
      </c>
      <c r="N23" s="408">
        <f>IF(C23&lt;=80%,('参数与来源'!$D$11+F23)/('参数与来源'!$D$12-C23*'参数与来源'!$D$8),K23/J23)</f>
      </c>
      <c r="O23" s="411">
        <f>IF(OR('参数与来源'!$N$19="",NOT(ISNUMBER(N23))),"",N23*'参数与来源'!$N$19)</f>
      </c>
      <c r="P23" s="416">
        <f>N23*'参数与来源'!$D$8</f>
      </c>
      <c r="Q23" s="417">
        <f>IF(C23&lt;'控筹测算'!$I$17,"可达","接近/超过上限")</f>
      </c>
    </row>
    <row r="24">
      <c r="C24" s="45" t="n">
        <v>0.89</v>
      </c>
      <c r="D24" s="71">
        <f>IF(C24&lt;=80%,"内盘","外盘")</f>
      </c>
      <c r="E24" s="108">
        <f>C24*'参数与来源'!$D$8</f>
      </c>
      <c r="F24" s="108">
        <f>IF(C24&lt;=80%,'参数与来源'!$D$13/('参数与来源'!$D$12-C24*'参数与来源'!$D$8)-'参数与来源'!$D$11,'参数与来源'!$D$14)</f>
      </c>
      <c r="G24" s="108">
        <f>F24*('控筹测算'!$I$10+'控筹测算'!$D$10)</f>
      </c>
      <c r="H24" s="108">
        <f>IF(C24&lt;=80%,0,(C24-80%)*'参数与来源'!$D$8)</f>
      </c>
      <c r="I24" s="108">
        <f>IF(H24=0,0,H24/(1-'控筹测算'!$D$10))</f>
      </c>
      <c r="J24" s="108">
        <f>IF(C24&lt;=80%,0,'参数与来源'!$D$17-I24)</f>
      </c>
      <c r="K24" s="108">
        <f>IF(C24&lt;=80%,0,'参数与来源'!$D$19/J24)</f>
      </c>
      <c r="L24" s="108">
        <f>IF(C24&lt;=80%,0,(K24-'参数与来源'!$D$18)/(1-'参数与来源'!$D$20))</f>
      </c>
      <c r="M24" s="108">
        <f>IF(C24&lt;=80%,F24+G24,'参数与来源'!$D$14*(1+'控筹测算'!$I$10+'控筹测算'!$D$10)+L24)</f>
      </c>
      <c r="N24" s="408">
        <f>IF(C24&lt;=80%,('参数与来源'!$D$11+F24)/('参数与来源'!$D$12-C24*'参数与来源'!$D$8),K24/J24)</f>
      </c>
      <c r="O24" s="411">
        <f>IF(OR('参数与来源'!$N$19="",NOT(ISNUMBER(N24))),"",N24*'参数与来源'!$N$19)</f>
      </c>
      <c r="P24" s="416">
        <f>N24*'参数与来源'!$D$8</f>
      </c>
      <c r="Q24" s="417">
        <f>IF(C24&lt;'控筹测算'!$I$17,"可达","接近/超过上限")</f>
      </c>
    </row>
    <row r="25">
      <c r="C25" s="45" t="n">
        <v>0.9</v>
      </c>
      <c r="D25" s="71">
        <f>IF(C25&lt;=80%,"内盘","外盘")</f>
      </c>
      <c r="E25" s="108">
        <f>C25*'参数与来源'!$D$8</f>
      </c>
      <c r="F25" s="108">
        <f>IF(C25&lt;=80%,'参数与来源'!$D$13/('参数与来源'!$D$12-C25*'参数与来源'!$D$8)-'参数与来源'!$D$11,'参数与来源'!$D$14)</f>
      </c>
      <c r="G25" s="108">
        <f>F25*('控筹测算'!$I$10+'控筹测算'!$D$10)</f>
      </c>
      <c r="H25" s="108">
        <f>IF(C25&lt;=80%,0,(C25-80%)*'参数与来源'!$D$8)</f>
      </c>
      <c r="I25" s="108">
        <f>IF(H25=0,0,H25/(1-'控筹测算'!$D$10))</f>
      </c>
      <c r="J25" s="108">
        <f>IF(C25&lt;=80%,0,'参数与来源'!$D$17-I25)</f>
      </c>
      <c r="K25" s="108">
        <f>IF(C25&lt;=80%,0,'参数与来源'!$D$19/J25)</f>
      </c>
      <c r="L25" s="108">
        <f>IF(C25&lt;=80%,0,(K25-'参数与来源'!$D$18)/(1-'参数与来源'!$D$20))</f>
      </c>
      <c r="M25" s="108">
        <f>IF(C25&lt;=80%,F25+G25,'参数与来源'!$D$14*(1+'控筹测算'!$I$10+'控筹测算'!$D$10)+L25)</f>
      </c>
      <c r="N25" s="408">
        <f>IF(C25&lt;=80%,('参数与来源'!$D$11+F25)/('参数与来源'!$D$12-C25*'参数与来源'!$D$8),K25/J25)</f>
      </c>
      <c r="O25" s="411">
        <f>IF(OR('参数与来源'!$N$19="",NOT(ISNUMBER(N25))),"",N25*'参数与来源'!$N$19)</f>
      </c>
      <c r="P25" s="416">
        <f>N25*'参数与来源'!$D$8</f>
      </c>
      <c r="Q25" s="417">
        <f>IF(C25&lt;'控筹测算'!$I$17,"可达","接近/超过上限")</f>
      </c>
    </row>
    <row r="26">
      <c r="C26" s="45" t="n">
        <v>0.91</v>
      </c>
      <c r="D26" s="71">
        <f>IF(C26&lt;=80%,"内盘","外盘")</f>
      </c>
      <c r="E26" s="108">
        <f>C26*'参数与来源'!$D$8</f>
      </c>
      <c r="F26" s="108">
        <f>IF(C26&lt;=80%,'参数与来源'!$D$13/('参数与来源'!$D$12-C26*'参数与来源'!$D$8)-'参数与来源'!$D$11,'参数与来源'!$D$14)</f>
      </c>
      <c r="G26" s="108">
        <f>F26*('控筹测算'!$I$10+'控筹测算'!$D$10)</f>
      </c>
      <c r="H26" s="108">
        <f>IF(C26&lt;=80%,0,(C26-80%)*'参数与来源'!$D$8)</f>
      </c>
      <c r="I26" s="108">
        <f>IF(H26=0,0,H26/(1-'控筹测算'!$D$10))</f>
      </c>
      <c r="J26" s="108">
        <f>IF(C26&lt;=80%,0,'参数与来源'!$D$17-I26)</f>
      </c>
      <c r="K26" s="108">
        <f>IF(C26&lt;=80%,0,'参数与来源'!$D$19/J26)</f>
      </c>
      <c r="L26" s="108">
        <f>IF(C26&lt;=80%,0,(K26-'参数与来源'!$D$18)/(1-'参数与来源'!$D$20))</f>
      </c>
      <c r="M26" s="108">
        <f>IF(C26&lt;=80%,F26+G26,'参数与来源'!$D$14*(1+'控筹测算'!$I$10+'控筹测算'!$D$10)+L26)</f>
      </c>
      <c r="N26" s="408">
        <f>IF(C26&lt;=80%,('参数与来源'!$D$11+F26)/('参数与来源'!$D$12-C26*'参数与来源'!$D$8),K26/J26)</f>
      </c>
      <c r="O26" s="411">
        <f>IF(OR('参数与来源'!$N$19="",NOT(ISNUMBER(N26))),"",N26*'参数与来源'!$N$19)</f>
      </c>
      <c r="P26" s="416">
        <f>N26*'参数与来源'!$D$8</f>
      </c>
      <c r="Q26" s="417">
        <f>IF(C26&lt;'控筹测算'!$I$17,"可达","接近/超过上限")</f>
      </c>
    </row>
    <row r="27">
      <c r="C27" s="45" t="n">
        <v>0.92</v>
      </c>
      <c r="D27" s="71">
        <f>IF(C27&lt;=80%,"内盘","外盘")</f>
      </c>
      <c r="E27" s="108">
        <f>C27*'参数与来源'!$D$8</f>
      </c>
      <c r="F27" s="108">
        <f>IF(C27&lt;=80%,'参数与来源'!$D$13/('参数与来源'!$D$12-C27*'参数与来源'!$D$8)-'参数与来源'!$D$11,'参数与来源'!$D$14)</f>
      </c>
      <c r="G27" s="108">
        <f>F27*('控筹测算'!$I$10+'控筹测算'!$D$10)</f>
      </c>
      <c r="H27" s="108">
        <f>IF(C27&lt;=80%,0,(C27-80%)*'参数与来源'!$D$8)</f>
      </c>
      <c r="I27" s="108">
        <f>IF(H27=0,0,H27/(1-'控筹测算'!$D$10))</f>
      </c>
      <c r="J27" s="108">
        <f>IF(C27&lt;=80%,0,'参数与来源'!$D$17-I27)</f>
      </c>
      <c r="K27" s="108">
        <f>IF(C27&lt;=80%,0,'参数与来源'!$D$19/J27)</f>
      </c>
      <c r="L27" s="108">
        <f>IF(C27&lt;=80%,0,(K27-'参数与来源'!$D$18)/(1-'参数与来源'!$D$20))</f>
      </c>
      <c r="M27" s="108">
        <f>IF(C27&lt;=80%,F27+G27,'参数与来源'!$D$14*(1+'控筹测算'!$I$10+'控筹测算'!$D$10)+L27)</f>
      </c>
      <c r="N27" s="408">
        <f>IF(C27&lt;=80%,('参数与来源'!$D$11+F27)/('参数与来源'!$D$12-C27*'参数与来源'!$D$8),K27/J27)</f>
      </c>
      <c r="O27" s="411">
        <f>IF(OR('参数与来源'!$N$19="",NOT(ISNUMBER(N27))),"",N27*'参数与来源'!$N$19)</f>
      </c>
      <c r="P27" s="416">
        <f>N27*'参数与来源'!$D$8</f>
      </c>
      <c r="Q27" s="417">
        <f>IF(C27&lt;'控筹测算'!$I$17,"可达","接近/超过上限")</f>
      </c>
    </row>
    <row r="28">
      <c r="C28" s="45" t="n">
        <v>0.93</v>
      </c>
      <c r="D28" s="71">
        <f>IF(C28&lt;=80%,"内盘","外盘")</f>
      </c>
      <c r="E28" s="108">
        <f>C28*'参数与来源'!$D$8</f>
      </c>
      <c r="F28" s="108">
        <f>IF(C28&lt;=80%,'参数与来源'!$D$13/('参数与来源'!$D$12-C28*'参数与来源'!$D$8)-'参数与来源'!$D$11,'参数与来源'!$D$14)</f>
      </c>
      <c r="G28" s="108">
        <f>F28*('控筹测算'!$I$10+'控筹测算'!$D$10)</f>
      </c>
      <c r="H28" s="108">
        <f>IF(C28&lt;=80%,0,(C28-80%)*'参数与来源'!$D$8)</f>
      </c>
      <c r="I28" s="108">
        <f>IF(H28=0,0,H28/(1-'控筹测算'!$D$10))</f>
      </c>
      <c r="J28" s="108">
        <f>IF(C28&lt;=80%,0,'参数与来源'!$D$17-I28)</f>
      </c>
      <c r="K28" s="108">
        <f>IF(C28&lt;=80%,0,'参数与来源'!$D$19/J28)</f>
      </c>
      <c r="L28" s="108">
        <f>IF(C28&lt;=80%,0,(K28-'参数与来源'!$D$18)/(1-'参数与来源'!$D$20))</f>
      </c>
      <c r="M28" s="108">
        <f>IF(C28&lt;=80%,F28+G28,'参数与来源'!$D$14*(1+'控筹测算'!$I$10+'控筹测算'!$D$10)+L28)</f>
      </c>
      <c r="N28" s="408">
        <f>IF(C28&lt;=80%,('参数与来源'!$D$11+F28)/('参数与来源'!$D$12-C28*'参数与来源'!$D$8),K28/J28)</f>
      </c>
      <c r="O28" s="411">
        <f>IF(OR('参数与来源'!$N$19="",NOT(ISNUMBER(N28))),"",N28*'参数与来源'!$N$19)</f>
      </c>
      <c r="P28" s="416">
        <f>N28*'参数与来源'!$D$8</f>
      </c>
      <c r="Q28" s="417">
        <f>IF(C28&lt;'控筹测算'!$I$17,"可达","接近/超过上限")</f>
      </c>
    </row>
    <row r="29">
      <c r="C29" s="45" t="n">
        <v>0.94</v>
      </c>
      <c r="D29" s="71">
        <f>IF(C29&lt;=80%,"内盘","外盘")</f>
      </c>
      <c r="E29" s="108">
        <f>C29*'参数与来源'!$D$8</f>
      </c>
      <c r="F29" s="108">
        <f>IF(C29&lt;=80%,'参数与来源'!$D$13/('参数与来源'!$D$12-C29*'参数与来源'!$D$8)-'参数与来源'!$D$11,'参数与来源'!$D$14)</f>
      </c>
      <c r="G29" s="108">
        <f>F29*('控筹测算'!$I$10+'控筹测算'!$D$10)</f>
      </c>
      <c r="H29" s="108">
        <f>IF(C29&lt;=80%,0,(C29-80%)*'参数与来源'!$D$8)</f>
      </c>
      <c r="I29" s="108">
        <f>IF(H29=0,0,H29/(1-'控筹测算'!$D$10))</f>
      </c>
      <c r="J29" s="108">
        <f>IF(C29&lt;=80%,0,'参数与来源'!$D$17-I29)</f>
      </c>
      <c r="K29" s="108">
        <f>IF(C29&lt;=80%,0,'参数与来源'!$D$19/J29)</f>
      </c>
      <c r="L29" s="108">
        <f>IF(C29&lt;=80%,0,(K29-'参数与来源'!$D$18)/(1-'参数与来源'!$D$20))</f>
      </c>
      <c r="M29" s="108">
        <f>IF(C29&lt;=80%,F29+G29,'参数与来源'!$D$14*(1+'控筹测算'!$I$10+'控筹测算'!$D$10)+L29)</f>
      </c>
      <c r="N29" s="408">
        <f>IF(C29&lt;=80%,('参数与来源'!$D$11+F29)/('参数与来源'!$D$12-C29*'参数与来源'!$D$8),K29/J29)</f>
      </c>
      <c r="O29" s="411">
        <f>IF(OR('参数与来源'!$N$19="",NOT(ISNUMBER(N29))),"",N29*'参数与来源'!$N$19)</f>
      </c>
      <c r="P29" s="416">
        <f>N29*'参数与来源'!$D$8</f>
      </c>
      <c r="Q29" s="417">
        <f>IF(C29&lt;'控筹测算'!$I$17,"可达","接近/超过上限")</f>
      </c>
    </row>
    <row r="30">
      <c r="C30" s="45" t="n">
        <v>0.95</v>
      </c>
      <c r="D30" s="71">
        <f>IF(C30&lt;=80%,"内盘","外盘")</f>
      </c>
      <c r="E30" s="108">
        <f>C30*'参数与来源'!$D$8</f>
      </c>
      <c r="F30" s="108">
        <f>IF(C30&lt;=80%,'参数与来源'!$D$13/('参数与来源'!$D$12-C30*'参数与来源'!$D$8)-'参数与来源'!$D$11,'参数与来源'!$D$14)</f>
      </c>
      <c r="G30" s="108">
        <f>F30*('控筹测算'!$I$10+'控筹测算'!$D$10)</f>
      </c>
      <c r="H30" s="108">
        <f>IF(C30&lt;=80%,0,(C30-80%)*'参数与来源'!$D$8)</f>
      </c>
      <c r="I30" s="108">
        <f>IF(H30=0,0,H30/(1-'控筹测算'!$D$10))</f>
      </c>
      <c r="J30" s="108">
        <f>IF(C30&lt;=80%,0,'参数与来源'!$D$17-I30)</f>
      </c>
      <c r="K30" s="108">
        <f>IF(C30&lt;=80%,0,'参数与来源'!$D$19/J30)</f>
      </c>
      <c r="L30" s="108">
        <f>IF(C30&lt;=80%,0,(K30-'参数与来源'!$D$18)/(1-'参数与来源'!$D$20))</f>
      </c>
      <c r="M30" s="108">
        <f>IF(C30&lt;=80%,F30+G30,'参数与来源'!$D$14*(1+'控筹测算'!$I$10+'控筹测算'!$D$10)+L30)</f>
      </c>
      <c r="N30" s="408">
        <f>IF(C30&lt;=80%,('参数与来源'!$D$11+F30)/('参数与来源'!$D$12-C30*'参数与来源'!$D$8),K30/J30)</f>
      </c>
      <c r="O30" s="411">
        <f>IF(OR('参数与来源'!$N$19="",NOT(ISNUMBER(N30))),"",N30*'参数与来源'!$N$19)</f>
      </c>
      <c r="P30" s="416">
        <f>N30*'参数与来源'!$D$8</f>
      </c>
      <c r="Q30" s="417">
        <f>IF(C30&lt;'控筹测算'!$I$17,"可达","接近/超过上限")</f>
      </c>
    </row>
    <row r="31">
      <c r="C31" s="45" t="n">
        <v>0.96</v>
      </c>
      <c r="D31" s="71">
        <f>IF(C31&lt;=80%,"内盘","外盘")</f>
      </c>
      <c r="E31" s="108">
        <f>C31*'参数与来源'!$D$8</f>
      </c>
      <c r="F31" s="108">
        <f>IF(C31&lt;=80%,'参数与来源'!$D$13/('参数与来源'!$D$12-C31*'参数与来源'!$D$8)-'参数与来源'!$D$11,'参数与来源'!$D$14)</f>
      </c>
      <c r="G31" s="108">
        <f>F31*('控筹测算'!$I$10+'控筹测算'!$D$10)</f>
      </c>
      <c r="H31" s="108">
        <f>IF(C31&lt;=80%,0,(C31-80%)*'参数与来源'!$D$8)</f>
      </c>
      <c r="I31" s="108">
        <f>IF(H31=0,0,H31/(1-'控筹测算'!$D$10))</f>
      </c>
      <c r="J31" s="108">
        <f>IF(C31&lt;=80%,0,'参数与来源'!$D$17-I31)</f>
      </c>
      <c r="K31" s="108">
        <f>IF(C31&lt;=80%,0,'参数与来源'!$D$19/J31)</f>
      </c>
      <c r="L31" s="108">
        <f>IF(C31&lt;=80%,0,(K31-'参数与来源'!$D$18)/(1-'参数与来源'!$D$20))</f>
      </c>
      <c r="M31" s="108">
        <f>IF(C31&lt;=80%,F31+G31,'参数与来源'!$D$14*(1+'控筹测算'!$I$10+'控筹测算'!$D$10)+L31)</f>
      </c>
      <c r="N31" s="408">
        <f>IF(C31&lt;=80%,('参数与来源'!$D$11+F31)/('参数与来源'!$D$12-C31*'参数与来源'!$D$8),K31/J31)</f>
      </c>
      <c r="O31" s="411">
        <f>IF(OR('参数与来源'!$N$19="",NOT(ISNUMBER(N31))),"",N31*'参数与来源'!$N$19)</f>
      </c>
      <c r="P31" s="416">
        <f>N31*'参数与来源'!$D$8</f>
      </c>
      <c r="Q31" s="417">
        <f>IF(C31&lt;'控筹测算'!$I$17,"可达","接近/超过上限")</f>
      </c>
    </row>
    <row r="32">
      <c r="C32" s="45" t="n">
        <v>0.97</v>
      </c>
      <c r="D32" s="71">
        <f>IF(C32&lt;=80%,"内盘","外盘")</f>
      </c>
      <c r="E32" s="108">
        <f>C32*'参数与来源'!$D$8</f>
      </c>
      <c r="F32" s="108">
        <f>IF(C32&lt;=80%,'参数与来源'!$D$13/('参数与来源'!$D$12-C32*'参数与来源'!$D$8)-'参数与来源'!$D$11,'参数与来源'!$D$14)</f>
      </c>
      <c r="G32" s="108">
        <f>F32*('控筹测算'!$I$10+'控筹测算'!$D$10)</f>
      </c>
      <c r="H32" s="108">
        <f>IF(C32&lt;=80%,0,(C32-80%)*'参数与来源'!$D$8)</f>
      </c>
      <c r="I32" s="108">
        <f>IF(H32=0,0,H32/(1-'控筹测算'!$D$10))</f>
      </c>
      <c r="J32" s="108">
        <f>IF(C32&lt;=80%,0,'参数与来源'!$D$17-I32)</f>
      </c>
      <c r="K32" s="108">
        <f>IF(C32&lt;=80%,0,'参数与来源'!$D$19/J32)</f>
      </c>
      <c r="L32" s="108">
        <f>IF(C32&lt;=80%,0,(K32-'参数与来源'!$D$18)/(1-'参数与来源'!$D$20))</f>
      </c>
      <c r="M32" s="108">
        <f>IF(C32&lt;=80%,F32+G32,'参数与来源'!$D$14*(1+'控筹测算'!$I$10+'控筹测算'!$D$10)+L32)</f>
      </c>
      <c r="N32" s="408">
        <f>IF(C32&lt;=80%,('参数与来源'!$D$11+F32)/('参数与来源'!$D$12-C32*'参数与来源'!$D$8),K32/J32)</f>
      </c>
      <c r="O32" s="411">
        <f>IF(OR('参数与来源'!$N$19="",NOT(ISNUMBER(N32))),"",N32*'参数与来源'!$N$19)</f>
      </c>
      <c r="P32" s="416">
        <f>N32*'参数与来源'!$D$8</f>
      </c>
      <c r="Q32" s="417">
        <f>IF(C32&lt;'控筹测算'!$I$17,"可达","接近/超过上限")</f>
      </c>
    </row>
    <row r="33">
      <c r="C33" s="45" t="n">
        <v>0.98</v>
      </c>
      <c r="D33" s="71">
        <f>IF(C33&lt;=80%,"内盘","外盘")</f>
      </c>
      <c r="E33" s="108">
        <f>C33*'参数与来源'!$D$8</f>
      </c>
      <c r="F33" s="108">
        <f>IF(C33&lt;=80%,'参数与来源'!$D$13/('参数与来源'!$D$12-C33*'参数与来源'!$D$8)-'参数与来源'!$D$11,'参数与来源'!$D$14)</f>
      </c>
      <c r="G33" s="108">
        <f>F33*('控筹测算'!$I$10+'控筹测算'!$D$10)</f>
      </c>
      <c r="H33" s="108">
        <f>IF(C33&lt;=80%,0,(C33-80%)*'参数与来源'!$D$8)</f>
      </c>
      <c r="I33" s="108">
        <f>IF(H33=0,0,H33/(1-'控筹测算'!$D$10))</f>
      </c>
      <c r="J33" s="108">
        <f>IF(C33&lt;=80%,0,'参数与来源'!$D$17-I33)</f>
      </c>
      <c r="K33" s="108">
        <f>IF(C33&lt;=80%,0,'参数与来源'!$D$19/J33)</f>
      </c>
      <c r="L33" s="108">
        <f>IF(C33&lt;=80%,0,(K33-'参数与来源'!$D$18)/(1-'参数与来源'!$D$20))</f>
      </c>
      <c r="M33" s="108">
        <f>IF(C33&lt;=80%,F33+G33,'参数与来源'!$D$14*(1+'控筹测算'!$I$10+'控筹测算'!$D$10)+L33)</f>
      </c>
      <c r="N33" s="408">
        <f>IF(C33&lt;=80%,('参数与来源'!$D$11+F33)/('参数与来源'!$D$12-C33*'参数与来源'!$D$8),K33/J33)</f>
      </c>
      <c r="O33" s="411">
        <f>IF(OR('参数与来源'!$N$19="",NOT(ISNUMBER(N33))),"",N33*'参数与来源'!$N$19)</f>
      </c>
      <c r="P33" s="416">
        <f>N33*'参数与来源'!$D$8</f>
      </c>
      <c r="Q33" s="417">
        <f>IF(C33&lt;'控筹测算'!$I$17,"可达","接近/超过上限")</f>
      </c>
    </row>
    <row r="34">
      <c r="C34" s="45" t="n">
        <v>0.984</v>
      </c>
      <c r="D34" s="71">
        <f>IF(C34&lt;=80%,"内盘","外盘")</f>
      </c>
      <c r="E34" s="108">
        <f>C34*'参数与来源'!$D$8</f>
      </c>
      <c r="F34" s="108">
        <f>IF(C34&lt;=80%,'参数与来源'!$D$13/('参数与来源'!$D$12-C34*'参数与来源'!$D$8)-'参数与来源'!$D$11,'参数与来源'!$D$14)</f>
      </c>
      <c r="G34" s="108">
        <f>F34*('控筹测算'!$I$10+'控筹测算'!$D$10)</f>
      </c>
      <c r="H34" s="108">
        <f>IF(C34&lt;=80%,0,(C34-80%)*'参数与来源'!$D$8)</f>
      </c>
      <c r="I34" s="108">
        <f>IF(H34=0,0,H34/(1-'控筹测算'!$D$10))</f>
      </c>
      <c r="J34" s="108">
        <f>IF(C34&lt;=80%,0,'参数与来源'!$D$17-I34)</f>
      </c>
      <c r="K34" s="108">
        <f>IF(C34&lt;=80%,0,'参数与来源'!$D$19/J34)</f>
      </c>
      <c r="L34" s="108">
        <f>IF(C34&lt;=80%,0,(K34-'参数与来源'!$D$18)/(1-'参数与来源'!$D$20))</f>
      </c>
      <c r="M34" s="108">
        <f>IF(C34&lt;=80%,F34+G34,'参数与来源'!$D$14*(1+'控筹测算'!$I$10+'控筹测算'!$D$10)+L34)</f>
      </c>
      <c r="N34" s="408">
        <f>IF(C34&lt;=80%,('参数与来源'!$D$11+F34)/('参数与来源'!$D$12-C34*'参数与来源'!$D$8),K34/J34)</f>
      </c>
      <c r="O34" s="411">
        <f>IF(OR('参数与来源'!$N$19="",NOT(ISNUMBER(N34))),"",N34*'参数与来源'!$N$19)</f>
      </c>
      <c r="P34" s="416">
        <f>N34*'参数与来源'!$D$8</f>
      </c>
      <c r="Q34" s="417">
        <f>IF(C34&lt;'控筹测算'!$I$17,"可达","接近/超过上限")</f>
      </c>
    </row>
    <row r="35">
      <c r="C35" s="45" t="n">
        <v>0.99</v>
      </c>
      <c r="D35" s="71">
        <f>IF(C35&lt;=80%,"内盘","外盘")</f>
      </c>
      <c r="E35" s="108">
        <f>C35*'参数与来源'!$D$8</f>
      </c>
      <c r="F35" s="108">
        <f>IF(C35&lt;=80%,'参数与来源'!$D$13/('参数与来源'!$D$12-C35*'参数与来源'!$D$8)-'参数与来源'!$D$11,'参数与来源'!$D$14)</f>
      </c>
      <c r="G35" s="108">
        <f>F35*('控筹测算'!$I$10+'控筹测算'!$D$10)</f>
      </c>
      <c r="H35" s="108">
        <f>IF(C35&lt;=80%,0,(C35-80%)*'参数与来源'!$D$8)</f>
      </c>
      <c r="I35" s="108">
        <f>IF(H35=0,0,H35/(1-'控筹测算'!$D$10))</f>
      </c>
      <c r="J35" s="108">
        <f>IF(C35&lt;=80%,0,'参数与来源'!$D$17-I35)</f>
      </c>
      <c r="K35" s="108">
        <f>IF(C35&lt;=80%,0,'参数与来源'!$D$19/J35)</f>
      </c>
      <c r="L35" s="108">
        <f>IF(C35&lt;=80%,0,(K35-'参数与来源'!$D$18)/(1-'参数与来源'!$D$20))</f>
      </c>
      <c r="M35" s="108">
        <f>IF(C35&lt;=80%,F35+G35,'参数与来源'!$D$14*(1+'控筹测算'!$I$10+'控筹测算'!$D$10)+L35)</f>
      </c>
      <c r="N35" s="408">
        <f>IF(C35&lt;=80%,('参数与来源'!$D$11+F35)/('参数与来源'!$D$12-C35*'参数与来源'!$D$8),K35/J35)</f>
      </c>
      <c r="O35" s="411">
        <f>IF(OR('参数与来源'!$N$19="",NOT(ISNUMBER(N35))),"",N35*'参数与来源'!$N$19)</f>
      </c>
      <c r="P35" s="416">
        <f>N35*'参数与来源'!$D$8</f>
      </c>
      <c r="Q35" s="417">
        <f>IF(C35&lt;'控筹测算'!$I$17,"可达","接近/超过上限")</f>
      </c>
    </row>
    <row r="36">
      <c r="C36" s="86" t="n">
        <v>0.993</v>
      </c>
      <c r="D36" s="72">
        <f>IF(C36&lt;=80%,"内盘","外盘")</f>
      </c>
      <c r="E36" s="110">
        <f>C36*'参数与来源'!$D$8</f>
      </c>
      <c r="F36" s="110">
        <f>IF(C36&lt;=80%,'参数与来源'!$D$13/('参数与来源'!$D$12-C36*'参数与来源'!$D$8)-'参数与来源'!$D$11,'参数与来源'!$D$14)</f>
      </c>
      <c r="G36" s="110">
        <f>F36*('控筹测算'!$I$10+'控筹测算'!$D$10)</f>
      </c>
      <c r="H36" s="110">
        <f>IF(C36&lt;=80%,0,(C36-80%)*'参数与来源'!$D$8)</f>
      </c>
      <c r="I36" s="110">
        <f>IF(H36=0,0,H36/(1-'控筹测算'!$D$10))</f>
      </c>
      <c r="J36" s="110">
        <f>IF(C36&lt;=80%,0,'参数与来源'!$D$17-I36)</f>
      </c>
      <c r="K36" s="110">
        <f>IF(C36&lt;=80%,0,'参数与来源'!$D$19/J36)</f>
      </c>
      <c r="L36" s="110">
        <f>IF(C36&lt;=80%,0,(K36-'参数与来源'!$D$18)/(1-'参数与来源'!$D$20))</f>
      </c>
      <c r="M36" s="110">
        <f>IF(C36&lt;=80%,F36+G36,'参数与来源'!$D$14*(1+'控筹测算'!$I$10+'控筹测算'!$D$10)+L36)</f>
      </c>
      <c r="N36" s="421">
        <f>IF(C36&lt;=80%,('参数与来源'!$D$11+F36)/('参数与来源'!$D$12-C36*'参数与来源'!$D$8),K36/J36)</f>
      </c>
      <c r="O36" s="424">
        <f>IF(OR('参数与来源'!$N$19="",NOT(ISNUMBER(N36))),"",N36*'参数与来源'!$N$19)</f>
      </c>
      <c r="P36" s="429">
        <f>N36*'参数与来源'!$D$8</f>
      </c>
      <c r="Q36" s="430">
        <f>IF(C36&lt;'控筹测算'!$I$17,"可达","接近/超过上限")</f>
      </c>
    </row>
  </sheetData>
  <conditionalFormatting sqref="Q7:Q36">
    <cfRule type="containsText" dxfId="3" priority="1" operator="containsText" text="上限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9" hidden="0" customWidth="1"/>
    <col min="4" max="4" width="20" hidden="0" customWidth="1"/>
    <col min="5" max="5" width="13" hidden="0" customWidth="1"/>
    <col min="6" max="6" width="42" hidden="0" customWidth="1"/>
    <col min="7" max="7" width="2" hidden="0" customWidth="1"/>
    <col min="8" max="8" width="28" hidden="0" customWidth="1"/>
    <col min="9" max="9" width="22" hidden="0" customWidth="1"/>
    <col min="10" max="10" width="28" hidden="0" customWidth="1"/>
  </cols>
  <sheetData>
    <row r="2">
      <c r="C2" s="2" t="str">
        <v>洗筹预算明细</v>
      </c>
      <c r="D2" s="1"/>
      <c r="E2" s="1"/>
      <c r="F2" s="1"/>
      <c r="G2" s="1"/>
      <c r="H2" s="1"/>
      <c r="I2" s="1"/>
      <c r="J2" s="1"/>
    </row>
    <row r="3">
      <c r="C3" s="3" t="str">
        <v>目标加缓冲对应 FDV ×（买税 + 卖税 + 双边 LP 费），作为资金预算近似。</v>
      </c>
      <c r="D3" s="3"/>
      <c r="E3" s="3"/>
      <c r="F3" s="3"/>
      <c r="G3" s="3"/>
      <c r="H3" s="3"/>
      <c r="I3" s="3"/>
      <c r="J3" s="3"/>
    </row>
    <row r="6">
      <c r="C6" s="9" t="str">
        <v>起点与输入</v>
      </c>
      <c r="D6" s="10"/>
      <c r="E6" s="10"/>
      <c r="F6" s="11"/>
      <c r="H6" s="9" t="str">
        <v>使用边界</v>
      </c>
      <c r="I6" s="10"/>
      <c r="J6" s="11"/>
    </row>
    <row r="8" ht="36" customHeight="1">
      <c r="C8" s="37" t="str">
        <v>模型状态</v>
      </c>
      <c r="D8" s="39">
        <f>'控筹测算'!D26</f>
      </c>
      <c r="H8" s="119" t="str">
        <v>洗筹预算按目标加缓冲对应 FDV 计算，包含买税、卖税与双边 LP 费，不依赖指定洗筹数量。</v>
      </c>
      <c r="I8" s="119"/>
      <c r="J8" s="119"/>
    </row>
    <row r="9" ht="36" customHeight="1">
      <c r="C9" s="41" t="str">
        <v>预算使用控筹率</v>
      </c>
      <c r="D9" s="45">
        <f>'控筹测算'!D25</f>
      </c>
      <c r="H9" s="119"/>
      <c r="I9" s="119"/>
      <c r="J9" s="119"/>
    </row>
    <row r="10" ht="36" customHeight="1">
      <c r="C10" s="41" t="str">
        <v>预算点 FDV</v>
      </c>
      <c r="D10" s="97">
        <f>'控筹测算'!D43</f>
      </c>
      <c r="H10" s="119" t="str">
        <v>Tax TOKEN 可能把部分税费分配给持有人或接收钱包。本表不假设操盘地址能收到分红，避免把不确定返还计入预算。</v>
      </c>
      <c r="I10" s="119"/>
      <c r="J10" s="119"/>
    </row>
    <row r="11" ht="36" customHeight="1">
      <c r="C11" s="41" t="str">
        <v>买入 Tax</v>
      </c>
      <c r="D11" s="45">
        <f>'控筹测算'!D10</f>
      </c>
      <c r="H11" s="119"/>
      <c r="I11" s="119"/>
      <c r="J11" s="119"/>
    </row>
    <row r="12" ht="36" customHeight="1">
      <c r="C12" s="41" t="str">
        <v>卖出 Tax</v>
      </c>
      <c r="D12" s="45">
        <f>'控筹测算'!D11</f>
      </c>
      <c r="H12" s="119" t="str">
        <v>这是资金预算近似，不代表实际交易量下的成交损耗。不模拟 AMM 价格冲击或第三方交易，Gas 另计。</v>
      </c>
      <c r="I12" s="119"/>
      <c r="J12" s="119"/>
    </row>
    <row r="13">
      <c r="C13" s="41" t="str">
        <v>Pancake V2 费</v>
      </c>
      <c r="D13" s="45">
        <f>'参数与来源'!D20</f>
      </c>
    </row>
    <row r="14">
      <c r="C14" s="41" t="str">
        <v>双边 LP 费</v>
      </c>
      <c r="D14" s="45">
        <f>2*D13</f>
      </c>
    </row>
    <row r="15">
      <c r="C15" s="41" t="str">
        <v>买卖税合计</v>
      </c>
      <c r="D15" s="45">
        <f>SUM(D11:D12)</f>
      </c>
    </row>
    <row r="16">
      <c r="C16" s="48" t="str">
        <v>洗筹双边费率</v>
      </c>
      <c r="D16" s="86">
        <f>SUM(D14:D15)</f>
      </c>
    </row>
    <row r="20">
      <c r="C20" s="9" t="str">
        <v>预算计算</v>
      </c>
      <c r="D20" s="10"/>
      <c r="E20" s="10"/>
      <c r="F20" s="11"/>
    </row>
    <row r="22">
      <c r="C22" s="87" t="str">
        <v>预算点 FDV</v>
      </c>
      <c r="D22" s="103">
        <f>$D$10</f>
      </c>
      <c r="E22" s="39" t="str">
        <v>BNC4</v>
      </c>
      <c r="F22" s="93" t="str">
        <v>预算点价格 × 总供应量</v>
      </c>
    </row>
    <row r="23">
      <c r="C23" s="88" t="str">
        <v>洗筹双边费率</v>
      </c>
      <c r="D23" s="45">
        <f>$D$16</f>
      </c>
      <c r="E23" s="43"/>
      <c r="F23" s="94" t="str">
        <v>买税 + 卖税 + 2 × LP 费</v>
      </c>
    </row>
    <row r="24">
      <c r="C24" s="88"/>
      <c r="D24" s="97"/>
      <c r="E24" s="43"/>
      <c r="F24" s="94"/>
    </row>
    <row r="25">
      <c r="C25" s="88"/>
      <c r="D25" s="97"/>
      <c r="E25" s="43"/>
      <c r="F25" s="94"/>
    </row>
    <row r="26">
      <c r="C26" s="88"/>
      <c r="D26" s="97"/>
      <c r="E26" s="43"/>
      <c r="F26" s="94"/>
    </row>
    <row r="27">
      <c r="C27" s="88"/>
      <c r="D27" s="97"/>
      <c r="E27" s="43"/>
      <c r="F27" s="94"/>
    </row>
    <row r="28">
      <c r="C28" s="88"/>
      <c r="D28" s="97"/>
      <c r="E28" s="43"/>
      <c r="F28" s="94"/>
    </row>
    <row r="29">
      <c r="C29" s="89" t="str">
        <v>洗筹预算</v>
      </c>
      <c r="D29" s="101">
        <f>IF($D$8="可达",$D$22*$D$23,0)</f>
      </c>
      <c r="E29" s="50" t="str">
        <v>BNC4</v>
      </c>
      <c r="F29" s="95" t="str">
        <v>预算点 FDV × 洗筹双边费率；未抵扣分红</v>
      </c>
    </row>
  </sheetData>
  <mergeCells>
    <mergeCell ref="H8:J8"/>
    <mergeCell ref="H10:J10"/>
    <mergeCell ref="H12:J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5" hidden="0" customWidth="1"/>
    <col min="4" max="4" width="20" hidden="0" customWidth="1"/>
    <col min="5" max="5" width="14" hidden="0" customWidth="1"/>
    <col min="6" max="6" width="26" hidden="0" customWidth="1"/>
    <col min="7" max="7" width="2" hidden="0" customWidth="1"/>
    <col min="8" max="8" width="24" hidden="0" customWidth="1"/>
    <col min="9" max="9" width="18" hidden="0" customWidth="1"/>
    <col min="10" max="10" width="42" hidden="0" customWidth="1"/>
    <col min="11" max="11" width="46" hidden="0" customWidth="1"/>
    <col min="12" max="12" width="4" hidden="0" customWidth="1"/>
    <col min="13" max="13" width="4" hidden="0" customWidth="1"/>
    <col min="14" max="14" width="4" hidden="0" customWidth="1"/>
  </cols>
  <sheetData>
    <row r="2">
      <c r="C2" s="2" t="str">
        <v>Four.meme 4Stock 参数与来源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>
      <c r="C3" s="3" t="str">
        <v>BNC4 Quote · OpenFour V12 · 2026-09-16 页面、接口与只读合约估算快照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6">
      <c r="C6" s="9" t="str">
        <v>曲线与迁池参数</v>
      </c>
      <c r="D6" s="10"/>
      <c r="E6" s="10"/>
      <c r="F6" s="10"/>
      <c r="G6" s="10"/>
      <c r="H6" s="52" t="str">
        <v>费用验证</v>
      </c>
      <c r="I6" s="10"/>
      <c r="J6" s="10"/>
      <c r="K6" s="10"/>
      <c r="L6" s="10"/>
      <c r="M6" s="10"/>
      <c r="N6" s="11"/>
    </row>
    <row r="8" ht="34" customHeight="1">
      <c r="C8" s="37" t="str">
        <v>总供应量</v>
      </c>
      <c r="D8" s="38">
        <f>'控筹模型'!D7</f>
      </c>
      <c r="E8" s="39" t="str">
        <v>TOKEN</v>
      </c>
      <c r="F8" s="40" t="str">
        <v>页面 / token detail API</v>
      </c>
      <c r="H8" s="64" t="str">
        <v>样本</v>
      </c>
      <c r="I8" s="65" t="str">
        <v>页面税费</v>
      </c>
      <c r="J8" s="65" t="str">
        <v>只读估算</v>
      </c>
      <c r="K8" s="66" t="str">
        <v>结论</v>
      </c>
      <c r="M8" t="str">
        <v>USDT / USD</v>
      </c>
      <c r="N8" s="431">
        <v>0.999193</v>
      </c>
    </row>
    <row r="9" ht="40" customHeight="1">
      <c r="C9" s="41" t="str">
        <v>内盘售出量</v>
      </c>
      <c r="D9" s="42">
        <f>'控筹模型'!F13</f>
      </c>
      <c r="E9" s="43" t="str">
        <v>TOKEN</v>
      </c>
      <c r="F9" s="44" t="str">
        <v>80% 总供应量</v>
      </c>
      <c r="H9" s="67" t="str">
        <v>JOLLYBOT（未交易）</v>
      </c>
      <c r="I9" s="67" t="str">
        <v>3% / 3%</v>
      </c>
      <c r="J9" s="67" t="str">
        <v>买 100 万：curve 0.63834948，fee 0.02553398</v>
      </c>
      <c r="K9" s="67" t="str">
        <v>内盘买费 4% = 基础 1% + Token Tax 3%</v>
      </c>
      <c r="M9" t="str">
        <v>汇率快照 / UTC</v>
      </c>
      <c r="N9" t="inlineStr">
        <is>
          <t>2026-09-18T09:34:59.631Z</t>
        </is>
      </c>
    </row>
    <row r="10" ht="40" customHeight="1">
      <c r="C10" s="41" t="str">
        <v>毕业控筹率</v>
      </c>
      <c r="D10" s="45">
        <f>'控筹模型'!D9</f>
      </c>
      <c r="E10" s="43" t="str">
        <v>%</v>
      </c>
      <c r="F10" s="44" t="str">
        <v>8 亿 TOKEN 售罄</v>
      </c>
      <c r="H10" s="68" t="str">
        <v>JOLLYBOT（打满）</v>
      </c>
      <c r="I10" s="68" t="str">
        <v>3% / 3%</v>
      </c>
      <c r="J10" s="68" t="str">
        <v>买 8 亿：curve 2,000，fee 80，userPays 2,080</v>
      </c>
      <c r="K10" s="68" t="str">
        <v>一套内盘打满需 2,080 BNC4</v>
      </c>
      <c r="M10" t="str">
        <v>汇率来源</v>
      </c>
      <c r="N10" t="inlineStr">
        <is>
          <t>https://api.coingecko.com/api/v3/simple/price?ids=tether&amp;vs_currencies=usd</t>
        </is>
      </c>
    </row>
    <row r="11" ht="40" customHeight="1">
      <c r="C11" s="41" t="str">
        <v>虚拟 Quote 初值 b0</v>
      </c>
      <c r="D11" s="46">
        <f>'控筹模型'!D14</f>
      </c>
      <c r="E11" s="43" t="str">
        <v>BNC4</v>
      </c>
      <c r="F11" s="44" t="str">
        <v>token detail API</v>
      </c>
      <c r="H11" s="68" t="str">
        <v>IPOs（进度约 72%）</v>
      </c>
      <c r="I11" s="68" t="str">
        <v>1% / 1%</v>
      </c>
      <c r="J11" s="68" t="str">
        <v>买 100 万：curve 2.95523138，fee 0.05910463</v>
      </c>
      <c r="K11" s="68" t="str">
        <v>内盘买费 2% = 基础 1% + Token Tax 1%</v>
      </c>
      <c r="M11" t="str">
        <v>预留预算 / USDT</v>
      </c>
      <c r="N11" t="n">
        <v>10000</v>
      </c>
    </row>
    <row r="12" ht="40" customHeight="1">
      <c r="C12" s="41" t="str">
        <v>虚拟 TOKEN 初值 t0</v>
      </c>
      <c r="D12" s="46">
        <f>'控筹模型'!D13</f>
      </c>
      <c r="E12" s="43" t="str">
        <v>TOKEN</v>
      </c>
      <c r="F12" s="44" t="str">
        <v>token detail API</v>
      </c>
      <c r="H12" s="68" t="str">
        <v>IPOs（进度约 72%）</v>
      </c>
      <c r="I12" s="68" t="str">
        <v>1% / 1%</v>
      </c>
      <c r="J12" s="68" t="str">
        <v>卖 100 万：curve 2.94342020，fee 0.05886840</v>
      </c>
      <c r="K12" s="68" t="str">
        <v>内盘卖费 2% = 基础 1% + Token Tax 1%</v>
      </c>
      <c r="M12" t="str">
        <v>BNB / USDT</v>
      </c>
      <c r="N12">
        <v>751.8667564724733</v>
      </c>
    </row>
    <row r="13" ht="40" customHeight="1">
      <c r="C13" s="41" t="str">
        <v>内盘 K</v>
      </c>
      <c r="D13" s="46">
        <f>'控筹模型'!F6</f>
      </c>
      <c r="E13" s="43" t="str">
        <v>TOKEN·BNC4</v>
      </c>
      <c r="F13" s="44" t="str">
        <v>b0 × t0</v>
      </c>
      <c r="H13" s="68" t="str">
        <v>FLYBRAIN（已毕业）</v>
      </c>
      <c r="I13" s="68" t="str">
        <v>3% / 3%</v>
      </c>
      <c r="J13" s="68" t="str">
        <v>dexPair = 0x8c43...d84c，Pancake V2</v>
      </c>
      <c r="K13" s="68" t="str">
        <v>外盘继续承受 Token Tax + V2 0.25%</v>
      </c>
      <c r="M13" t="str">
        <v>原生币价格时间 / UTC</v>
      </c>
      <c r="N13" t="inlineStr">
        <is>
          <t>2026-09-18T09:34:59.631Z</t>
        </is>
      </c>
    </row>
    <row r="14" ht="40" customHeight="1">
      <c r="C14" s="41" t="str">
        <v>募集 Quote</v>
      </c>
      <c r="D14" s="46">
        <f>'控筹模型'!L9</f>
      </c>
      <c r="E14" s="43" t="str">
        <v>BNC4</v>
      </c>
      <c r="F14" s="44" t="str">
        <v>页面与 API</v>
      </c>
      <c r="H14" s="68" t="str">
        <v>结构上限</v>
      </c>
      <c r="I14" s="68" t="str">
        <v>买税可变</v>
      </c>
      <c r="J14" s="68" t="str">
        <v>80% + 20% × (1 - 买税)</v>
      </c>
      <c r="K14" s="68" t="str">
        <v>3% 买税时净控筹上限 99.4%</v>
      </c>
      <c r="M14" t="str">
        <v>原生币价格来源</v>
      </c>
      <c r="N14" t="inlineStr">
        <is>
          <t>https://api.coingecko.com/api/v3/simple/price?ids=tether,ethereum,binancecoin,solana,hyperliquid,aster-2&amp;vs_currencies=usd</t>
        </is>
      </c>
    </row>
    <row r="15" ht="40" customHeight="1">
      <c r="C15" s="41" t="str">
        <v>BNC4 基础交易费</v>
      </c>
      <c r="D15" s="45">
        <f>'控筹模型'!D10</f>
      </c>
      <c r="E15" s="43" t="str">
        <v>%</v>
      </c>
      <c r="F15" s="44" t="str">
        <v>页面 common config</v>
      </c>
      <c r="H15" s="69" t="str">
        <v>分红口径</v>
      </c>
      <c r="I15" s="69" t="str">
        <v>按代币配置</v>
      </c>
      <c r="J15" s="69" t="str">
        <v>税费可进入持有人分红 / 接收钱包</v>
      </c>
      <c r="K15" s="69" t="str">
        <v>本表不抵扣可能收到的分红，按保守资金流处理</v>
      </c>
      <c r="M15" t="str">
        <v>BNC4 / USDT 每日价格</v>
      </c>
      <c r="N15" s="434">
        <v>5.7873</v>
      </c>
    </row>
    <row r="16">
      <c r="C16" s="41" t="str">
        <v>迁池费</v>
      </c>
      <c r="D16" s="45">
        <f>'控筹模型'!F12</f>
      </c>
      <c r="E16" s="43" t="str">
        <v>%</v>
      </c>
      <c r="F16" s="44" t="str">
        <v>毕业价格 0.0000098 反推</v>
      </c>
      <c r="M16" t="str">
        <v>BNC4 价格时间 / UTC</v>
      </c>
      <c r="N16" t="inlineStr">
        <is>
          <t>2026-09-18T09:34:59.631Z</t>
        </is>
      </c>
    </row>
    <row r="17">
      <c r="C17" s="41" t="str">
        <v>外盘初始 TOKEN</v>
      </c>
      <c r="D17" s="46">
        <f>'控筹模型'!F7</f>
      </c>
      <c r="E17" s="43" t="str">
        <v>TOKEN</v>
      </c>
      <c r="F17" s="44" t="str">
        <v>剩余 20%</v>
      </c>
      <c r="M17" t="str">
        <v>BNC4 价格来源</v>
      </c>
      <c r="N17" t="inlineStr">
        <is>
          <t>https://dexscreener.com/bsc/0xbec6906a984f4695aca0f15bafa7de5eb45b54ab</t>
        </is>
      </c>
    </row>
    <row r="18">
      <c r="C18" s="41" t="str">
        <v>外盘初始 Quote</v>
      </c>
      <c r="D18" s="46">
        <f>'控筹模型'!F8</f>
      </c>
      <c r="E18" s="43" t="str">
        <v>BNC4</v>
      </c>
      <c r="F18" s="44" t="str">
        <v>2,000 × (1 - 2%)</v>
      </c>
      <c r="M18" t="str">
        <v>BNC4 指定交易池</v>
      </c>
      <c r="N18" t="inlineStr">
        <is>
          <t>0xbec6906a984f4695aca0f15bafa7de5eb45b54ab</t>
        </is>
      </c>
    </row>
    <row r="19">
      <c r="C19" s="41" t="str">
        <v>外盘 K</v>
      </c>
      <c r="D19" s="46">
        <f>'控筹模型'!F9</f>
      </c>
      <c r="E19" s="43" t="str">
        <v>TOKEN·BNC4</v>
      </c>
      <c r="F19" s="44" t="str">
        <v>初始 TOKEN × 初始 Quote</v>
      </c>
      <c r="M19" t="str">
        <v>BNC4 有效价格 / USDT</v>
      </c>
      <c r="N19" s="434">
        <f>IF(AND(ISNUMBER('控筹模型'!$L$14),'控筹模型'!$L$14&gt;0),'控筹模型'!$L$14,IF(AND(ISNUMBER($N$15),$N$15&gt;0),$N$15,""))</f>
      </c>
    </row>
    <row r="20">
      <c r="C20" s="41" t="str">
        <v>PancakeSwap V2 费</v>
      </c>
      <c r="D20" s="47">
        <f>'控筹模型'!F11</f>
      </c>
      <c r="E20" s="43" t="str">
        <v>%</v>
      </c>
      <c r="F20" s="44" t="str">
        <v>官方 V2 固定费率</v>
      </c>
    </row>
    <row r="21">
      <c r="C21" s="48" t="str">
        <v>毕业时外盘价格</v>
      </c>
      <c r="D21" s="49">
        <f>'控筹模型'!F14</f>
      </c>
      <c r="E21" s="50" t="str">
        <v>BNC4 / TOKEN</v>
      </c>
      <c r="F21" s="51" t="str">
        <v>1,960 ÷ 2 亿</v>
      </c>
    </row>
    <row r="25">
      <c r="C25" s="9" t="str">
        <v>来源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7" ht="34" customHeight="1">
      <c r="C27" s="64" t="str">
        <v>项目</v>
      </c>
      <c r="D27" s="65" t="str">
        <v>用途</v>
      </c>
      <c r="E27" s="65" t="str">
        <v>链接</v>
      </c>
      <c r="F27" s="65"/>
      <c r="G27" s="65"/>
      <c r="H27" s="65"/>
      <c r="I27" s="65"/>
      <c r="J27" s="65"/>
      <c r="K27" s="65"/>
      <c r="L27" s="65"/>
      <c r="M27" s="65"/>
      <c r="N27" s="66"/>
    </row>
    <row r="28" ht="30" customHeight="1">
      <c r="C28" s="67" t="str">
        <v>4Stock 模板页</v>
      </c>
      <c r="D28" s="67" t="str">
        <v>模板与子代币列表</v>
      </c>
      <c r="E28" s="73" t="str">
        <v>​https://four.meme/zh-TW/contract/1778027615733</v>
      </c>
      <c r="F28" s="73"/>
      <c r="G28" s="73"/>
      <c r="H28" s="73"/>
      <c r="I28" s="73"/>
      <c r="J28" s="73"/>
      <c r="K28" s="73"/>
      <c r="L28" s="73"/>
      <c r="M28" s="73"/>
      <c r="N28" s="73"/>
    </row>
    <row r="29" ht="30" customHeight="1">
      <c r="C29" s="68" t="str">
        <v>4Stock 官方文档</v>
      </c>
      <c r="D29" s="68" t="str">
        <v>4Stock 与 BNC4 资产机制</v>
      </c>
      <c r="E29" s="74" t="str">
        <v>​https://four-meme.gitbook.io/four.meme/stock-meme/4stock</v>
      </c>
      <c r="F29" s="74"/>
      <c r="G29" s="74"/>
      <c r="H29" s="74"/>
      <c r="I29" s="74"/>
      <c r="J29" s="74"/>
      <c r="K29" s="74"/>
      <c r="L29" s="74"/>
      <c r="M29" s="74"/>
      <c r="N29" s="74"/>
    </row>
    <row r="30" ht="30" customHeight="1">
      <c r="C30" s="68" t="str">
        <v>未毕业样本详情 API</v>
      </c>
      <c r="D30" s="68" t="str">
        <v>b0、t0、总量、售出量、募集目标</v>
      </c>
      <c r="E30" s="74" t="str">
        <v>​https://four.meme/meme-api/v1/private/token/get/v2?address=0x899441edd0945bf87956e1959e49287889deffff</v>
      </c>
      <c r="F30" s="74"/>
      <c r="G30" s="74"/>
      <c r="H30" s="74"/>
      <c r="I30" s="74"/>
      <c r="J30" s="74"/>
      <c r="K30" s="74"/>
      <c r="L30" s="74"/>
      <c r="M30" s="74"/>
      <c r="N30" s="74"/>
    </row>
    <row r="31" ht="30" customHeight="1">
      <c r="C31" s="68" t="str">
        <v>已毕业样本详情 API</v>
      </c>
      <c r="D31" s="68" t="str">
        <v>Pancake V2 pair 与毕业状态</v>
      </c>
      <c r="E31" s="74" t="str">
        <v>​https://four.meme/meme-api/v1/private/token/get/v2?address=0x15606495f6eb9f77afd6de310d376a3f5b1cffff</v>
      </c>
      <c r="F31" s="74"/>
      <c r="G31" s="74"/>
      <c r="H31" s="74"/>
      <c r="I31" s="74"/>
      <c r="J31" s="74"/>
      <c r="K31" s="74"/>
      <c r="L31" s="74"/>
      <c r="M31" s="74"/>
      <c r="N31" s="74"/>
    </row>
    <row r="32" ht="30" customHeight="1">
      <c r="C32" s="68" t="str">
        <v>OpenFour 集成指南</v>
      </c>
      <c r="D32" s="68" t="str">
        <v>estimateBuy / estimateSell 返回字段与费用结构</v>
      </c>
      <c r="E32" s="74" t="str">
        <v>​https://github.com/four-meme-community/openfour-docs/blob/main/integration-guide.md</v>
      </c>
      <c r="F32" s="74"/>
      <c r="G32" s="74"/>
      <c r="H32" s="74"/>
      <c r="I32" s="74"/>
      <c r="J32" s="74"/>
      <c r="K32" s="74"/>
      <c r="L32" s="74"/>
      <c r="M32" s="74"/>
      <c r="N32" s="74"/>
    </row>
    <row r="33" ht="30" customHeight="1">
      <c r="C33" s="68" t="str">
        <v>PancakeSwap V2 费用</v>
      </c>
      <c r="D33" s="68" t="str">
        <v>外盘固定 0.25% swap fee</v>
      </c>
      <c r="E33" s="74" t="str">
        <v>​https://docs.pancakeswap.finance/trade/pancakeswap-exchange/trade</v>
      </c>
      <c r="F33" s="74"/>
      <c r="G33" s="74"/>
      <c r="H33" s="74"/>
      <c r="I33" s="74"/>
      <c r="J33" s="74"/>
      <c r="K33" s="74"/>
      <c r="L33" s="74"/>
      <c r="M33" s="74"/>
      <c r="N33" s="74"/>
    </row>
    <row r="34" ht="30" customHeight="1">
      <c r="C34" s="69" t="str">
        <v>税费代币说明</v>
      </c>
      <c r="D34" s="69" t="str">
        <v>税率、分红、接收钱包机制；当前 4Stock 以链上估算优先</v>
      </c>
      <c r="E34" s="75" t="str">
        <v>​https://four-meme.gitbook.io/four.meme/guide/introducing-tax-tokens-on-four.meme</v>
      </c>
      <c r="F34" s="75"/>
      <c r="G34" s="75"/>
      <c r="H34" s="75"/>
      <c r="I34" s="75"/>
      <c r="J34" s="75"/>
      <c r="K34" s="75"/>
      <c r="L34" s="75"/>
      <c r="M34" s="75"/>
      <c r="N34" s="75"/>
    </row>
  </sheetData>
  <mergeCells>
    <mergeCell ref="E28:N28"/>
    <mergeCell ref="E29:N29"/>
    <mergeCell ref="E30:N30"/>
    <mergeCell ref="E31:N31"/>
    <mergeCell ref="E32:N32"/>
    <mergeCell ref="E33:N33"/>
    <mergeCell ref="E34:N34"/>
  </mergeCells>
  <pageMargins left="0.7" right="0.7" top="0.75" bottom="0.75" header="0.3" footer="0.3"/>
</worksheet>
</file>