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254d9cd78c4b30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661c30d3e144173"/>
    <sheet name="Quote参数" sheetId="2" r:id="R794630d80acc47bc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93867b20464c29" /><Relationship Type="http://schemas.openxmlformats.org/officeDocument/2006/relationships/theme" Target="/xl/theme/theme1.xml" Id="Raaaed24052a64f1c" /><Relationship Type="http://schemas.openxmlformats.org/officeDocument/2006/relationships/sharedStrings" Target="/xl/sharedStrings.xml" Id="Rce646095a4924a9b" /><Relationship Type="http://schemas.openxmlformats.org/officeDocument/2006/relationships/worksheet" Target="/xl/worksheets/sheet1.xml" Id="R2661c30d3e144173" /><Relationship Type="http://schemas.openxmlformats.org/officeDocument/2006/relationships/worksheet" Target="/xl/worksheets/sheet2.xml" Id="R794630d80acc47b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IF(AND($D$51="可达",ISNUMBER($D$26)),SUM(D22:D26),"")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ht="20" customHeight="1">
      <c r="C24" s="3" t="str">
        <v>洗筹损耗</v>
      </c>
      <c r="D24" s="44">
        <f>IF($D$51="可达",$J$52*$D$29,"")</f>
      </c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IF($D$51&lt;&gt;"可达","",0)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外盘一卖一买：卖出所得 Quote 全额用于回买，不额外补 Quote。洗后控筹按卖出、买入两腿含税费率同价估算；实际成交量、滑点与价格冲击未计入。洗筹损耗另按预算 FDV × 双边费率列示。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IF($G$40="pons",$G$48-MAX(0,($D$8-$G$43)*$D$45)/MAX(0.000000001,1-$G$42-$J$48),IF(OR($G$40="flap",$G$40="four-stock"),$G$48-($D$8-$G$43)*$D$45/(1-$J$46),IF($G$40="pons",$D$45*(1-$D$8)-$G$51,IF(ABS($D$8-$G$43)&lt;0.000001,$G$48,$D$45*(1-$D$8)))))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IF($G$40="pons",$G$48-MAX(0,($D$27-$G$43)*$D$45)/MAX(0.000000001,1-$G$42-$J$48),IF(OR($G$40="flap",$G$40="four-stock"),$G$48-($D$27-$G$43)*$D$45/(1-$J$46),IF($G$40="pons",$D$45*(1-$D$27)-$G$51,IF(ABS($D$27-$G$43)&lt;0.000001,$G$48,$D$45*(1-$D$27)))))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0.999604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46285.27349457176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外盘一卖一买，卖出所得 Quote 全额用于回买。洗后控筹按双边含税费率同价估算，额外补回预留为 0；洗筹损耗预算另列，不计滑点与冲击。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6.4377</v>
      </c>
      <c r="I14" s="17">
        <v>752.7981080507881</v>
      </c>
      <c r="J14" s="6">
        <v>46285.27349457176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https://api.coingecko.com/api/v3/simple/price?ids=tether,ethereum,binancecoin,solana,hyperliquid,aster-2&amp;vs_currencies=usd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