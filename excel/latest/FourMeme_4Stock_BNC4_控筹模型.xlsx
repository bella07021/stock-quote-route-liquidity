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095602091459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控筹模型" sheetId="1" r:id="R7df17c9a95394e12"/>
    <sheet name="Quote参数" sheetId="2" r:id="Rd163d6e651494776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 hh:mm:ss"/>
    <x:numFmt numFmtId="201" formatCode="0.0000000000"/>
    <x:numFmt numFmtId="202" formatCode="@"/>
    <x:numFmt numFmtId="203" formatCode="0.00%"/>
    <x:numFmt numFmtId="204" formatCode="#,##0"/>
    <x:numFmt numFmtId="205" formatCode="#,##0.000000"/>
    <x:numFmt numFmtId="206" formatCode="0.0000%"/>
    <x:numFmt numFmtId="207" formatCode=";;;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b/>
      <x:sz val="17"/>
      <x:color rgb="FF20557D"/>
      <x:name val="Arial"/>
    </x:font>
    <x:font>
      <x:i/>
      <x:sz val="9"/>
      <x:color rgb="FF667085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557D"/>
      </x:patternFill>
    </x:fill>
    <x:fill>
      <x:patternFill patternType="solid">
        <x:fgColor rgb="FFEAF3FA"/>
      </x:patternFill>
    </x:fill>
    <x:fill>
      <x:patternFill patternType="solid">
        <x:fgColor rgb="FFD9EAF7"/>
      </x:patternFill>
    </x:fill>
    <x:fill>
      <x:patternFill patternType="solid">
        <x:fgColor rgb="FFE8F3DD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5" fontId="10" fillId="6" borderId="0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 applyAlignment="1">
      <x:alignment vertical="center" wrapText="1"/>
    </x:xf>
    <x:xf numFmtId="203" fontId="9" fillId="5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 wrapText="1"/>
    </x:xf>
    <x:xf numFmtId="206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4" fontId="10" fillId="6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203" fontId="1" fillId="2" borderId="4" xfId="0" applyNumberFormat="1" applyFont="1" applyFill="1" applyBorder="1" applyAlignment="1">
      <x:alignment vertical="center"/>
    </x:xf>
    <x:xf numFmtId="204" fontId="1" fillId="2" borderId="2" xfId="0" applyNumberFormat="1" applyFont="1" applyFill="1" applyBorder="1" applyAlignment="1">
      <x:alignment vertical="center"/>
    </x:xf>
    <x:xf numFmtId="204" fontId="1" fillId="2" borderId="3" xfId="0" applyNumberFormat="1" applyFont="1" applyFill="1" applyBorder="1" applyAlignment="1">
      <x:alignment vertical="center"/>
    </x:xf>
    <x:xf numFmtId="204" fontId="1" fillId="2" borderId="4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1" fontId="1" fillId="2" borderId="4" xfId="0" applyNumberFormat="1" applyFont="1" applyFill="1" applyBorder="1" applyAlignment="1">
      <x:alignment vertical="center"/>
    </x:xf>
    <x:xf numFmtId="204" fontId="1" fillId="6" borderId="2" xfId="0" applyNumberFormat="1" applyFont="1" applyFill="1" applyBorder="1" applyAlignment="1">
      <x:alignment vertical="center"/>
    </x:xf>
    <x:xf numFmtId="204" fontId="1" fillId="6" borderId="3" xfId="0" applyNumberFormat="1" applyFont="1" applyFill="1" applyBorder="1" applyAlignment="1">
      <x:alignment vertical="center"/>
    </x:xf>
    <x:xf numFmtId="204" fontId="1" fillId="6" borderId="4" xfId="0" applyNumberFormat="1" applyFont="1" applyFill="1" applyBorder="1" applyAlignment="1">
      <x:alignment vertical="center"/>
    </x:xf>
    <x:xf numFmtId="204" fontId="11" fillId="6" borderId="2" xfId="0" applyNumberFormat="1" applyFont="1" applyFill="1" applyBorder="1" applyAlignment="1">
      <x:alignment vertical="center"/>
    </x:xf>
    <x:xf numFmtId="204" fontId="11" fillId="6" borderId="3" xfId="0" applyNumberFormat="1" applyFont="1" applyFill="1" applyBorder="1" applyAlignment="1">
      <x:alignment vertical="center"/>
    </x:xf>
    <x:xf numFmtId="204" fontId="11" fillId="6" borderId="4" xfId="0" applyNumberFormat="1" applyFont="1" applyFill="1" applyBorder="1" applyAlignment="1">
      <x:alignment vertical="center"/>
    </x:xf>
    <x:xf numFmtId="207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6"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8ae01a1b24d28" /><Relationship Type="http://schemas.openxmlformats.org/officeDocument/2006/relationships/theme" Target="/xl/theme/theme1.xml" Id="Rd4ab4923884c478c" /><Relationship Type="http://schemas.openxmlformats.org/officeDocument/2006/relationships/sharedStrings" Target="/xl/sharedStrings.xml" Id="R2643fd57e37b4978" /><Relationship Type="http://schemas.openxmlformats.org/officeDocument/2006/relationships/worksheet" Target="/xl/worksheets/sheet1.xml" Id="R7df17c9a95394e12" /><Relationship Type="http://schemas.openxmlformats.org/officeDocument/2006/relationships/worksheet" Target="/xl/worksheets/sheet2.xml" Id="Rd163d6e6514947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/>
  </sheetViews>
  <sheetFormatPr defaultRowHeight="15" outlineLevelRow="1"/>
  <cols>
    <col min="1" max="1" width="2" hidden="0" customWidth="1"/>
    <col min="2" max="2" width="2" hidden="0" customWidth="1"/>
    <col min="3" max="3" width="29" hidden="0" customWidth="1"/>
    <col min="4" max="4" width="22" hidden="0" customWidth="1"/>
    <col min="5" max="5" width="10" hidden="0" customWidth="1"/>
    <col min="6" max="6" width="29" hidden="0" customWidth="1"/>
    <col min="7" max="7" width="22" hidden="0" customWidth="1"/>
    <col min="8" max="8" width="10" hidden="0" customWidth="1"/>
    <col min="9" max="9" width="28" hidden="0" customWidth="1"/>
    <col min="10" max="10" width="20" hidden="0" customWidth="1"/>
    <col min="11" max="11" width="12" hidden="0" customWidth="1"/>
    <col min="12" max="12" width="19" hidden="0" customWidth="1"/>
  </cols>
  <sheetData>
    <row r="2" ht="28" customHeight="1">
      <c r="C2" s="23" t="str">
        <v>Four.meme 4Stock BNC4 控筹模型</v>
      </c>
      <c r="D2" s="23"/>
      <c r="E2" s="23"/>
      <c r="F2" s="23"/>
      <c r="G2" s="23"/>
      <c r="H2" s="23"/>
      <c r="I2" s="23"/>
      <c r="J2" s="23"/>
      <c r="K2" s="23"/>
      <c r="L2" s="23"/>
    </row>
    <row r="3" ht="24" customHeight="1">
      <c r="C3" s="25" t="str">
        <v>蓝色格可编辑。Quote 与原生币 Gas 分开准备；总折算价值包含 Gas。</v>
      </c>
      <c r="D3" s="25"/>
      <c r="E3" s="25"/>
      <c r="F3" s="25"/>
      <c r="G3" s="25"/>
      <c r="H3" s="25"/>
      <c r="I3" s="25"/>
      <c r="J3" s="25"/>
      <c r="K3" s="25"/>
      <c r="L3" s="25"/>
    </row>
    <row r="4" ht="6" customHeight="1">
      <c r="C4" s="3"/>
      <c r="D4" s="3"/>
      <c r="E4" s="3"/>
      <c r="F4" s="3"/>
      <c r="G4" s="3"/>
      <c r="H4" s="3"/>
      <c r="I4" s="3"/>
      <c r="J4" s="3"/>
      <c r="K4" s="3"/>
      <c r="L4" s="3"/>
    </row>
    <row r="5" ht="24" customHeight="1">
      <c r="C5" s="14" t="str">
        <v>一、可编辑参数</v>
      </c>
      <c r="D5" s="14"/>
      <c r="E5" s="14"/>
      <c r="F5" s="14"/>
      <c r="G5" s="14"/>
      <c r="H5" s="14"/>
      <c r="I5" s="14"/>
      <c r="J5" s="14"/>
      <c r="K5" s="14"/>
      <c r="L5" s="14"/>
    </row>
    <row r="6" ht="20" customHeight="1">
      <c r="C6" s="3" t="str">
        <v>交易参数</v>
      </c>
      <c r="D6" s="3"/>
      <c r="E6" s="3"/>
      <c r="F6" s="3" t="str">
        <v>地址与 Gas</v>
      </c>
      <c r="G6" s="3"/>
      <c r="H6" s="3"/>
      <c r="I6" s="3" t="str">
        <v>平台设置</v>
      </c>
      <c r="J6" s="3"/>
      <c r="K6" s="3"/>
      <c r="L6" s="3"/>
    </row>
    <row r="7" ht="20" customHeight="1">
      <c r="C7" s="32" t="str">
        <v>平台 / Quote</v>
      </c>
      <c r="D7" s="47" t="str">
        <v>Four.meme 4Stock / BNC4</v>
      </c>
      <c r="E7" s="47"/>
      <c r="F7" s="32" t="str">
        <v>内盘套数</v>
      </c>
      <c r="G7" s="33" t="n">
        <v>2</v>
      </c>
      <c r="H7" s="32"/>
      <c r="I7" s="32" t="str">
        <v>买入税率</v>
      </c>
      <c r="J7" s="37">
        <f>VLOOKUP($D$7,'Quote参数'!$C$14:$AL$14,25,FALSE)</f>
      </c>
      <c r="K7" s="32"/>
      <c r="L7" s="32"/>
    </row>
    <row r="8" ht="20" customHeight="1">
      <c r="C8" s="32" t="str">
        <v>目标控筹率</v>
      </c>
      <c r="D8" s="37" t="n">
        <v>0.9</v>
      </c>
      <c r="E8" s="32"/>
      <c r="F8" s="32" t="str">
        <v>内盘地址 / 套</v>
      </c>
      <c r="G8" s="33" t="n">
        <v>20</v>
      </c>
      <c r="H8" s="32"/>
      <c r="I8" s="32" t="str">
        <v>卖出税率</v>
      </c>
      <c r="J8" s="37">
        <f>VLOOKUP($D$7,'Quote参数'!$C$14:$AL$14,26,FALSE)</f>
      </c>
      <c r="K8" s="32"/>
      <c r="L8" s="32"/>
    </row>
    <row r="9" ht="20" customHeight="1">
      <c r="C9" s="32" t="str">
        <v>手动价格 / USDT</v>
      </c>
      <c r="D9" s="33"/>
      <c r="E9" s="32"/>
      <c r="F9" s="32" t="str">
        <v>外盘地址数</v>
      </c>
      <c r="G9" s="33" t="n">
        <v>30</v>
      </c>
      <c r="H9" s="32"/>
      <c r="I9"/>
      <c r="J9"/>
      <c r="K9" s="32"/>
      <c r="L9" s="32"/>
    </row>
    <row r="10" ht="20" customHeight="1">
      <c r="C10"/>
      <c r="D10"/>
      <c r="E10" s="32"/>
      <c r="F10" s="32" t="str">
        <v>Holder 地址数</v>
      </c>
      <c r="G10" s="33" t="n">
        <v>150</v>
      </c>
      <c r="H10" s="32"/>
      <c r="I10" s="32" t="str">
        <v>预算控筹缓冲</v>
      </c>
      <c r="J10" s="37" t="n">
        <v>0.01</v>
      </c>
      <c r="K10" s="32"/>
      <c r="L10" s="32"/>
    </row>
    <row r="11" ht="20" customHeight="1">
      <c r="C11"/>
      <c r="D11"/>
      <c r="E11" s="32"/>
      <c r="F11" s="32" t="str">
        <v>单地址 Gas</v>
      </c>
      <c r="G11" s="36">
        <f>VLOOKUP($D$7,'Quote参数'!$C$14:$AL$14,33,FALSE)</f>
      </c>
      <c r="H11" s="32"/>
      <c r="I11" s="32"/>
      <c r="J11" s="32"/>
      <c r="K11" s="32"/>
      <c r="L11" s="32"/>
    </row>
    <row r="12" ht="20" customHeight="1">
      <c r="C12"/>
      <c r="D12"/>
      <c r="E12" s="32"/>
      <c r="F12" s="32" t="str">
        <v>资金预留 / Quote</v>
      </c>
      <c r="G12" s="45">
        <f>IF(AND(ISNUMBER($D$55),$D$55&gt;0),ROUNDUP($G$56/$D$55,0),"")</f>
      </c>
      <c r="H12" s="32"/>
      <c r="I12" s="32" t="str">
        <v>洗筹基础费率</v>
      </c>
      <c r="J12" s="37">
        <f>VLOOKUP($D$7,'Quote参数'!$C$14:$AL$14,20,FALSE)</f>
      </c>
      <c r="K12" s="32"/>
      <c r="L12" s="32"/>
    </row>
    <row r="13" ht="24" customHeight="1">
      <c r="C13" s="25" t="str">
        <v>预留 = 10,000 USDT ÷ 有效 Quote 价格向上取整。手动价格同时调整预留与折算价值；清空后恢复每日价。</v>
      </c>
      <c r="D13" s="25"/>
      <c r="E13" s="25"/>
      <c r="F13" s="25"/>
      <c r="G13" s="25"/>
      <c r="H13" s="25"/>
      <c r="I13" s="25"/>
      <c r="J13" s="25"/>
      <c r="K13" s="25"/>
      <c r="L13" s="25"/>
    </row>
    <row r="14" ht="6" customHeight="1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6" customHeight="1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6" customHeight="1"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4" customHeight="1">
      <c r="C17" s="14" t="str">
        <v>二、测算结果</v>
      </c>
      <c r="D17" s="14"/>
      <c r="E17" s="14"/>
      <c r="F17" s="14"/>
      <c r="G17" s="14"/>
      <c r="H17" s="14"/>
      <c r="I17" s="14"/>
      <c r="J17" s="14"/>
      <c r="K17" s="14"/>
      <c r="L17" s="14"/>
    </row>
    <row r="18" ht="30" customHeight="1">
      <c r="C18" s="3" t="str">
        <v>建议 Quote 资金</v>
      </c>
      <c r="D18" s="43">
        <f>IF(AND(LEFT($D$51,2)="可达",ISNUMBER($D$22),ISNUMBER($D$23),ISNUMBER($D$25),ISNUMBER($D$26)),SUM($D$22:$D$23,$D$25:$D$26),"")</f>
      </c>
      <c r="E18" s="31">
        <f>VLOOKUP($D$7,'Quote参数'!$C$14:$AL$14,3,FALSE)</f>
      </c>
      <c r="F18" s="3" t="str">
        <v>原生币 Gas 储备</v>
      </c>
      <c r="G18" s="35">
        <f>D53*MAX(0,G11)</f>
      </c>
      <c r="H18" s="31">
        <f>VLOOKUP($D$7,'Quote参数'!$C$14:$AL$14,4,FALSE)</f>
      </c>
      <c r="I18" s="3" t="str">
        <v>总折算 / USDT</v>
      </c>
      <c r="J18" s="43">
        <f>IF(AND(ISNUMBER(D19),ISNUMBER(G19)),SUM(D19,G19),"")</f>
      </c>
      <c r="K18" s="31" t="str">
        <v>USDT</v>
      </c>
      <c r="L18" s="31"/>
    </row>
    <row r="19" ht="20" customHeight="1">
      <c r="C19" s="3" t="str">
        <v>Quote 折算 / USDT</v>
      </c>
      <c r="D19" s="44">
        <f>IF(ISNUMBER(D18),IF(D18=0,0,IF(D55&gt;0,D18*D55,"")),"")</f>
      </c>
      <c r="E19" s="3" t="str">
        <v>USDT</v>
      </c>
      <c r="F19" s="3" t="str">
        <v>Gas 折算 / USDT</v>
      </c>
      <c r="G19" s="44">
        <f>IF(G18=0,0,IF(AND(ISNUMBER(J44),J44&gt;0),G18*J44,""))</f>
      </c>
      <c r="H19" s="3" t="str">
        <v>USDT</v>
      </c>
      <c r="I19" s="3"/>
      <c r="J19" s="3"/>
      <c r="K19" s="3"/>
      <c r="L19" s="3"/>
    </row>
    <row r="20" ht="6" customHeight="1"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4" customHeight="1">
      <c r="C21" s="27" t="str">
        <v>Quote 资金构成</v>
      </c>
      <c r="D21" s="27"/>
      <c r="E21" s="27"/>
      <c r="F21" s="27"/>
      <c r="G21" s="3"/>
      <c r="H21" s="3"/>
      <c r="I21" s="27" t="str">
        <v>手续费</v>
      </c>
      <c r="J21" s="27"/>
      <c r="K21" s="27"/>
      <c r="L21" s="27"/>
    </row>
    <row r="22" ht="20" customHeight="1">
      <c r="C22" s="3">
        <f>"预算 "&amp;TEXT($D$52,"0%")&amp;" 理论资金"</f>
      </c>
      <c r="D22" s="44">
        <f>IF($D$51&lt;&gt;"可达","",$J$41+IF($G$40="pons",($G$50/$J$51-$G$49)/(1-$G$42-$J$48),IF($G$40="four-stock",($G$50/$J$50-$G$49)/(1-$G$42),($G$50/$J$50-$G$49)*(1+$G$42))))</f>
      </c>
      <c r="E22" s="3">
        <f>VLOOKUP($D$7,'Quote参数'!$C$14:$AL$14,3,FALSE)</f>
      </c>
      <c r="F22" s="3"/>
      <c r="G22" s="3"/>
      <c r="H22" s="3"/>
      <c r="I22" s="3" t="str">
        <v>内盘</v>
      </c>
      <c r="J22" s="3"/>
      <c r="K22" s="3"/>
      <c r="L22" s="3"/>
    </row>
    <row r="23" ht="20" customHeight="1">
      <c r="C23" s="3" t="str">
        <v>额外内盘资金</v>
      </c>
      <c r="D23" s="44">
        <f>IF($D$51="可达",$J$41*MAX(0,$G$7-1),"")</f>
      </c>
      <c r="E23" s="3">
        <f>VLOOKUP($D$7,'Quote参数'!$C$14:$AL$14,3,FALSE)</f>
      </c>
      <c r="F23" s="3"/>
      <c r="G23" s="3"/>
      <c r="H23" s="3"/>
      <c r="I23" s="3" t="str">
        <v>基础手续费</v>
      </c>
      <c r="J23" s="38">
        <f>G41</f>
      </c>
      <c r="K23" s="3"/>
      <c r="L23" s="3"/>
    </row>
    <row r="24" customHeight="1" hidden="1">
      <c r="C24" s="3"/>
      <c r="D24" s="68"/>
      <c r="E24" s="3">
        <f>VLOOKUP($D$7,'Quote参数'!$C$14:$AL$14,3,FALSE)</f>
      </c>
      <c r="F24" s="3"/>
      <c r="G24" s="3"/>
      <c r="H24" s="3"/>
      <c r="I24" s="3" t="str">
        <v>买入含税费率</v>
      </c>
      <c r="J24" s="38">
        <f>G41+J46+J48</f>
      </c>
      <c r="K24" s="3"/>
      <c r="L24" s="3"/>
    </row>
    <row r="25" ht="20" customHeight="1">
      <c r="C25" s="3" t="str">
        <v>资金预留</v>
      </c>
      <c r="D25" s="44">
        <f>IF($D$51="可达",$G$12,"")</f>
      </c>
      <c r="E25" s="3">
        <f>VLOOKUP($D$7,'Quote参数'!$C$14:$AL$14,3,FALSE)</f>
      </c>
      <c r="F25" s="3"/>
      <c r="G25" s="3"/>
      <c r="H25" s="3"/>
      <c r="I25" s="3" t="str">
        <v>卖出含税费率</v>
      </c>
      <c r="J25" s="38">
        <f>G41+J47+J48</f>
      </c>
      <c r="K25" s="3"/>
      <c r="L25" s="3"/>
    </row>
    <row r="26" ht="28" customHeight="1">
      <c r="C26" s="32" t="str">
        <v>恢复目标控筹预留</v>
      </c>
      <c r="D26" s="44">
        <f>IF($D$51&lt;&gt;"可达","",IF(AND($J$55&gt;0,$J$56&gt;0),MAX(0,($G$50/$J$55-$G$50/$J$56)*(IF($G$40="pons",1/(1-$G$42-$J$48),IF($G$40="four-stock",1/(1-$G$42),1+$G$42)))),""))</f>
      </c>
      <c r="E26" s="3">
        <f>VLOOKUP($D$7,'Quote参数'!$C$14:$AL$14,3,FALSE)</f>
      </c>
      <c r="F26" s="3"/>
      <c r="G26" s="3"/>
      <c r="H26" s="3"/>
      <c r="I26" s="3"/>
      <c r="J26" s="3"/>
      <c r="K26" s="3"/>
      <c r="L26" s="3"/>
    </row>
    <row r="27" ht="20" customHeight="1">
      <c r="C27" s="3" t="str">
        <v>洗后控筹率（估算）</v>
      </c>
      <c r="D27" s="40">
        <f>D8*J54</f>
      </c>
      <c r="E27" s="3"/>
      <c r="F27" s="3"/>
      <c r="G27" s="3"/>
      <c r="H27" s="3"/>
      <c r="I27" s="3" t="str">
        <v>外盘</v>
      </c>
      <c r="J27" s="3"/>
      <c r="K27" s="3"/>
      <c r="L27" s="3"/>
    </row>
    <row r="28" ht="20" customHeight="1">
      <c r="C28" s="3" t="str">
        <v>原目标控筹率</v>
      </c>
      <c r="D28" s="38">
        <f>D8</f>
      </c>
      <c r="E28" s="3"/>
      <c r="F28" s="3"/>
      <c r="G28" s="3"/>
      <c r="H28" s="3"/>
      <c r="I28" s="3" t="str">
        <v>基础手续费</v>
      </c>
      <c r="J28" s="38">
        <f>G42</f>
      </c>
      <c r="K28" s="3"/>
      <c r="L28" s="3"/>
    </row>
    <row r="29" ht="20" customHeight="1">
      <c r="C29" s="3" t="str">
        <v>洗筹双边总费率</v>
      </c>
      <c r="D29" s="38">
        <f>MAX(0,$J$12)*2+$J$46+$J$47+$J$48*2</f>
      </c>
      <c r="E29" s="3"/>
      <c r="F29" s="3"/>
      <c r="G29" s="3"/>
      <c r="H29" s="3"/>
      <c r="I29" s="3" t="str">
        <v>买入含税费率</v>
      </c>
      <c r="J29" s="38">
        <f>G42+J46+J48</f>
      </c>
      <c r="K29" s="3"/>
      <c r="L29" s="3"/>
    </row>
    <row r="30" ht="20" customHeight="1">
      <c r="C30"/>
      <c r="D30"/>
      <c r="E30"/>
      <c r="F30"/>
      <c r="G30"/>
      <c r="H30"/>
      <c r="I30" s="3" t="str">
        <v>卖出含税费率</v>
      </c>
      <c r="J30" s="38">
        <f>G42+J47+J48</f>
      </c>
      <c r="K30" s="3"/>
      <c r="L30" s="3"/>
    </row>
    <row r="31" ht="20" hidden="1" customHeight="1">
      <c r="C31"/>
      <c r="D31"/>
      <c r="E31"/>
      <c r="F31"/>
      <c r="G31"/>
      <c r="H31"/>
      <c r="I31" s="3"/>
      <c r="J31" s="3"/>
      <c r="K31" s="3"/>
      <c r="L31" s="3"/>
    </row>
    <row r="32" ht="20" hidden="1" customHeight="1">
      <c r="C32"/>
      <c r="D32"/>
      <c r="E32"/>
      <c r="F32"/>
      <c r="G32"/>
      <c r="H32"/>
      <c r="I32" s="3"/>
      <c r="J32" s="3"/>
      <c r="K32" s="3"/>
      <c r="L32" s="3"/>
    </row>
    <row r="33" ht="20" hidden="1" customHeight="1">
      <c r="C33"/>
      <c r="D33"/>
      <c r="E33"/>
      <c r="F33"/>
      <c r="G33"/>
      <c r="H33"/>
      <c r="I33" s="3"/>
      <c r="J33" s="3"/>
      <c r="K33" s="3"/>
      <c r="L33" s="3"/>
    </row>
    <row r="34" ht="20" hidden="1" customHeight="1">
      <c r="C34"/>
      <c r="D34"/>
      <c r="E34"/>
      <c r="F34"/>
      <c r="G34"/>
      <c r="H34"/>
      <c r="I34" s="3"/>
      <c r="J34" s="3"/>
      <c r="K34" s="3"/>
      <c r="L34" s="3"/>
    </row>
    <row r="35" ht="20" hidden="1" customHeight="1">
      <c r="C35"/>
      <c r="D35"/>
      <c r="E35"/>
      <c r="F35"/>
      <c r="G35"/>
      <c r="H35"/>
      <c r="I35" s="3"/>
      <c r="J35" s="3"/>
      <c r="K35" s="3"/>
      <c r="L35" s="3"/>
    </row>
    <row r="36" ht="32" customHeight="1">
      <c r="C36" s="25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25"/>
      <c r="E36" s="25"/>
      <c r="F36" s="25"/>
      <c r="G36" s="25"/>
      <c r="H36" s="25"/>
      <c r="I36" s="25"/>
      <c r="J36" s="25"/>
      <c r="K36" s="25"/>
      <c r="L36" s="25"/>
    </row>
    <row r="37" ht="20" customHeight="1">
      <c r="C37" s="3" t="str">
        <v>沉没成本（模型参考，不重复计入预算）</v>
      </c>
      <c r="D37" s="3"/>
      <c r="E37" s="3"/>
      <c r="F37" s="3"/>
      <c r="G37" s="44">
        <f>IF($G$40="four-stock",E126,VLOOKUP($D$7,'Quote参数'!$C$14:$AL$14,23,FALSE))</f>
      </c>
      <c r="H37" s="3">
        <f>VLOOKUP($D$7,'Quote参数'!$C$14:$AL$14,3,FALSE)</f>
      </c>
      <c r="I37" s="3"/>
      <c r="J37" s="3"/>
      <c r="K37" s="3"/>
      <c r="L37" s="3"/>
    </row>
    <row r="38" ht="6" customHeight="1"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4" customHeight="1" collapsed="1">
      <c r="C39" s="14" t="str">
        <v>三、模型信息与计算口径（默认折叠，点左侧 + 展开）</v>
      </c>
      <c r="D39" s="14"/>
      <c r="E39" s="14"/>
      <c r="F39" s="14"/>
      <c r="G39" s="14"/>
      <c r="H39" s="14"/>
      <c r="I39" s="14"/>
      <c r="J39" s="14"/>
      <c r="K39" s="14"/>
      <c r="L39" s="14"/>
    </row>
    <row r="40" ht="30" hidden="1" customHeight="1" outlineLevel="1">
      <c r="C40" s="32"/>
      <c r="D40" s="32"/>
      <c r="E40" s="32"/>
      <c r="F40" s="32" t="str">
        <v>模型类型</v>
      </c>
      <c r="G40" s="32">
        <f>VLOOKUP($D$7,'Quote参数'!$C$14:$AL$14,10,FALSE)</f>
      </c>
      <c r="H40" s="32"/>
      <c r="I40" s="32"/>
      <c r="J40" s="32"/>
      <c r="K40" s="32"/>
      <c r="L40" s="32"/>
    </row>
    <row r="41" ht="30" hidden="1" customHeight="1" outlineLevel="1">
      <c r="C41" s="32"/>
      <c r="D41" s="32"/>
      <c r="E41" s="32"/>
      <c r="F41" s="32" t="str">
        <v>内盘基础费</v>
      </c>
      <c r="G41" s="39">
        <f>VLOOKUP($D$7,'Quote参数'!$C$14:$AL$14,19,FALSE)</f>
      </c>
      <c r="H41" s="32"/>
      <c r="I41" s="32" t="str">
        <v>一套内盘打满</v>
      </c>
      <c r="J41" s="32">
        <f>IF($G$40="pons",$G$49/(1-$G$41-$J$48),IF(OR($G$40="flap",$G$40="four-stock"),$G$53*(1+$G$41+$J$46),$G$52))</f>
      </c>
      <c r="K41" s="32"/>
      <c r="L41" s="32"/>
    </row>
    <row r="42" ht="30" hidden="1" customHeight="1" outlineLevel="1">
      <c r="C42" s="32"/>
      <c r="D42" s="32"/>
      <c r="E42" s="32"/>
      <c r="F42" s="32" t="str">
        <v>外盘基础费</v>
      </c>
      <c r="G42" s="39">
        <f>VLOOKUP($D$7,'Quote参数'!$C$14:$AL$14,20,FALSE)</f>
      </c>
      <c r="H42" s="32"/>
      <c r="I42" s="32"/>
      <c r="J42" s="32"/>
      <c r="K42" s="32"/>
      <c r="L42" s="32"/>
    </row>
    <row r="43" ht="30" hidden="1" customHeight="1" outlineLevel="1">
      <c r="C43" s="32"/>
      <c r="D43" s="32"/>
      <c r="E43" s="32"/>
      <c r="F43" s="32" t="str">
        <v>毕业控筹率</v>
      </c>
      <c r="G43" s="39">
        <f>VLOOKUP($D$7,'Quote参数'!$C$14:$AL$14,15,FALSE)</f>
      </c>
      <c r="H43" s="32"/>
      <c r="I43" s="32" t="str">
        <v>模型键</v>
      </c>
      <c r="J43" s="32">
        <f>VLOOKUP($D$7,'Quote参数'!$C$14:$AL$14,2,FALSE)</f>
      </c>
      <c r="K43" s="32"/>
      <c r="L43" s="32"/>
    </row>
    <row r="44" ht="30" hidden="1" customHeight="1" outlineLevel="1">
      <c r="C44" s="32"/>
      <c r="D44" s="32"/>
      <c r="E44" s="32"/>
      <c r="F44" s="32" t="str">
        <v>内盘初始 TOKEN</v>
      </c>
      <c r="G44" s="32">
        <f>VLOOKUP($D$7,'Quote参数'!$C$14:$AL$14,12,FALSE)</f>
      </c>
      <c r="H44" s="32"/>
      <c r="I44" s="32" t="str">
        <v>原生币价格 / USDT</v>
      </c>
      <c r="J44" s="32">
        <f>IF(VLOOKUP($D$7,'Quote参数'!$C$14:$AL$14,3,FALSE)=VLOOKUP($D$7,'Quote参数'!$C$14:$AL$14,4,FALSE),$D$55,VLOOKUP($D$7,'Quote参数'!$C$14:$AL$14,7,FALSE))</f>
      </c>
      <c r="K44" s="32"/>
      <c r="L44" s="32"/>
    </row>
    <row r="45" ht="30" hidden="1" customHeight="1" outlineLevel="1">
      <c r="C45" s="32" t="str">
        <v>总供应量</v>
      </c>
      <c r="D45" s="32">
        <f>VLOOKUP($D$7,'Quote参数'!$C$14:$AL$14,11,FALSE)</f>
      </c>
      <c r="E45" s="32"/>
      <c r="F45" s="32" t="str">
        <v>内盘初始 Quote</v>
      </c>
      <c r="G45" s="32">
        <f>VLOOKUP($D$7,'Quote参数'!$C$14:$AL$14,13,FALSE)</f>
      </c>
      <c r="H45" s="32"/>
      <c r="I45" s="32" t="str">
        <v>税率上限</v>
      </c>
      <c r="J45" s="32">
        <f>VLOOKUP($D$7,'Quote参数'!$C$14:$AL$14,32,FALSE)</f>
      </c>
      <c r="K45" s="32"/>
      <c r="L45" s="32"/>
    </row>
    <row r="46" ht="30" hidden="1" customHeight="1" outlineLevel="1">
      <c r="C46" s="32"/>
      <c r="D46" s="32"/>
      <c r="E46" s="32"/>
      <c r="F46" s="32" t="str">
        <v>内盘 K</v>
      </c>
      <c r="G46" s="32">
        <f>VLOOKUP($D$7,'Quote参数'!$C$14:$AL$14,14,FALSE)</f>
      </c>
      <c r="H46" s="32"/>
      <c r="I46" s="32" t="str">
        <v>使用买入税</v>
      </c>
      <c r="J46" s="39">
        <f>IF(OR($G$40="flap",$G$40="four-stock"),MIN($J$45,MAX(0,$J$7)),0)</f>
      </c>
      <c r="K46" s="32"/>
      <c r="L46" s="32"/>
    </row>
    <row r="47" ht="30" hidden="1" customHeight="1" outlineLevel="1">
      <c r="C47" s="32"/>
      <c r="D47" s="32"/>
      <c r="E47" s="32"/>
      <c r="F47" s="32"/>
      <c r="G47" s="32"/>
      <c r="H47" s="32"/>
      <c r="I47" s="32" t="str">
        <v>使用卖出税</v>
      </c>
      <c r="J47" s="39">
        <f>IF(OR($G$40="flap",$G$40="four-stock"),MIN($J$45,MAX(0,$J$8)),0)</f>
      </c>
      <c r="K47" s="32"/>
      <c r="L47" s="32"/>
    </row>
    <row r="48" ht="30" hidden="1" customHeight="1" outlineLevel="1">
      <c r="C48" s="32"/>
      <c r="D48" s="32"/>
      <c r="E48" s="32"/>
      <c r="F48" s="32" t="str">
        <v>外盘初始 TOKEN</v>
      </c>
      <c r="G48" s="32">
        <f>VLOOKUP($D$7,'Quote参数'!$C$14:$AL$14,16,FALSE)</f>
      </c>
      <c r="H48" s="32"/>
      <c r="I48" s="32" t="str">
        <v>使用 Creator Tax</v>
      </c>
      <c r="J48" s="39">
        <f>IF($G$40="pons",MIN($J$45,MAX(0,$J$9)),0)</f>
      </c>
      <c r="K48" s="32"/>
      <c r="L48" s="32"/>
    </row>
    <row r="49" ht="30" hidden="1" customHeight="1" outlineLevel="1">
      <c r="C49" s="32"/>
      <c r="D49" s="32"/>
      <c r="E49" s="32"/>
      <c r="F49" s="32" t="str">
        <v>外盘初始 Quote</v>
      </c>
      <c r="G49" s="32">
        <f>VLOOKUP($D$7,'Quote参数'!$C$14:$AL$14,17,FALSE)</f>
      </c>
      <c r="H49" s="32"/>
      <c r="I49" s="32"/>
      <c r="J49" s="32"/>
      <c r="K49" s="32"/>
      <c r="L49" s="32"/>
    </row>
    <row r="50" ht="30" hidden="1" customHeight="1" outlineLevel="1">
      <c r="C50" s="32"/>
      <c r="D50" s="32"/>
      <c r="E50" s="32"/>
      <c r="F50" s="32" t="str">
        <v>外盘 K</v>
      </c>
      <c r="G50" s="32">
        <f>VLOOKUP($D$7,'Quote参数'!$C$14:$AL$14,18,FALSE)</f>
      </c>
      <c r="H50" s="32"/>
      <c r="I50" s="32" t="str">
        <v>预算外盘 TOKEN</v>
      </c>
      <c r="J50" s="32">
        <f>IF(OR($G$40="flap",$G$40="four-stock"),$G$48-($D$52-$G$43)*$D$45/(1-$J$46),IF($G$40="pons",$D$45*(1-$D$52)-$G$51,IF(ABS($D$52-$G$43)&lt;0.000001,$G$48,$D$45*(1-$D$52))))</f>
      </c>
      <c r="K50" s="32"/>
      <c r="L50" s="32"/>
    </row>
    <row r="51" ht="30" hidden="1" customHeight="1" outlineLevel="1">
      <c r="C51" s="32" t="str">
        <v>目标是否可达</v>
      </c>
      <c r="D51" s="32">
        <f>IF(OR($G$7&lt;1,$G$8&lt;0,$G$9&lt;0,$G$10&lt;0,$G$11&lt;0,$D$8&lt;$G$43),"参数无效",IF(OR($D$52&gt;=$D$54,$J$50&lt;=0,AND($G$40="pons",$J$51&lt;=0)),"不可达",IF(NOT(ISNUMBER($G$12)),"缺少 Quote 价格","可达")))</f>
      </c>
      <c r="E51" s="32"/>
      <c r="F51" s="32" t="str">
        <v>永久锁仓 TOKEN</v>
      </c>
      <c r="G51" s="32">
        <f>VLOOKUP($D$7,'Quote参数'!$C$14:$AL$14,22,FALSE)</f>
      </c>
      <c r="H51" s="32"/>
      <c r="I51" s="32" t="str">
        <v>预算交换 TOKEN</v>
      </c>
      <c r="J51" s="32">
        <f>$G$48-MAX(0,($D$52-$G$43)*$D$45)</f>
      </c>
      <c r="K51" s="32"/>
      <c r="L51" s="32"/>
    </row>
    <row r="52" ht="30" hidden="1" customHeight="1" outlineLevel="1">
      <c r="C52" s="32" t="str">
        <v>预算控筹率</v>
      </c>
      <c r="D52" s="39">
        <f>IF($G$40="four-stock",$D$8+MAX(0,$J$10),$D$8+1%)</f>
      </c>
      <c r="E52" s="32"/>
      <c r="F52" s="32" t="str">
        <v>一套内盘原值</v>
      </c>
      <c r="G52" s="32">
        <f>VLOOKUP($D$7,'Quote参数'!$C$14:$AL$14,21,FALSE)</f>
      </c>
      <c r="H52" s="32"/>
      <c r="I52" s="32" t="str">
        <v>预算 FDV / Quote</v>
      </c>
      <c r="J52" s="32">
        <f>IF($D$51="可达",$G$50/$J$50^2*$D$45,"")</f>
      </c>
      <c r="K52" s="32"/>
      <c r="L52" s="32"/>
    </row>
    <row r="53" ht="30" hidden="1" customHeight="1" outlineLevel="1">
      <c r="C53" s="32" t="str">
        <v>地址总数</v>
      </c>
      <c r="D53" s="32">
        <f>MAX(0,$G$7)*MAX(0,$G$8)+MAX(0,$G$9)+MAX(0,$G$10)</f>
      </c>
      <c r="E53" s="32"/>
      <c r="F53" s="32" t="str">
        <v>内盘募集 Quote</v>
      </c>
      <c r="G53" s="32">
        <f>VLOOKUP($D$7,'Quote参数'!$C$14:$AL$14,24,FALSE)</f>
      </c>
      <c r="H53" s="32"/>
      <c r="I53" s="32"/>
      <c r="J53" s="32"/>
      <c r="K53" s="32"/>
      <c r="L53" s="32"/>
    </row>
    <row r="54" ht="30" hidden="1" customHeight="1" outlineLevel="1">
      <c r="C54" s="32" t="str">
        <v>当前控筹上限</v>
      </c>
      <c r="D54" s="39">
        <f>IF($G$40="pons",1-$G$51/$D$45,IF(OR($G$40="flap",$G$40="four-stock"),$G$43+(1-$J$46)*$G$48/$D$45,1))</f>
      </c>
      <c r="E54" s="32"/>
      <c r="F54" s="32" t="str">
        <v>价格采用方式</v>
      </c>
      <c r="G54" s="32">
        <f>IF(AND(ISNUMBER($D$9),$D$9&gt;0),"手动覆盖","每日行情")</f>
      </c>
      <c r="H54" s="32"/>
      <c r="I54" s="32" t="str">
        <v>洗后持仓保留比例</v>
      </c>
      <c r="J54" s="39">
        <f>MAX(0,1-$J$29)*MAX(0,1-$J$30)</f>
      </c>
      <c r="K54" s="32"/>
      <c r="L54" s="32"/>
    </row>
    <row r="55" ht="30" hidden="1" customHeight="1" outlineLevel="1">
      <c r="C55" s="32" t="str">
        <v>有效价格 / USDT</v>
      </c>
      <c r="D55" s="41">
        <f>IF(AND(ISNUMBER($D$9),$D$9&gt;0),$D$9,IF(AND(ISNUMBER(VLOOKUP($D$7,'Quote参数'!$C$14:$AL$14,6,FALSE)),VLOOKUP($D$7,'Quote参数'!$C$14:$AL$14,6,FALSE)&gt;0),VLOOKUP($D$7,'Quote参数'!$C$14:$AL$14,6,FALSE),""))</f>
      </c>
      <c r="E55" s="32"/>
      <c r="F55" s="32" t="str">
        <v>价格来源</v>
      </c>
      <c r="G55" s="32">
        <f>VLOOKUP($D$7,'Quote参数'!$C$14:$AL$14,9,FALSE)</f>
      </c>
      <c r="H55" s="32"/>
      <c r="I55" s="32" t="str">
        <v>目标外盘 TOKEN</v>
      </c>
      <c r="J55" s="32">
        <f>IF($G$40="pons",$G$48-($D$8-$G$43)*$D$45,IF(OR($G$40="flap",$G$40="four-stock"),$G$48-($D$8-$G$43)*$D$45/(1-$J$46),IF(ABS($D$8-$G$43)&lt;0.000001,$G$48,$D$45*(1-$D$8))))</f>
      </c>
      <c r="K55" s="32"/>
      <c r="L55" s="32"/>
    </row>
    <row r="56" ht="30" hidden="1" customHeight="1" outlineLevel="1">
      <c r="C56" s="32" t="str">
        <v>价格时间 / UTC</v>
      </c>
      <c r="D56" s="42">
        <f>VLOOKUP($D$7,'Quote参数'!$C$14:$AL$14,8,FALSE)</f>
      </c>
      <c r="E56" s="32"/>
      <c r="F56" s="32" t="str">
        <v>预留预算 / USDT</v>
      </c>
      <c r="G56" s="32">
        <f>'Quote参数'!$D$10</f>
      </c>
      <c r="H56" s="32"/>
      <c r="I56" s="32" t="str">
        <v>洗后外盘 TOKEN</v>
      </c>
      <c r="J56" s="32">
        <f>IF($G$40="pons",$G$48-($D$27-$G$43)*$D$45,IF(OR($G$40="flap",$G$40="four-stock"),$G$48-($D$27-$G$43)*$D$45/(1-$J$46),IF(ABS($D$27-$G$43)&lt;0.000001,$G$48,$D$45*(1-$D$27))))</f>
      </c>
      <c r="K56" s="32"/>
      <c r="L56" s="32"/>
    </row>
    <row r="57" ht="24" customHeight="1">
      <c r="C57" s="14" t="str">
        <v>内盘曲线</v>
      </c>
      <c r="D57" s="14"/>
      <c r="E57" s="14"/>
      <c r="F57" s="14"/>
      <c r="G57" s="14"/>
      <c r="H57" s="14"/>
      <c r="I57" s="14"/>
      <c r="J57" s="14"/>
      <c r="K57" s="14"/>
      <c r="L57" s="14"/>
    </row>
    <row r="58" ht="32" customHeight="1">
      <c r="C58" s="49" t="str">
        <v>控筹率</v>
      </c>
      <c r="D58" s="49" t="str">
        <v>Pool TOKEN</v>
      </c>
      <c r="E58" s="49" t="str">
        <v>Pool Quote</v>
      </c>
      <c r="F58" s="49" t="str">
        <v>价格 / Quote</v>
      </c>
      <c r="G58" s="49" t="str">
        <v>价格 / USDT</v>
      </c>
      <c r="H58" s="49" t="str">
        <v>市值 / Quote</v>
      </c>
      <c r="I58" s="49" t="str">
        <v>市值 / USDT</v>
      </c>
      <c r="J58" s="49" t="str">
        <v>所需 Quote</v>
      </c>
      <c r="K58" s="49" t="str">
        <v>含费所需 Quote</v>
      </c>
      <c r="L58" s="49" t="str">
        <v>理论累计 Quote</v>
      </c>
    </row>
    <row r="59" ht="20" customHeight="1">
      <c r="C59" s="53">
        <f>0</f>
      </c>
      <c r="D59" s="56">
        <f>$G$44-C59*$D$45</f>
      </c>
      <c r="E59" s="56">
        <f>$G$46/D59</f>
      </c>
      <c r="F59" s="59">
        <f>IF(AND(ISNUMBER(D59),D59&gt;0,ISNUMBER(E59)),E59/D59,"")</f>
      </c>
      <c r="G59" s="59">
        <f>IF(AND(ISNUMBER(F59),ISNUMBER($D$55)),F59*$D$55,"")</f>
      </c>
      <c r="H59" s="56">
        <f>IF(ISNUMBER(F59),F59*$D$45,"")</f>
      </c>
      <c r="I59" s="56">
        <f>IF(AND(ISNUMBER(H59),ISNUMBER($D$55)),H59*$D$55,"")</f>
      </c>
      <c r="J59" s="56">
        <f>0</f>
      </c>
      <c r="K59" s="56">
        <f>IF($G$40="pons",J59/(1-$G$41-$J$48),J59*(1+$G$41+IF($G$40="four-stock",$J$46,0)))</f>
      </c>
      <c r="L59" s="65">
        <f>SUM($K$59:K59)</f>
      </c>
    </row>
    <row r="60" ht="20" customHeight="1">
      <c r="C60" s="54">
        <f>0.1</f>
      </c>
      <c r="D60" s="57">
        <f>$G$44-C60*$D$45</f>
      </c>
      <c r="E60" s="57">
        <f>$G$46/D60</f>
      </c>
      <c r="F60" s="60">
        <f>IF(AND(ISNUMBER(D60),D60&gt;0,ISNUMBER(E60)),E60/D60,"")</f>
      </c>
      <c r="G60" s="60">
        <f>IF(AND(ISNUMBER(F60),ISNUMBER($D$55)),F60*$D$55,"")</f>
      </c>
      <c r="H60" s="57">
        <f>IF(ISNUMBER(F60),F60*$D$45,"")</f>
      </c>
      <c r="I60" s="57">
        <f>IF(AND(ISNUMBER(H60),ISNUMBER($D$55)),H60*$D$55,"")</f>
      </c>
      <c r="J60" s="57">
        <f>E60-E59</f>
      </c>
      <c r="K60" s="57">
        <f>IF($G$40="pons",J60/(1-$G$41-$J$48),J60*(1+$G$41+IF($G$40="four-stock",$J$46,0)))</f>
      </c>
      <c r="L60" s="66">
        <f>SUM($K$59:K60)</f>
      </c>
    </row>
    <row r="61" ht="20" customHeight="1">
      <c r="C61" s="54">
        <f>0.2</f>
      </c>
      <c r="D61" s="57">
        <f>$G$44-C61*$D$45</f>
      </c>
      <c r="E61" s="57">
        <f>$G$46/D61</f>
      </c>
      <c r="F61" s="60">
        <f>IF(AND(ISNUMBER(D61),D61&gt;0,ISNUMBER(E61)),E61/D61,"")</f>
      </c>
      <c r="G61" s="60">
        <f>IF(AND(ISNUMBER(F61),ISNUMBER($D$55)),F61*$D$55,"")</f>
      </c>
      <c r="H61" s="57">
        <f>IF(ISNUMBER(F61),F61*$D$45,"")</f>
      </c>
      <c r="I61" s="57">
        <f>IF(AND(ISNUMBER(H61),ISNUMBER($D$55)),H61*$D$55,"")</f>
      </c>
      <c r="J61" s="57">
        <f>E61-E60</f>
      </c>
      <c r="K61" s="57">
        <f>IF($G$40="pons",J61/(1-$G$41-$J$48),J61*(1+$G$41+IF($G$40="four-stock",$J$46,0)))</f>
      </c>
      <c r="L61" s="66">
        <f>SUM($K$59:K61)</f>
      </c>
    </row>
    <row r="62" ht="20" customHeight="1">
      <c r="C62" s="54">
        <f>0.3</f>
      </c>
      <c r="D62" s="57">
        <f>$G$44-C62*$D$45</f>
      </c>
      <c r="E62" s="57">
        <f>$G$46/D62</f>
      </c>
      <c r="F62" s="60">
        <f>IF(AND(ISNUMBER(D62),D62&gt;0,ISNUMBER(E62)),E62/D62,"")</f>
      </c>
      <c r="G62" s="60">
        <f>IF(AND(ISNUMBER(F62),ISNUMBER($D$55)),F62*$D$55,"")</f>
      </c>
      <c r="H62" s="57">
        <f>IF(ISNUMBER(F62),F62*$D$45,"")</f>
      </c>
      <c r="I62" s="57">
        <f>IF(AND(ISNUMBER(H62),ISNUMBER($D$55)),H62*$D$55,"")</f>
      </c>
      <c r="J62" s="57">
        <f>E62-E61</f>
      </c>
      <c r="K62" s="57">
        <f>IF($G$40="pons",J62/(1-$G$41-$J$48),J62*(1+$G$41+IF($G$40="four-stock",$J$46,0)))</f>
      </c>
      <c r="L62" s="66">
        <f>SUM($K$59:K62)</f>
      </c>
    </row>
    <row r="63" ht="20" customHeight="1">
      <c r="C63" s="54">
        <f>0.4</f>
      </c>
      <c r="D63" s="57">
        <f>$G$44-C63*$D$45</f>
      </c>
      <c r="E63" s="57">
        <f>$G$46/D63</f>
      </c>
      <c r="F63" s="60">
        <f>IF(AND(ISNUMBER(D63),D63&gt;0,ISNUMBER(E63)),E63/D63,"")</f>
      </c>
      <c r="G63" s="60">
        <f>IF(AND(ISNUMBER(F63),ISNUMBER($D$55)),F63*$D$55,"")</f>
      </c>
      <c r="H63" s="57">
        <f>IF(ISNUMBER(F63),F63*$D$45,"")</f>
      </c>
      <c r="I63" s="57">
        <f>IF(AND(ISNUMBER(H63),ISNUMBER($D$55)),H63*$D$55,"")</f>
      </c>
      <c r="J63" s="57">
        <f>E63-E62</f>
      </c>
      <c r="K63" s="57">
        <f>IF($G$40="pons",J63/(1-$G$41-$J$48),J63*(1+$G$41+IF($G$40="four-stock",$J$46,0)))</f>
      </c>
      <c r="L63" s="66">
        <f>SUM($K$59:K63)</f>
      </c>
    </row>
    <row r="64" ht="20" customHeight="1">
      <c r="C64" s="54">
        <f>0.5</f>
      </c>
      <c r="D64" s="57">
        <f>$G$44-C64*$D$45</f>
      </c>
      <c r="E64" s="57">
        <f>$G$46/D64</f>
      </c>
      <c r="F64" s="60">
        <f>IF(AND(ISNUMBER(D64),D64&gt;0,ISNUMBER(E64)),E64/D64,"")</f>
      </c>
      <c r="G64" s="60">
        <f>IF(AND(ISNUMBER(F64),ISNUMBER($D$55)),F64*$D$55,"")</f>
      </c>
      <c r="H64" s="57">
        <f>IF(ISNUMBER(F64),F64*$D$45,"")</f>
      </c>
      <c r="I64" s="57">
        <f>IF(AND(ISNUMBER(H64),ISNUMBER($D$55)),H64*$D$55,"")</f>
      </c>
      <c r="J64" s="57">
        <f>E64-E63</f>
      </c>
      <c r="K64" s="57">
        <f>IF($G$40="pons",J64/(1-$G$41-$J$48),J64*(1+$G$41+IF($G$40="four-stock",$J$46,0)))</f>
      </c>
      <c r="L64" s="66">
        <f>SUM($K$59:K64)</f>
      </c>
    </row>
    <row r="65" ht="20" customHeight="1">
      <c r="C65" s="54">
        <f>0.6</f>
      </c>
      <c r="D65" s="57">
        <f>$G$44-C65*$D$45</f>
      </c>
      <c r="E65" s="57">
        <f>$G$46/D65</f>
      </c>
      <c r="F65" s="60">
        <f>IF(AND(ISNUMBER(D65),D65&gt;0,ISNUMBER(E65)),E65/D65,"")</f>
      </c>
      <c r="G65" s="60">
        <f>IF(AND(ISNUMBER(F65),ISNUMBER($D$55)),F65*$D$55,"")</f>
      </c>
      <c r="H65" s="57">
        <f>IF(ISNUMBER(F65),F65*$D$45,"")</f>
      </c>
      <c r="I65" s="57">
        <f>IF(AND(ISNUMBER(H65),ISNUMBER($D$55)),H65*$D$55,"")</f>
      </c>
      <c r="J65" s="57">
        <f>E65-E64</f>
      </c>
      <c r="K65" s="57">
        <f>IF($G$40="pons",J65/(1-$G$41-$J$48),J65*(1+$G$41+IF($G$40="four-stock",$J$46,0)))</f>
      </c>
      <c r="L65" s="66">
        <f>SUM($K$59:K65)</f>
      </c>
    </row>
    <row r="66" ht="20" customHeight="1">
      <c r="C66" s="54">
        <f>0.7</f>
      </c>
      <c r="D66" s="57">
        <f>$G$44-C66*$D$45</f>
      </c>
      <c r="E66" s="57">
        <f>$G$46/D66</f>
      </c>
      <c r="F66" s="60">
        <f>IF(AND(ISNUMBER(D66),D66&gt;0,ISNUMBER(E66)),E66/D66,"")</f>
      </c>
      <c r="G66" s="60">
        <f>IF(AND(ISNUMBER(F66),ISNUMBER($D$55)),F66*$D$55,"")</f>
      </c>
      <c r="H66" s="57">
        <f>IF(ISNUMBER(F66),F66*$D$45,"")</f>
      </c>
      <c r="I66" s="57">
        <f>IF(AND(ISNUMBER(H66),ISNUMBER($D$55)),H66*$D$55,"")</f>
      </c>
      <c r="J66" s="57">
        <f>E66-E65</f>
      </c>
      <c r="K66" s="57">
        <f>IF($G$40="pons",J66/(1-$G$41-$J$48),J66*(1+$G$41+IF($G$40="four-stock",$J$46,0)))</f>
      </c>
      <c r="L66" s="66">
        <f>SUM($K$59:K66)</f>
      </c>
    </row>
    <row r="67" ht="20" customHeight="1">
      <c r="C67" s="55">
        <f>$G$43</f>
      </c>
      <c r="D67" s="58">
        <f>$G$44-C67*$D$45</f>
      </c>
      <c r="E67" s="58">
        <f>$G$46/D67</f>
      </c>
      <c r="F67" s="61">
        <f>IF(AND(ISNUMBER(D67),D67&gt;0,ISNUMBER(E67)),E67/D67,"")</f>
      </c>
      <c r="G67" s="61">
        <f>IF(AND(ISNUMBER(F67),ISNUMBER($D$55)),F67*$D$55,"")</f>
      </c>
      <c r="H67" s="58">
        <f>IF(ISNUMBER(F67),F67*$D$45,"")</f>
      </c>
      <c r="I67" s="58">
        <f>IF(AND(ISNUMBER(H67),ISNUMBER($D$55)),H67*$D$55,"")</f>
      </c>
      <c r="J67" s="58">
        <f>E67-E66</f>
      </c>
      <c r="K67" s="58">
        <f>IF($G$40="pons",J67/(1-$G$41-$J$48),J67*(1+$G$41+IF($G$40="four-stock",$J$46,0)))</f>
      </c>
      <c r="L67" s="67">
        <f>$J$41</f>
      </c>
    </row>
    <row r="68" ht="6" customHeight="1"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6" customHeight="1"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4" customHeight="1">
      <c r="C70" s="14" t="str">
        <v>外盘曲线</v>
      </c>
      <c r="D70" s="14"/>
      <c r="E70" s="14"/>
      <c r="F70" s="14"/>
      <c r="G70" s="14"/>
      <c r="H70" s="14"/>
      <c r="I70" s="14"/>
      <c r="J70" s="14"/>
      <c r="K70" s="14"/>
      <c r="L70" s="14"/>
    </row>
    <row r="71" ht="32" customHeight="1">
      <c r="C71" s="49" t="str">
        <v>控筹率</v>
      </c>
      <c r="D71" s="49" t="str">
        <v>Pool TOKEN</v>
      </c>
      <c r="E71" s="49" t="str">
        <v>Pool Quote</v>
      </c>
      <c r="F71" s="49" t="str">
        <v>价格 / Quote</v>
      </c>
      <c r="G71" s="49" t="str">
        <v>价格 / USDT</v>
      </c>
      <c r="H71" s="49" t="str">
        <v>市值 / Quote</v>
      </c>
      <c r="I71" s="49" t="str">
        <v>市值 / USDT</v>
      </c>
      <c r="J71" s="49" t="str">
        <v>所需 Quote</v>
      </c>
      <c r="K71" s="49" t="str">
        <v>含费所需 Quote</v>
      </c>
      <c r="L71" s="49" t="str">
        <v>理论累计 Quote</v>
      </c>
    </row>
    <row r="72" ht="20" customHeight="1">
      <c r="C72" s="53">
        <f>IF($G$40="pons",$G$43,80%)</f>
      </c>
      <c r="D72" s="56">
        <f>IF(OR(NOT(ISNUMBER(C72)),C72&gt;=$D$54,IF(OR($G$40="flap",$G$40="four-stock"),$G$48-(C72-$G$43)*$D$45/(1-$J$46),IF($G$40="pons",$D$45*(1-C72)-$G$51,IF(ABS(C72-$G$43)&lt;0.000001,$G$48,$D$45*(1-C72))))&lt;=0,AND($G$40="pons",$G$48-MAX(0,(C72-$G$43)*$D$45)&lt;=0)),"",IF(OR($G$40="flap",$G$40="four-stock"),$G$48-(C72-$G$43)*$D$45/(1-$J$46),IF($G$40="pons",$D$45*(1-C72)-$G$51,IF(ABS(C72-$G$43)&lt;0.000001,$G$48,$D$45*(1-C72)))))</f>
      </c>
      <c r="E72" s="56">
        <f>IF(D72="","",IF(ABS(C72-$G$43)&lt;0.000001,$G$49,$G$50/D72))</f>
      </c>
      <c r="F72" s="59">
        <f>IF(AND(ISNUMBER(D72),D72&gt;0,ISNUMBER(E72)),E72/D72,"")</f>
      </c>
      <c r="G72" s="59">
        <f>IF(AND(ISNUMBER(F72),ISNUMBER($D$55)),F72*$D$55,"")</f>
      </c>
      <c r="H72" s="56">
        <f>IF(ISNUMBER(F72),F72*$D$45,"")</f>
      </c>
      <c r="I72" s="56">
        <f>IF(AND(ISNUMBER(H72),ISNUMBER($D$55)),H72*$D$55,"")</f>
      </c>
      <c r="J72" s="56">
        <f>IF(OR(OR($G$40="flap",$G$40="four-stock"),$G$40="pons"),0,E72-$G$49)</f>
      </c>
      <c r="K72" s="56">
        <f>IF(OR(OR($G$40="flap",$G$40="four-stock"),$G$40="pons"),0,J72*(1+$G$42))</f>
      </c>
      <c r="L72" s="65">
        <f>IF(D72="","",$J$41+IF($G$40="pons",($G$50/($G$48-MAX(0,(C72-$G$43)*$D$45))-$G$49)/(1-$G$42-$J$48),IF($G$40="four-stock",(E72-$G$49)/(1-$G$42),(E72-$G$49)*(1+$G$42))))</f>
      </c>
    </row>
    <row r="73" ht="20" customHeight="1">
      <c r="C73" s="54">
        <f>IF($G$40="pons",80%+0*0.5%,IF(80.5%+0*0.5%&lt;=100%,80.5%+0*0.5%,""))</f>
      </c>
      <c r="D73" s="57">
        <f>IF(OR(NOT(ISNUMBER(C73)),C73&gt;=$D$54,IF(OR($G$40="flap",$G$40="four-stock"),$G$48-(C73-$G$43)*$D$45/(1-$J$46),IF($G$40="pons",$D$45*(1-C73)-$G$51,IF(ABS(C73-$G$43)&lt;0.000001,$G$48,$D$45*(1-C73))))&lt;=0,AND($G$40="pons",$G$48-MAX(0,(C73-$G$43)*$D$45)&lt;=0)),"",IF(OR($G$40="flap",$G$40="four-stock"),$G$48-(C73-$G$43)*$D$45/(1-$J$46),IF($G$40="pons",$D$45*(1-C73)-$G$51,IF(ABS(C73-$G$43)&lt;0.000001,$G$48,$D$45*(1-C73)))))</f>
      </c>
      <c r="E73" s="57">
        <f>IF(D73="","",IF(ABS(C73-$G$43)&lt;0.000001,$G$49,$G$50/D73))</f>
      </c>
      <c r="F73" s="60">
        <f>IF(AND(ISNUMBER(D73),D73&gt;0,ISNUMBER(E73)),E73/D73,"")</f>
      </c>
      <c r="G73" s="60">
        <f>IF(AND(ISNUMBER(F73),ISNUMBER($D$55)),F73*$D$55,"")</f>
      </c>
      <c r="H73" s="57">
        <f>IF(ISNUMBER(F73),F73*$D$45,"")</f>
      </c>
      <c r="I73" s="57">
        <f>IF(AND(ISNUMBER(H73),ISNUMBER($D$55)),H73*$D$55,"")</f>
      </c>
      <c r="J73" s="57">
        <f>IF(D73="","",E73-E72)</f>
      </c>
      <c r="K73" s="57">
        <f>IF(D73="","",IF(OR(OR($G$40="flap",$G$40="four-stock"),$G$40="pons"),L73-L72,J73*(1+$G$42)))</f>
      </c>
      <c r="L73" s="66">
        <f>IF(D73="","",$J$41+IF($G$40="pons",($G$50/($G$48-MAX(0,(C73-$G$43)*$D$45))-$G$49)/(1-$G$42-$J$48),IF($G$40="four-stock",(E73-$G$49)/(1-$G$42),(E73-$G$49)*(1+$G$42))))</f>
      </c>
    </row>
    <row r="74" ht="20" customHeight="1">
      <c r="C74" s="54">
        <f>IF($G$40="pons",80%+1*0.5%,IF(80.5%+1*0.5%&lt;=100%,80.5%+1*0.5%,""))</f>
      </c>
      <c r="D74" s="57">
        <f>IF(OR(NOT(ISNUMBER(C74)),C74&gt;=$D$54,IF(OR($G$40="flap",$G$40="four-stock"),$G$48-(C74-$G$43)*$D$45/(1-$J$46),IF($G$40="pons",$D$45*(1-C74)-$G$51,IF(ABS(C74-$G$43)&lt;0.000001,$G$48,$D$45*(1-C74))))&lt;=0,AND($G$40="pons",$G$48-MAX(0,(C74-$G$43)*$D$45)&lt;=0)),"",IF(OR($G$40="flap",$G$40="four-stock"),$G$48-(C74-$G$43)*$D$45/(1-$J$46),IF($G$40="pons",$D$45*(1-C74)-$G$51,IF(ABS(C74-$G$43)&lt;0.000001,$G$48,$D$45*(1-C74)))))</f>
      </c>
      <c r="E74" s="57">
        <f>IF(D74="","",IF(ABS(C74-$G$43)&lt;0.000001,$G$49,$G$50/D74))</f>
      </c>
      <c r="F74" s="60">
        <f>IF(AND(ISNUMBER(D74),D74&gt;0,ISNUMBER(E74)),E74/D74,"")</f>
      </c>
      <c r="G74" s="60">
        <f>IF(AND(ISNUMBER(F74),ISNUMBER($D$55)),F74*$D$55,"")</f>
      </c>
      <c r="H74" s="57">
        <f>IF(ISNUMBER(F74),F74*$D$45,"")</f>
      </c>
      <c r="I74" s="57">
        <f>IF(AND(ISNUMBER(H74),ISNUMBER($D$55)),H74*$D$55,"")</f>
      </c>
      <c r="J74" s="57">
        <f>IF(D74="","",E74-E73)</f>
      </c>
      <c r="K74" s="57">
        <f>IF(D74="","",IF(OR(OR($G$40="flap",$G$40="four-stock"),$G$40="pons"),L74-L73,J74*(1+$G$42)))</f>
      </c>
      <c r="L74" s="66">
        <f>IF(D74="","",$J$41+IF($G$40="pons",($G$50/($G$48-MAX(0,(C74-$G$43)*$D$45))-$G$49)/(1-$G$42-$J$48),IF($G$40="four-stock",(E74-$G$49)/(1-$G$42),(E74-$G$49)*(1+$G$42))))</f>
      </c>
    </row>
    <row r="75" ht="20" customHeight="1">
      <c r="C75" s="54">
        <f>IF($G$40="pons",80%+2*0.5%,IF(80.5%+2*0.5%&lt;=100%,80.5%+2*0.5%,""))</f>
      </c>
      <c r="D75" s="57">
        <f>IF(OR(NOT(ISNUMBER(C75)),C75&gt;=$D$54,IF(OR($G$40="flap",$G$40="four-stock"),$G$48-(C75-$G$43)*$D$45/(1-$J$46),IF($G$40="pons",$D$45*(1-C75)-$G$51,IF(ABS(C75-$G$43)&lt;0.000001,$G$48,$D$45*(1-C75))))&lt;=0,AND($G$40="pons",$G$48-MAX(0,(C75-$G$43)*$D$45)&lt;=0)),"",IF(OR($G$40="flap",$G$40="four-stock"),$G$48-(C75-$G$43)*$D$45/(1-$J$46),IF($G$40="pons",$D$45*(1-C75)-$G$51,IF(ABS(C75-$G$43)&lt;0.000001,$G$48,$D$45*(1-C75)))))</f>
      </c>
      <c r="E75" s="57">
        <f>IF(D75="","",IF(ABS(C75-$G$43)&lt;0.000001,$G$49,$G$50/D75))</f>
      </c>
      <c r="F75" s="60">
        <f>IF(AND(ISNUMBER(D75),D75&gt;0,ISNUMBER(E75)),E75/D75,"")</f>
      </c>
      <c r="G75" s="60">
        <f>IF(AND(ISNUMBER(F75),ISNUMBER($D$55)),F75*$D$55,"")</f>
      </c>
      <c r="H75" s="57">
        <f>IF(ISNUMBER(F75),F75*$D$45,"")</f>
      </c>
      <c r="I75" s="57">
        <f>IF(AND(ISNUMBER(H75),ISNUMBER($D$55)),H75*$D$55,"")</f>
      </c>
      <c r="J75" s="57">
        <f>IF(D75="","",E75-E74)</f>
      </c>
      <c r="K75" s="57">
        <f>IF(D75="","",IF(OR(OR($G$40="flap",$G$40="four-stock"),$G$40="pons"),L75-L74,J75*(1+$G$42)))</f>
      </c>
      <c r="L75" s="66">
        <f>IF(D75="","",$J$41+IF($G$40="pons",($G$50/($G$48-MAX(0,(C75-$G$43)*$D$45))-$G$49)/(1-$G$42-$J$48),IF($G$40="four-stock",(E75-$G$49)/(1-$G$42),(E75-$G$49)*(1+$G$42))))</f>
      </c>
    </row>
    <row r="76" ht="20" customHeight="1">
      <c r="C76" s="54">
        <f>IF($G$40="pons",80%+3*0.5%,IF(80.5%+3*0.5%&lt;=100%,80.5%+3*0.5%,""))</f>
      </c>
      <c r="D76" s="57">
        <f>IF(OR(NOT(ISNUMBER(C76)),C76&gt;=$D$54,IF(OR($G$40="flap",$G$40="four-stock"),$G$48-(C76-$G$43)*$D$45/(1-$J$46),IF($G$40="pons",$D$45*(1-C76)-$G$51,IF(ABS(C76-$G$43)&lt;0.000001,$G$48,$D$45*(1-C76))))&lt;=0,AND($G$40="pons",$G$48-MAX(0,(C76-$G$43)*$D$45)&lt;=0)),"",IF(OR($G$40="flap",$G$40="four-stock"),$G$48-(C76-$G$43)*$D$45/(1-$J$46),IF($G$40="pons",$D$45*(1-C76)-$G$51,IF(ABS(C76-$G$43)&lt;0.000001,$G$48,$D$45*(1-C76)))))</f>
      </c>
      <c r="E76" s="57">
        <f>IF(D76="","",IF(ABS(C76-$G$43)&lt;0.000001,$G$49,$G$50/D76))</f>
      </c>
      <c r="F76" s="60">
        <f>IF(AND(ISNUMBER(D76),D76&gt;0,ISNUMBER(E76)),E76/D76,"")</f>
      </c>
      <c r="G76" s="60">
        <f>IF(AND(ISNUMBER(F76),ISNUMBER($D$55)),F76*$D$55,"")</f>
      </c>
      <c r="H76" s="57">
        <f>IF(ISNUMBER(F76),F76*$D$45,"")</f>
      </c>
      <c r="I76" s="57">
        <f>IF(AND(ISNUMBER(H76),ISNUMBER($D$55)),H76*$D$55,"")</f>
      </c>
      <c r="J76" s="57">
        <f>IF(D76="","",E76-E75)</f>
      </c>
      <c r="K76" s="57">
        <f>IF(D76="","",IF(OR(OR($G$40="flap",$G$40="four-stock"),$G$40="pons"),L76-L75,J76*(1+$G$42)))</f>
      </c>
      <c r="L76" s="66">
        <f>IF(D76="","",$J$41+IF($G$40="pons",($G$50/($G$48-MAX(0,(C76-$G$43)*$D$45))-$G$49)/(1-$G$42-$J$48),IF($G$40="four-stock",(E76-$G$49)/(1-$G$42),(E76-$G$49)*(1+$G$42))))</f>
      </c>
    </row>
    <row r="77" ht="20" customHeight="1">
      <c r="C77" s="54">
        <f>IF($G$40="pons",80%+4*0.5%,IF(80.5%+4*0.5%&lt;=100%,80.5%+4*0.5%,""))</f>
      </c>
      <c r="D77" s="57">
        <f>IF(OR(NOT(ISNUMBER(C77)),C77&gt;=$D$54,IF(OR($G$40="flap",$G$40="four-stock"),$G$48-(C77-$G$43)*$D$45/(1-$J$46),IF($G$40="pons",$D$45*(1-C77)-$G$51,IF(ABS(C77-$G$43)&lt;0.000001,$G$48,$D$45*(1-C77))))&lt;=0,AND($G$40="pons",$G$48-MAX(0,(C77-$G$43)*$D$45)&lt;=0)),"",IF(OR($G$40="flap",$G$40="four-stock"),$G$48-(C77-$G$43)*$D$45/(1-$J$46),IF($G$40="pons",$D$45*(1-C77)-$G$51,IF(ABS(C77-$G$43)&lt;0.000001,$G$48,$D$45*(1-C77)))))</f>
      </c>
      <c r="E77" s="57">
        <f>IF(D77="","",IF(ABS(C77-$G$43)&lt;0.000001,$G$49,$G$50/D77))</f>
      </c>
      <c r="F77" s="60">
        <f>IF(AND(ISNUMBER(D77),D77&gt;0,ISNUMBER(E77)),E77/D77,"")</f>
      </c>
      <c r="G77" s="60">
        <f>IF(AND(ISNUMBER(F77),ISNUMBER($D$55)),F77*$D$55,"")</f>
      </c>
      <c r="H77" s="57">
        <f>IF(ISNUMBER(F77),F77*$D$45,"")</f>
      </c>
      <c r="I77" s="57">
        <f>IF(AND(ISNUMBER(H77),ISNUMBER($D$55)),H77*$D$55,"")</f>
      </c>
      <c r="J77" s="57">
        <f>IF(D77="","",E77-E76)</f>
      </c>
      <c r="K77" s="57">
        <f>IF(D77="","",IF(OR(OR($G$40="flap",$G$40="four-stock"),$G$40="pons"),L77-L76,J77*(1+$G$42)))</f>
      </c>
      <c r="L77" s="66">
        <f>IF(D77="","",$J$41+IF($G$40="pons",($G$50/($G$48-MAX(0,(C77-$G$43)*$D$45))-$G$49)/(1-$G$42-$J$48),IF($G$40="four-stock",(E77-$G$49)/(1-$G$42),(E77-$G$49)*(1+$G$42))))</f>
      </c>
    </row>
    <row r="78" ht="20" customHeight="1">
      <c r="C78" s="54">
        <f>IF($G$40="pons",80%+5*0.5%,IF(80.5%+5*0.5%&lt;=100%,80.5%+5*0.5%,""))</f>
      </c>
      <c r="D78" s="57">
        <f>IF(OR(NOT(ISNUMBER(C78)),C78&gt;=$D$54,IF(OR($G$40="flap",$G$40="four-stock"),$G$48-(C78-$G$43)*$D$45/(1-$J$46),IF($G$40="pons",$D$45*(1-C78)-$G$51,IF(ABS(C78-$G$43)&lt;0.000001,$G$48,$D$45*(1-C78))))&lt;=0,AND($G$40="pons",$G$48-MAX(0,(C78-$G$43)*$D$45)&lt;=0)),"",IF(OR($G$40="flap",$G$40="four-stock"),$G$48-(C78-$G$43)*$D$45/(1-$J$46),IF($G$40="pons",$D$45*(1-C78)-$G$51,IF(ABS(C78-$G$43)&lt;0.000001,$G$48,$D$45*(1-C78)))))</f>
      </c>
      <c r="E78" s="57">
        <f>IF(D78="","",IF(ABS(C78-$G$43)&lt;0.000001,$G$49,$G$50/D78))</f>
      </c>
      <c r="F78" s="60">
        <f>IF(AND(ISNUMBER(D78),D78&gt;0,ISNUMBER(E78)),E78/D78,"")</f>
      </c>
      <c r="G78" s="60">
        <f>IF(AND(ISNUMBER(F78),ISNUMBER($D$55)),F78*$D$55,"")</f>
      </c>
      <c r="H78" s="57">
        <f>IF(ISNUMBER(F78),F78*$D$45,"")</f>
      </c>
      <c r="I78" s="57">
        <f>IF(AND(ISNUMBER(H78),ISNUMBER($D$55)),H78*$D$55,"")</f>
      </c>
      <c r="J78" s="57">
        <f>IF(D78="","",E78-E77)</f>
      </c>
      <c r="K78" s="57">
        <f>IF(D78="","",IF(OR(OR($G$40="flap",$G$40="four-stock"),$G$40="pons"),L78-L77,J78*(1+$G$42)))</f>
      </c>
      <c r="L78" s="66">
        <f>IF(D78="","",$J$41+IF($G$40="pons",($G$50/($G$48-MAX(0,(C78-$G$43)*$D$45))-$G$49)/(1-$G$42-$J$48),IF($G$40="four-stock",(E78-$G$49)/(1-$G$42),(E78-$G$49)*(1+$G$42))))</f>
      </c>
    </row>
    <row r="79" ht="20" customHeight="1">
      <c r="C79" s="54">
        <f>IF($G$40="pons",80%+6*0.5%,IF(80.5%+6*0.5%&lt;=100%,80.5%+6*0.5%,""))</f>
      </c>
      <c r="D79" s="57">
        <f>IF(OR(NOT(ISNUMBER(C79)),C79&gt;=$D$54,IF(OR($G$40="flap",$G$40="four-stock"),$G$48-(C79-$G$43)*$D$45/(1-$J$46),IF($G$40="pons",$D$45*(1-C79)-$G$51,IF(ABS(C79-$G$43)&lt;0.000001,$G$48,$D$45*(1-C79))))&lt;=0,AND($G$40="pons",$G$48-MAX(0,(C79-$G$43)*$D$45)&lt;=0)),"",IF(OR($G$40="flap",$G$40="four-stock"),$G$48-(C79-$G$43)*$D$45/(1-$J$46),IF($G$40="pons",$D$45*(1-C79)-$G$51,IF(ABS(C79-$G$43)&lt;0.000001,$G$48,$D$45*(1-C79)))))</f>
      </c>
      <c r="E79" s="57">
        <f>IF(D79="","",IF(ABS(C79-$G$43)&lt;0.000001,$G$49,$G$50/D79))</f>
      </c>
      <c r="F79" s="60">
        <f>IF(AND(ISNUMBER(D79),D79&gt;0,ISNUMBER(E79)),E79/D79,"")</f>
      </c>
      <c r="G79" s="60">
        <f>IF(AND(ISNUMBER(F79),ISNUMBER($D$55)),F79*$D$55,"")</f>
      </c>
      <c r="H79" s="57">
        <f>IF(ISNUMBER(F79),F79*$D$45,"")</f>
      </c>
      <c r="I79" s="57">
        <f>IF(AND(ISNUMBER(H79),ISNUMBER($D$55)),H79*$D$55,"")</f>
      </c>
      <c r="J79" s="57">
        <f>IF(D79="","",E79-E78)</f>
      </c>
      <c r="K79" s="57">
        <f>IF(D79="","",IF(OR(OR($G$40="flap",$G$40="four-stock"),$G$40="pons"),L79-L78,J79*(1+$G$42)))</f>
      </c>
      <c r="L79" s="66">
        <f>IF(D79="","",$J$41+IF($G$40="pons",($G$50/($G$48-MAX(0,(C79-$G$43)*$D$45))-$G$49)/(1-$G$42-$J$48),IF($G$40="four-stock",(E79-$G$49)/(1-$G$42),(E79-$G$49)*(1+$G$42))))</f>
      </c>
    </row>
    <row r="80" ht="20" customHeight="1">
      <c r="C80" s="54">
        <f>IF($G$40="pons",80%+7*0.5%,IF(80.5%+7*0.5%&lt;=100%,80.5%+7*0.5%,""))</f>
      </c>
      <c r="D80" s="57">
        <f>IF(OR(NOT(ISNUMBER(C80)),C80&gt;=$D$54,IF(OR($G$40="flap",$G$40="four-stock"),$G$48-(C80-$G$43)*$D$45/(1-$J$46),IF($G$40="pons",$D$45*(1-C80)-$G$51,IF(ABS(C80-$G$43)&lt;0.000001,$G$48,$D$45*(1-C80))))&lt;=0,AND($G$40="pons",$G$48-MAX(0,(C80-$G$43)*$D$45)&lt;=0)),"",IF(OR($G$40="flap",$G$40="four-stock"),$G$48-(C80-$G$43)*$D$45/(1-$J$46),IF($G$40="pons",$D$45*(1-C80)-$G$51,IF(ABS(C80-$G$43)&lt;0.000001,$G$48,$D$45*(1-C80)))))</f>
      </c>
      <c r="E80" s="57">
        <f>IF(D80="","",IF(ABS(C80-$G$43)&lt;0.000001,$G$49,$G$50/D80))</f>
      </c>
      <c r="F80" s="60">
        <f>IF(AND(ISNUMBER(D80),D80&gt;0,ISNUMBER(E80)),E80/D80,"")</f>
      </c>
      <c r="G80" s="60">
        <f>IF(AND(ISNUMBER(F80),ISNUMBER($D$55)),F80*$D$55,"")</f>
      </c>
      <c r="H80" s="57">
        <f>IF(ISNUMBER(F80),F80*$D$45,"")</f>
      </c>
      <c r="I80" s="57">
        <f>IF(AND(ISNUMBER(H80),ISNUMBER($D$55)),H80*$D$55,"")</f>
      </c>
      <c r="J80" s="57">
        <f>IF(D80="","",E80-E79)</f>
      </c>
      <c r="K80" s="57">
        <f>IF(D80="","",IF(OR(OR($G$40="flap",$G$40="four-stock"),$G$40="pons"),L80-L79,J80*(1+$G$42)))</f>
      </c>
      <c r="L80" s="66">
        <f>IF(D80="","",$J$41+IF($G$40="pons",($G$50/($G$48-MAX(0,(C80-$G$43)*$D$45))-$G$49)/(1-$G$42-$J$48),IF($G$40="four-stock",(E80-$G$49)/(1-$G$42),(E80-$G$49)*(1+$G$42))))</f>
      </c>
    </row>
    <row r="81" ht="20" customHeight="1">
      <c r="C81" s="54">
        <f>IF($G$40="pons",80%+8*0.5%,IF(80.5%+8*0.5%&lt;=100%,80.5%+8*0.5%,""))</f>
      </c>
      <c r="D81" s="57">
        <f>IF(OR(NOT(ISNUMBER(C81)),C81&gt;=$D$54,IF(OR($G$40="flap",$G$40="four-stock"),$G$48-(C81-$G$43)*$D$45/(1-$J$46),IF($G$40="pons",$D$45*(1-C81)-$G$51,IF(ABS(C81-$G$43)&lt;0.000001,$G$48,$D$45*(1-C81))))&lt;=0,AND($G$40="pons",$G$48-MAX(0,(C81-$G$43)*$D$45)&lt;=0)),"",IF(OR($G$40="flap",$G$40="four-stock"),$G$48-(C81-$G$43)*$D$45/(1-$J$46),IF($G$40="pons",$D$45*(1-C81)-$G$51,IF(ABS(C81-$G$43)&lt;0.000001,$G$48,$D$45*(1-C81)))))</f>
      </c>
      <c r="E81" s="57">
        <f>IF(D81="","",IF(ABS(C81-$G$43)&lt;0.000001,$G$49,$G$50/D81))</f>
      </c>
      <c r="F81" s="60">
        <f>IF(AND(ISNUMBER(D81),D81&gt;0,ISNUMBER(E81)),E81/D81,"")</f>
      </c>
      <c r="G81" s="60">
        <f>IF(AND(ISNUMBER(F81),ISNUMBER($D$55)),F81*$D$55,"")</f>
      </c>
      <c r="H81" s="57">
        <f>IF(ISNUMBER(F81),F81*$D$45,"")</f>
      </c>
      <c r="I81" s="57">
        <f>IF(AND(ISNUMBER(H81),ISNUMBER($D$55)),H81*$D$55,"")</f>
      </c>
      <c r="J81" s="57">
        <f>IF(D81="","",E81-E80)</f>
      </c>
      <c r="K81" s="57">
        <f>IF(D81="","",IF(OR(OR($G$40="flap",$G$40="four-stock"),$G$40="pons"),L81-L80,J81*(1+$G$42)))</f>
      </c>
      <c r="L81" s="66">
        <f>IF(D81="","",$J$41+IF($G$40="pons",($G$50/($G$48-MAX(0,(C81-$G$43)*$D$45))-$G$49)/(1-$G$42-$J$48),IF($G$40="four-stock",(E81-$G$49)/(1-$G$42),(E81-$G$49)*(1+$G$42))))</f>
      </c>
    </row>
    <row r="82" ht="20" customHeight="1">
      <c r="C82" s="54">
        <f>IF($G$40="pons",80%+9*0.5%,IF(80.5%+9*0.5%&lt;=100%,80.5%+9*0.5%,""))</f>
      </c>
      <c r="D82" s="57">
        <f>IF(OR(NOT(ISNUMBER(C82)),C82&gt;=$D$54,IF(OR($G$40="flap",$G$40="four-stock"),$G$48-(C82-$G$43)*$D$45/(1-$J$46),IF($G$40="pons",$D$45*(1-C82)-$G$51,IF(ABS(C82-$G$43)&lt;0.000001,$G$48,$D$45*(1-C82))))&lt;=0,AND($G$40="pons",$G$48-MAX(0,(C82-$G$43)*$D$45)&lt;=0)),"",IF(OR($G$40="flap",$G$40="four-stock"),$G$48-(C82-$G$43)*$D$45/(1-$J$46),IF($G$40="pons",$D$45*(1-C82)-$G$51,IF(ABS(C82-$G$43)&lt;0.000001,$G$48,$D$45*(1-C82)))))</f>
      </c>
      <c r="E82" s="57">
        <f>IF(D82="","",IF(ABS(C82-$G$43)&lt;0.000001,$G$49,$G$50/D82))</f>
      </c>
      <c r="F82" s="60">
        <f>IF(AND(ISNUMBER(D82),D82&gt;0,ISNUMBER(E82)),E82/D82,"")</f>
      </c>
      <c r="G82" s="60">
        <f>IF(AND(ISNUMBER(F82),ISNUMBER($D$55)),F82*$D$55,"")</f>
      </c>
      <c r="H82" s="57">
        <f>IF(ISNUMBER(F82),F82*$D$45,"")</f>
      </c>
      <c r="I82" s="57">
        <f>IF(AND(ISNUMBER(H82),ISNUMBER($D$55)),H82*$D$55,"")</f>
      </c>
      <c r="J82" s="57">
        <f>IF(D82="","",E82-E81)</f>
      </c>
      <c r="K82" s="57">
        <f>IF(D82="","",IF(OR(OR($G$40="flap",$G$40="four-stock"),$G$40="pons"),L82-L81,J82*(1+$G$42)))</f>
      </c>
      <c r="L82" s="66">
        <f>IF(D82="","",$J$41+IF($G$40="pons",($G$50/($G$48-MAX(0,(C82-$G$43)*$D$45))-$G$49)/(1-$G$42-$J$48),IF($G$40="four-stock",(E82-$G$49)/(1-$G$42),(E82-$G$49)*(1+$G$42))))</f>
      </c>
    </row>
    <row r="83" ht="20" customHeight="1">
      <c r="C83" s="54">
        <f>IF($G$40="pons",80%+10*0.5%,IF(80.5%+10*0.5%&lt;=100%,80.5%+10*0.5%,""))</f>
      </c>
      <c r="D83" s="57">
        <f>IF(OR(NOT(ISNUMBER(C83)),C83&gt;=$D$54,IF(OR($G$40="flap",$G$40="four-stock"),$G$48-(C83-$G$43)*$D$45/(1-$J$46),IF($G$40="pons",$D$45*(1-C83)-$G$51,IF(ABS(C83-$G$43)&lt;0.000001,$G$48,$D$45*(1-C83))))&lt;=0,AND($G$40="pons",$G$48-MAX(0,(C83-$G$43)*$D$45)&lt;=0)),"",IF(OR($G$40="flap",$G$40="four-stock"),$G$48-(C83-$G$43)*$D$45/(1-$J$46),IF($G$40="pons",$D$45*(1-C83)-$G$51,IF(ABS(C83-$G$43)&lt;0.000001,$G$48,$D$45*(1-C83)))))</f>
      </c>
      <c r="E83" s="57">
        <f>IF(D83="","",IF(ABS(C83-$G$43)&lt;0.000001,$G$49,$G$50/D83))</f>
      </c>
      <c r="F83" s="60">
        <f>IF(AND(ISNUMBER(D83),D83&gt;0,ISNUMBER(E83)),E83/D83,"")</f>
      </c>
      <c r="G83" s="60">
        <f>IF(AND(ISNUMBER(F83),ISNUMBER($D$55)),F83*$D$55,"")</f>
      </c>
      <c r="H83" s="57">
        <f>IF(ISNUMBER(F83),F83*$D$45,"")</f>
      </c>
      <c r="I83" s="57">
        <f>IF(AND(ISNUMBER(H83),ISNUMBER($D$55)),H83*$D$55,"")</f>
      </c>
      <c r="J83" s="57">
        <f>IF(D83="","",E83-E82)</f>
      </c>
      <c r="K83" s="57">
        <f>IF(D83="","",IF(OR(OR($G$40="flap",$G$40="four-stock"),$G$40="pons"),L83-L82,J83*(1+$G$42)))</f>
      </c>
      <c r="L83" s="66">
        <f>IF(D83="","",$J$41+IF($G$40="pons",($G$50/($G$48-MAX(0,(C83-$G$43)*$D$45))-$G$49)/(1-$G$42-$J$48),IF($G$40="four-stock",(E83-$G$49)/(1-$G$42),(E83-$G$49)*(1+$G$42))))</f>
      </c>
    </row>
    <row r="84" ht="20" customHeight="1">
      <c r="C84" s="54">
        <f>IF($G$40="pons",80%+11*0.5%,IF(80.5%+11*0.5%&lt;=100%,80.5%+11*0.5%,""))</f>
      </c>
      <c r="D84" s="57">
        <f>IF(OR(NOT(ISNUMBER(C84)),C84&gt;=$D$54,IF(OR($G$40="flap",$G$40="four-stock"),$G$48-(C84-$G$43)*$D$45/(1-$J$46),IF($G$40="pons",$D$45*(1-C84)-$G$51,IF(ABS(C84-$G$43)&lt;0.000001,$G$48,$D$45*(1-C84))))&lt;=0,AND($G$40="pons",$G$48-MAX(0,(C84-$G$43)*$D$45)&lt;=0)),"",IF(OR($G$40="flap",$G$40="four-stock"),$G$48-(C84-$G$43)*$D$45/(1-$J$46),IF($G$40="pons",$D$45*(1-C84)-$G$51,IF(ABS(C84-$G$43)&lt;0.000001,$G$48,$D$45*(1-C84)))))</f>
      </c>
      <c r="E84" s="57">
        <f>IF(D84="","",IF(ABS(C84-$G$43)&lt;0.000001,$G$49,$G$50/D84))</f>
      </c>
      <c r="F84" s="60">
        <f>IF(AND(ISNUMBER(D84),D84&gt;0,ISNUMBER(E84)),E84/D84,"")</f>
      </c>
      <c r="G84" s="60">
        <f>IF(AND(ISNUMBER(F84),ISNUMBER($D$55)),F84*$D$55,"")</f>
      </c>
      <c r="H84" s="57">
        <f>IF(ISNUMBER(F84),F84*$D$45,"")</f>
      </c>
      <c r="I84" s="57">
        <f>IF(AND(ISNUMBER(H84),ISNUMBER($D$55)),H84*$D$55,"")</f>
      </c>
      <c r="J84" s="57">
        <f>IF(D84="","",E84-E83)</f>
      </c>
      <c r="K84" s="57">
        <f>IF(D84="","",IF(OR(OR($G$40="flap",$G$40="four-stock"),$G$40="pons"),L84-L83,J84*(1+$G$42)))</f>
      </c>
      <c r="L84" s="66">
        <f>IF(D84="","",$J$41+IF($G$40="pons",($G$50/($G$48-MAX(0,(C84-$G$43)*$D$45))-$G$49)/(1-$G$42-$J$48),IF($G$40="four-stock",(E84-$G$49)/(1-$G$42),(E84-$G$49)*(1+$G$42))))</f>
      </c>
    </row>
    <row r="85" ht="20" customHeight="1">
      <c r="C85" s="54">
        <f>IF($G$40="pons",80%+12*0.5%,IF(80.5%+12*0.5%&lt;=100%,80.5%+12*0.5%,""))</f>
      </c>
      <c r="D85" s="57">
        <f>IF(OR(NOT(ISNUMBER(C85)),C85&gt;=$D$54,IF(OR($G$40="flap",$G$40="four-stock"),$G$48-(C85-$G$43)*$D$45/(1-$J$46),IF($G$40="pons",$D$45*(1-C85)-$G$51,IF(ABS(C85-$G$43)&lt;0.000001,$G$48,$D$45*(1-C85))))&lt;=0,AND($G$40="pons",$G$48-MAX(0,(C85-$G$43)*$D$45)&lt;=0)),"",IF(OR($G$40="flap",$G$40="four-stock"),$G$48-(C85-$G$43)*$D$45/(1-$J$46),IF($G$40="pons",$D$45*(1-C85)-$G$51,IF(ABS(C85-$G$43)&lt;0.000001,$G$48,$D$45*(1-C85)))))</f>
      </c>
      <c r="E85" s="57">
        <f>IF(D85="","",IF(ABS(C85-$G$43)&lt;0.000001,$G$49,$G$50/D85))</f>
      </c>
      <c r="F85" s="60">
        <f>IF(AND(ISNUMBER(D85),D85&gt;0,ISNUMBER(E85)),E85/D85,"")</f>
      </c>
      <c r="G85" s="60">
        <f>IF(AND(ISNUMBER(F85),ISNUMBER($D$55)),F85*$D$55,"")</f>
      </c>
      <c r="H85" s="57">
        <f>IF(ISNUMBER(F85),F85*$D$45,"")</f>
      </c>
      <c r="I85" s="57">
        <f>IF(AND(ISNUMBER(H85),ISNUMBER($D$55)),H85*$D$55,"")</f>
      </c>
      <c r="J85" s="57">
        <f>IF(D85="","",E85-E84)</f>
      </c>
      <c r="K85" s="57">
        <f>IF(D85="","",IF(OR(OR($G$40="flap",$G$40="four-stock"),$G$40="pons"),L85-L84,J85*(1+$G$42)))</f>
      </c>
      <c r="L85" s="66">
        <f>IF(D85="","",$J$41+IF($G$40="pons",($G$50/($G$48-MAX(0,(C85-$G$43)*$D$45))-$G$49)/(1-$G$42-$J$48),IF($G$40="four-stock",(E85-$G$49)/(1-$G$42),(E85-$G$49)*(1+$G$42))))</f>
      </c>
    </row>
    <row r="86" ht="20" customHeight="1">
      <c r="C86" s="54">
        <f>IF($G$40="pons",80%+13*0.5%,IF(80.5%+13*0.5%&lt;=100%,80.5%+13*0.5%,""))</f>
      </c>
      <c r="D86" s="57">
        <f>IF(OR(NOT(ISNUMBER(C86)),C86&gt;=$D$54,IF(OR($G$40="flap",$G$40="four-stock"),$G$48-(C86-$G$43)*$D$45/(1-$J$46),IF($G$40="pons",$D$45*(1-C86)-$G$51,IF(ABS(C86-$G$43)&lt;0.000001,$G$48,$D$45*(1-C86))))&lt;=0,AND($G$40="pons",$G$48-MAX(0,(C86-$G$43)*$D$45)&lt;=0)),"",IF(OR($G$40="flap",$G$40="four-stock"),$G$48-(C86-$G$43)*$D$45/(1-$J$46),IF($G$40="pons",$D$45*(1-C86)-$G$51,IF(ABS(C86-$G$43)&lt;0.000001,$G$48,$D$45*(1-C86)))))</f>
      </c>
      <c r="E86" s="57">
        <f>IF(D86="","",IF(ABS(C86-$G$43)&lt;0.000001,$G$49,$G$50/D86))</f>
      </c>
      <c r="F86" s="60">
        <f>IF(AND(ISNUMBER(D86),D86&gt;0,ISNUMBER(E86)),E86/D86,"")</f>
      </c>
      <c r="G86" s="60">
        <f>IF(AND(ISNUMBER(F86),ISNUMBER($D$55)),F86*$D$55,"")</f>
      </c>
      <c r="H86" s="57">
        <f>IF(ISNUMBER(F86),F86*$D$45,"")</f>
      </c>
      <c r="I86" s="57">
        <f>IF(AND(ISNUMBER(H86),ISNUMBER($D$55)),H86*$D$55,"")</f>
      </c>
      <c r="J86" s="57">
        <f>IF(D86="","",E86-E85)</f>
      </c>
      <c r="K86" s="57">
        <f>IF(D86="","",IF(OR(OR($G$40="flap",$G$40="four-stock"),$G$40="pons"),L86-L85,J86*(1+$G$42)))</f>
      </c>
      <c r="L86" s="66">
        <f>IF(D86="","",$J$41+IF($G$40="pons",($G$50/($G$48-MAX(0,(C86-$G$43)*$D$45))-$G$49)/(1-$G$42-$J$48),IF($G$40="four-stock",(E86-$G$49)/(1-$G$42),(E86-$G$49)*(1+$G$42))))</f>
      </c>
    </row>
    <row r="87" ht="20" customHeight="1">
      <c r="C87" s="54">
        <f>IF($G$40="pons",80%+14*0.5%,IF(80.5%+14*0.5%&lt;=100%,80.5%+14*0.5%,""))</f>
      </c>
      <c r="D87" s="57">
        <f>IF(OR(NOT(ISNUMBER(C87)),C87&gt;=$D$54,IF(OR($G$40="flap",$G$40="four-stock"),$G$48-(C87-$G$43)*$D$45/(1-$J$46),IF($G$40="pons",$D$45*(1-C87)-$G$51,IF(ABS(C87-$G$43)&lt;0.000001,$G$48,$D$45*(1-C87))))&lt;=0,AND($G$40="pons",$G$48-MAX(0,(C87-$G$43)*$D$45)&lt;=0)),"",IF(OR($G$40="flap",$G$40="four-stock"),$G$48-(C87-$G$43)*$D$45/(1-$J$46),IF($G$40="pons",$D$45*(1-C87)-$G$51,IF(ABS(C87-$G$43)&lt;0.000001,$G$48,$D$45*(1-C87)))))</f>
      </c>
      <c r="E87" s="57">
        <f>IF(D87="","",IF(ABS(C87-$G$43)&lt;0.000001,$G$49,$G$50/D87))</f>
      </c>
      <c r="F87" s="60">
        <f>IF(AND(ISNUMBER(D87),D87&gt;0,ISNUMBER(E87)),E87/D87,"")</f>
      </c>
      <c r="G87" s="60">
        <f>IF(AND(ISNUMBER(F87),ISNUMBER($D$55)),F87*$D$55,"")</f>
      </c>
      <c r="H87" s="57">
        <f>IF(ISNUMBER(F87),F87*$D$45,"")</f>
      </c>
      <c r="I87" s="57">
        <f>IF(AND(ISNUMBER(H87),ISNUMBER($D$55)),H87*$D$55,"")</f>
      </c>
      <c r="J87" s="57">
        <f>IF(D87="","",E87-E86)</f>
      </c>
      <c r="K87" s="57">
        <f>IF(D87="","",IF(OR(OR($G$40="flap",$G$40="four-stock"),$G$40="pons"),L87-L86,J87*(1+$G$42)))</f>
      </c>
      <c r="L87" s="66">
        <f>IF(D87="","",$J$41+IF($G$40="pons",($G$50/($G$48-MAX(0,(C87-$G$43)*$D$45))-$G$49)/(1-$G$42-$J$48),IF($G$40="four-stock",(E87-$G$49)/(1-$G$42),(E87-$G$49)*(1+$G$42))))</f>
      </c>
    </row>
    <row r="88" ht="20" customHeight="1">
      <c r="C88" s="54">
        <f>IF($G$40="pons",80%+15*0.5%,IF(80.5%+15*0.5%&lt;=100%,80.5%+15*0.5%,""))</f>
      </c>
      <c r="D88" s="57">
        <f>IF(OR(NOT(ISNUMBER(C88)),C88&gt;=$D$54,IF(OR($G$40="flap",$G$40="four-stock"),$G$48-(C88-$G$43)*$D$45/(1-$J$46),IF($G$40="pons",$D$45*(1-C88)-$G$51,IF(ABS(C88-$G$43)&lt;0.000001,$G$48,$D$45*(1-C88))))&lt;=0,AND($G$40="pons",$G$48-MAX(0,(C88-$G$43)*$D$45)&lt;=0)),"",IF(OR($G$40="flap",$G$40="four-stock"),$G$48-(C88-$G$43)*$D$45/(1-$J$46),IF($G$40="pons",$D$45*(1-C88)-$G$51,IF(ABS(C88-$G$43)&lt;0.000001,$G$48,$D$45*(1-C88)))))</f>
      </c>
      <c r="E88" s="57">
        <f>IF(D88="","",IF(ABS(C88-$G$43)&lt;0.000001,$G$49,$G$50/D88))</f>
      </c>
      <c r="F88" s="60">
        <f>IF(AND(ISNUMBER(D88),D88&gt;0,ISNUMBER(E88)),E88/D88,"")</f>
      </c>
      <c r="G88" s="60">
        <f>IF(AND(ISNUMBER(F88),ISNUMBER($D$55)),F88*$D$55,"")</f>
      </c>
      <c r="H88" s="57">
        <f>IF(ISNUMBER(F88),F88*$D$45,"")</f>
      </c>
      <c r="I88" s="57">
        <f>IF(AND(ISNUMBER(H88),ISNUMBER($D$55)),H88*$D$55,"")</f>
      </c>
      <c r="J88" s="57">
        <f>IF(D88="","",E88-E87)</f>
      </c>
      <c r="K88" s="57">
        <f>IF(D88="","",IF(OR(OR($G$40="flap",$G$40="four-stock"),$G$40="pons"),L88-L87,J88*(1+$G$42)))</f>
      </c>
      <c r="L88" s="66">
        <f>IF(D88="","",$J$41+IF($G$40="pons",($G$50/($G$48-MAX(0,(C88-$G$43)*$D$45))-$G$49)/(1-$G$42-$J$48),IF($G$40="four-stock",(E88-$G$49)/(1-$G$42),(E88-$G$49)*(1+$G$42))))</f>
      </c>
    </row>
    <row r="89" ht="20" customHeight="1">
      <c r="C89" s="54">
        <f>IF($G$40="pons",80%+16*0.5%,IF(80.5%+16*0.5%&lt;=100%,80.5%+16*0.5%,""))</f>
      </c>
      <c r="D89" s="57">
        <f>IF(OR(NOT(ISNUMBER(C89)),C89&gt;=$D$54,IF(OR($G$40="flap",$G$40="four-stock"),$G$48-(C89-$G$43)*$D$45/(1-$J$46),IF($G$40="pons",$D$45*(1-C89)-$G$51,IF(ABS(C89-$G$43)&lt;0.000001,$G$48,$D$45*(1-C89))))&lt;=0,AND($G$40="pons",$G$48-MAX(0,(C89-$G$43)*$D$45)&lt;=0)),"",IF(OR($G$40="flap",$G$40="four-stock"),$G$48-(C89-$G$43)*$D$45/(1-$J$46),IF($G$40="pons",$D$45*(1-C89)-$G$51,IF(ABS(C89-$G$43)&lt;0.000001,$G$48,$D$45*(1-C89)))))</f>
      </c>
      <c r="E89" s="57">
        <f>IF(D89="","",IF(ABS(C89-$G$43)&lt;0.000001,$G$49,$G$50/D89))</f>
      </c>
      <c r="F89" s="60">
        <f>IF(AND(ISNUMBER(D89),D89&gt;0,ISNUMBER(E89)),E89/D89,"")</f>
      </c>
      <c r="G89" s="60">
        <f>IF(AND(ISNUMBER(F89),ISNUMBER($D$55)),F89*$D$55,"")</f>
      </c>
      <c r="H89" s="57">
        <f>IF(ISNUMBER(F89),F89*$D$45,"")</f>
      </c>
      <c r="I89" s="57">
        <f>IF(AND(ISNUMBER(H89),ISNUMBER($D$55)),H89*$D$55,"")</f>
      </c>
      <c r="J89" s="57">
        <f>IF(D89="","",E89-E88)</f>
      </c>
      <c r="K89" s="57">
        <f>IF(D89="","",IF(OR(OR($G$40="flap",$G$40="four-stock"),$G$40="pons"),L89-L88,J89*(1+$G$42)))</f>
      </c>
      <c r="L89" s="66">
        <f>IF(D89="","",$J$41+IF($G$40="pons",($G$50/($G$48-MAX(0,(C89-$G$43)*$D$45))-$G$49)/(1-$G$42-$J$48),IF($G$40="four-stock",(E89-$G$49)/(1-$G$42),(E89-$G$49)*(1+$G$42))))</f>
      </c>
    </row>
    <row r="90" ht="20" customHeight="1">
      <c r="C90" s="54">
        <f>IF($G$40="pons",80%+17*0.5%,IF(80.5%+17*0.5%&lt;=100%,80.5%+17*0.5%,""))</f>
      </c>
      <c r="D90" s="57">
        <f>IF(OR(NOT(ISNUMBER(C90)),C90&gt;=$D$54,IF(OR($G$40="flap",$G$40="four-stock"),$G$48-(C90-$G$43)*$D$45/(1-$J$46),IF($G$40="pons",$D$45*(1-C90)-$G$51,IF(ABS(C90-$G$43)&lt;0.000001,$G$48,$D$45*(1-C90))))&lt;=0,AND($G$40="pons",$G$48-MAX(0,(C90-$G$43)*$D$45)&lt;=0)),"",IF(OR($G$40="flap",$G$40="four-stock"),$G$48-(C90-$G$43)*$D$45/(1-$J$46),IF($G$40="pons",$D$45*(1-C90)-$G$51,IF(ABS(C90-$G$43)&lt;0.000001,$G$48,$D$45*(1-C90)))))</f>
      </c>
      <c r="E90" s="57">
        <f>IF(D90="","",IF(ABS(C90-$G$43)&lt;0.000001,$G$49,$G$50/D90))</f>
      </c>
      <c r="F90" s="60">
        <f>IF(AND(ISNUMBER(D90),D90&gt;0,ISNUMBER(E90)),E90/D90,"")</f>
      </c>
      <c r="G90" s="60">
        <f>IF(AND(ISNUMBER(F90),ISNUMBER($D$55)),F90*$D$55,"")</f>
      </c>
      <c r="H90" s="57">
        <f>IF(ISNUMBER(F90),F90*$D$45,"")</f>
      </c>
      <c r="I90" s="57">
        <f>IF(AND(ISNUMBER(H90),ISNUMBER($D$55)),H90*$D$55,"")</f>
      </c>
      <c r="J90" s="57">
        <f>IF(D90="","",E90-E89)</f>
      </c>
      <c r="K90" s="57">
        <f>IF(D90="","",IF(OR(OR($G$40="flap",$G$40="four-stock"),$G$40="pons"),L90-L89,J90*(1+$G$42)))</f>
      </c>
      <c r="L90" s="66">
        <f>IF(D90="","",$J$41+IF($G$40="pons",($G$50/($G$48-MAX(0,(C90-$G$43)*$D$45))-$G$49)/(1-$G$42-$J$48),IF($G$40="four-stock",(E90-$G$49)/(1-$G$42),(E90-$G$49)*(1+$G$42))))</f>
      </c>
    </row>
    <row r="91" ht="20" customHeight="1">
      <c r="C91" s="54">
        <f>IF($G$40="pons",80%+18*0.5%,IF(80.5%+18*0.5%&lt;=100%,80.5%+18*0.5%,""))</f>
      </c>
      <c r="D91" s="57">
        <f>IF(OR(NOT(ISNUMBER(C91)),C91&gt;=$D$54,IF(OR($G$40="flap",$G$40="four-stock"),$G$48-(C91-$G$43)*$D$45/(1-$J$46),IF($G$40="pons",$D$45*(1-C91)-$G$51,IF(ABS(C91-$G$43)&lt;0.000001,$G$48,$D$45*(1-C91))))&lt;=0,AND($G$40="pons",$G$48-MAX(0,(C91-$G$43)*$D$45)&lt;=0)),"",IF(OR($G$40="flap",$G$40="four-stock"),$G$48-(C91-$G$43)*$D$45/(1-$J$46),IF($G$40="pons",$D$45*(1-C91)-$G$51,IF(ABS(C91-$G$43)&lt;0.000001,$G$48,$D$45*(1-C91)))))</f>
      </c>
      <c r="E91" s="57">
        <f>IF(D91="","",IF(ABS(C91-$G$43)&lt;0.000001,$G$49,$G$50/D91))</f>
      </c>
      <c r="F91" s="60">
        <f>IF(AND(ISNUMBER(D91),D91&gt;0,ISNUMBER(E91)),E91/D91,"")</f>
      </c>
      <c r="G91" s="60">
        <f>IF(AND(ISNUMBER(F91),ISNUMBER($D$55)),F91*$D$55,"")</f>
      </c>
      <c r="H91" s="57">
        <f>IF(ISNUMBER(F91),F91*$D$45,"")</f>
      </c>
      <c r="I91" s="57">
        <f>IF(AND(ISNUMBER(H91),ISNUMBER($D$55)),H91*$D$55,"")</f>
      </c>
      <c r="J91" s="57">
        <f>IF(D91="","",E91-E90)</f>
      </c>
      <c r="K91" s="57">
        <f>IF(D91="","",IF(OR(OR($G$40="flap",$G$40="four-stock"),$G$40="pons"),L91-L90,J91*(1+$G$42)))</f>
      </c>
      <c r="L91" s="66">
        <f>IF(D91="","",$J$41+IF($G$40="pons",($G$50/($G$48-MAX(0,(C91-$G$43)*$D$45))-$G$49)/(1-$G$42-$J$48),IF($G$40="four-stock",(E91-$G$49)/(1-$G$42),(E91-$G$49)*(1+$G$42))))</f>
      </c>
    </row>
    <row r="92" ht="20" customHeight="1">
      <c r="C92" s="54">
        <f>IF($G$40="pons",80%+19*0.5%,IF(80.5%+19*0.5%&lt;=100%,80.5%+19*0.5%,""))</f>
      </c>
      <c r="D92" s="57">
        <f>IF(OR(NOT(ISNUMBER(C92)),C92&gt;=$D$54,IF(OR($G$40="flap",$G$40="four-stock"),$G$48-(C92-$G$43)*$D$45/(1-$J$46),IF($G$40="pons",$D$45*(1-C92)-$G$51,IF(ABS(C92-$G$43)&lt;0.000001,$G$48,$D$45*(1-C92))))&lt;=0,AND($G$40="pons",$G$48-MAX(0,(C92-$G$43)*$D$45)&lt;=0)),"",IF(OR($G$40="flap",$G$40="four-stock"),$G$48-(C92-$G$43)*$D$45/(1-$J$46),IF($G$40="pons",$D$45*(1-C92)-$G$51,IF(ABS(C92-$G$43)&lt;0.000001,$G$48,$D$45*(1-C92)))))</f>
      </c>
      <c r="E92" s="57">
        <f>IF(D92="","",IF(ABS(C92-$G$43)&lt;0.000001,$G$49,$G$50/D92))</f>
      </c>
      <c r="F92" s="60">
        <f>IF(AND(ISNUMBER(D92),D92&gt;0,ISNUMBER(E92)),E92/D92,"")</f>
      </c>
      <c r="G92" s="60">
        <f>IF(AND(ISNUMBER(F92),ISNUMBER($D$55)),F92*$D$55,"")</f>
      </c>
      <c r="H92" s="57">
        <f>IF(ISNUMBER(F92),F92*$D$45,"")</f>
      </c>
      <c r="I92" s="57">
        <f>IF(AND(ISNUMBER(H92),ISNUMBER($D$55)),H92*$D$55,"")</f>
      </c>
      <c r="J92" s="57">
        <f>IF(D92="","",E92-E91)</f>
      </c>
      <c r="K92" s="57">
        <f>IF(D92="","",IF(OR(OR($G$40="flap",$G$40="four-stock"),$G$40="pons"),L92-L91,J92*(1+$G$42)))</f>
      </c>
      <c r="L92" s="66">
        <f>IF(D92="","",$J$41+IF($G$40="pons",($G$50/($G$48-MAX(0,(C92-$G$43)*$D$45))-$G$49)/(1-$G$42-$J$48),IF($G$40="four-stock",(E92-$G$49)/(1-$G$42),(E92-$G$49)*(1+$G$42))))</f>
      </c>
    </row>
    <row r="93" ht="20" customHeight="1">
      <c r="C93" s="54">
        <f>IF($G$40="pons",80%+20*0.5%,IF(80.5%+20*0.5%&lt;=100%,80.5%+20*0.5%,""))</f>
      </c>
      <c r="D93" s="57">
        <f>IF(OR(NOT(ISNUMBER(C93)),C93&gt;=$D$54,IF(OR($G$40="flap",$G$40="four-stock"),$G$48-(C93-$G$43)*$D$45/(1-$J$46),IF($G$40="pons",$D$45*(1-C93)-$G$51,IF(ABS(C93-$G$43)&lt;0.000001,$G$48,$D$45*(1-C93))))&lt;=0,AND($G$40="pons",$G$48-MAX(0,(C93-$G$43)*$D$45)&lt;=0)),"",IF(OR($G$40="flap",$G$40="four-stock"),$G$48-(C93-$G$43)*$D$45/(1-$J$46),IF($G$40="pons",$D$45*(1-C93)-$G$51,IF(ABS(C93-$G$43)&lt;0.000001,$G$48,$D$45*(1-C93)))))</f>
      </c>
      <c r="E93" s="57">
        <f>IF(D93="","",IF(ABS(C93-$G$43)&lt;0.000001,$G$49,$G$50/D93))</f>
      </c>
      <c r="F93" s="60">
        <f>IF(AND(ISNUMBER(D93),D93&gt;0,ISNUMBER(E93)),E93/D93,"")</f>
      </c>
      <c r="G93" s="60">
        <f>IF(AND(ISNUMBER(F93),ISNUMBER($D$55)),F93*$D$55,"")</f>
      </c>
      <c r="H93" s="57">
        <f>IF(ISNUMBER(F93),F93*$D$45,"")</f>
      </c>
      <c r="I93" s="57">
        <f>IF(AND(ISNUMBER(H93),ISNUMBER($D$55)),H93*$D$55,"")</f>
      </c>
      <c r="J93" s="57">
        <f>IF(D93="","",E93-E92)</f>
      </c>
      <c r="K93" s="57">
        <f>IF(D93="","",IF(OR(OR($G$40="flap",$G$40="four-stock"),$G$40="pons"),L93-L92,J93*(1+$G$42)))</f>
      </c>
      <c r="L93" s="66">
        <f>IF(D93="","",$J$41+IF($G$40="pons",($G$50/($G$48-MAX(0,(C93-$G$43)*$D$45))-$G$49)/(1-$G$42-$J$48),IF($G$40="four-stock",(E93-$G$49)/(1-$G$42),(E93-$G$49)*(1+$G$42))))</f>
      </c>
    </row>
    <row r="94" ht="20" customHeight="1">
      <c r="C94" s="54">
        <f>IF($G$40="pons",80%+21*0.5%,IF(80.5%+21*0.5%&lt;=100%,80.5%+21*0.5%,""))</f>
      </c>
      <c r="D94" s="57">
        <f>IF(OR(NOT(ISNUMBER(C94)),C94&gt;=$D$54,IF(OR($G$40="flap",$G$40="four-stock"),$G$48-(C94-$G$43)*$D$45/(1-$J$46),IF($G$40="pons",$D$45*(1-C94)-$G$51,IF(ABS(C94-$G$43)&lt;0.000001,$G$48,$D$45*(1-C94))))&lt;=0,AND($G$40="pons",$G$48-MAX(0,(C94-$G$43)*$D$45)&lt;=0)),"",IF(OR($G$40="flap",$G$40="four-stock"),$G$48-(C94-$G$43)*$D$45/(1-$J$46),IF($G$40="pons",$D$45*(1-C94)-$G$51,IF(ABS(C94-$G$43)&lt;0.000001,$G$48,$D$45*(1-C94)))))</f>
      </c>
      <c r="E94" s="57">
        <f>IF(D94="","",IF(ABS(C94-$G$43)&lt;0.000001,$G$49,$G$50/D94))</f>
      </c>
      <c r="F94" s="60">
        <f>IF(AND(ISNUMBER(D94),D94&gt;0,ISNUMBER(E94)),E94/D94,"")</f>
      </c>
      <c r="G94" s="60">
        <f>IF(AND(ISNUMBER(F94),ISNUMBER($D$55)),F94*$D$55,"")</f>
      </c>
      <c r="H94" s="57">
        <f>IF(ISNUMBER(F94),F94*$D$45,"")</f>
      </c>
      <c r="I94" s="57">
        <f>IF(AND(ISNUMBER(H94),ISNUMBER($D$55)),H94*$D$55,"")</f>
      </c>
      <c r="J94" s="57">
        <f>IF(D94="","",E94-E93)</f>
      </c>
      <c r="K94" s="57">
        <f>IF(D94="","",IF(OR(OR($G$40="flap",$G$40="four-stock"),$G$40="pons"),L94-L93,J94*(1+$G$42)))</f>
      </c>
      <c r="L94" s="66">
        <f>IF(D94="","",$J$41+IF($G$40="pons",($G$50/($G$48-MAX(0,(C94-$G$43)*$D$45))-$G$49)/(1-$G$42-$J$48),IF($G$40="four-stock",(E94-$G$49)/(1-$G$42),(E94-$G$49)*(1+$G$42))))</f>
      </c>
    </row>
    <row r="95" ht="20" customHeight="1">
      <c r="C95" s="54">
        <f>IF($G$40="pons",80%+22*0.5%,IF(80.5%+22*0.5%&lt;=100%,80.5%+22*0.5%,""))</f>
      </c>
      <c r="D95" s="57">
        <f>IF(OR(NOT(ISNUMBER(C95)),C95&gt;=$D$54,IF(OR($G$40="flap",$G$40="four-stock"),$G$48-(C95-$G$43)*$D$45/(1-$J$46),IF($G$40="pons",$D$45*(1-C95)-$G$51,IF(ABS(C95-$G$43)&lt;0.000001,$G$48,$D$45*(1-C95))))&lt;=0,AND($G$40="pons",$G$48-MAX(0,(C95-$G$43)*$D$45)&lt;=0)),"",IF(OR($G$40="flap",$G$40="four-stock"),$G$48-(C95-$G$43)*$D$45/(1-$J$46),IF($G$40="pons",$D$45*(1-C95)-$G$51,IF(ABS(C95-$G$43)&lt;0.000001,$G$48,$D$45*(1-C95)))))</f>
      </c>
      <c r="E95" s="57">
        <f>IF(D95="","",IF(ABS(C95-$G$43)&lt;0.000001,$G$49,$G$50/D95))</f>
      </c>
      <c r="F95" s="60">
        <f>IF(AND(ISNUMBER(D95),D95&gt;0,ISNUMBER(E95)),E95/D95,"")</f>
      </c>
      <c r="G95" s="60">
        <f>IF(AND(ISNUMBER(F95),ISNUMBER($D$55)),F95*$D$55,"")</f>
      </c>
      <c r="H95" s="57">
        <f>IF(ISNUMBER(F95),F95*$D$45,"")</f>
      </c>
      <c r="I95" s="57">
        <f>IF(AND(ISNUMBER(H95),ISNUMBER($D$55)),H95*$D$55,"")</f>
      </c>
      <c r="J95" s="57">
        <f>IF(D95="","",E95-E94)</f>
      </c>
      <c r="K95" s="57">
        <f>IF(D95="","",IF(OR(OR($G$40="flap",$G$40="four-stock"),$G$40="pons"),L95-L94,J95*(1+$G$42)))</f>
      </c>
      <c r="L95" s="66">
        <f>IF(D95="","",$J$41+IF($G$40="pons",($G$50/($G$48-MAX(0,(C95-$G$43)*$D$45))-$G$49)/(1-$G$42-$J$48),IF($G$40="four-stock",(E95-$G$49)/(1-$G$42),(E95-$G$49)*(1+$G$42))))</f>
      </c>
    </row>
    <row r="96" ht="20" customHeight="1">
      <c r="C96" s="54">
        <f>IF($G$40="pons",80%+23*0.5%,IF(80.5%+23*0.5%&lt;=100%,80.5%+23*0.5%,""))</f>
      </c>
      <c r="D96" s="57">
        <f>IF(OR(NOT(ISNUMBER(C96)),C96&gt;=$D$54,IF(OR($G$40="flap",$G$40="four-stock"),$G$48-(C96-$G$43)*$D$45/(1-$J$46),IF($G$40="pons",$D$45*(1-C96)-$G$51,IF(ABS(C96-$G$43)&lt;0.000001,$G$48,$D$45*(1-C96))))&lt;=0,AND($G$40="pons",$G$48-MAX(0,(C96-$G$43)*$D$45)&lt;=0)),"",IF(OR($G$40="flap",$G$40="four-stock"),$G$48-(C96-$G$43)*$D$45/(1-$J$46),IF($G$40="pons",$D$45*(1-C96)-$G$51,IF(ABS(C96-$G$43)&lt;0.000001,$G$48,$D$45*(1-C96)))))</f>
      </c>
      <c r="E96" s="57">
        <f>IF(D96="","",IF(ABS(C96-$G$43)&lt;0.000001,$G$49,$G$50/D96))</f>
      </c>
      <c r="F96" s="60">
        <f>IF(AND(ISNUMBER(D96),D96&gt;0,ISNUMBER(E96)),E96/D96,"")</f>
      </c>
      <c r="G96" s="60">
        <f>IF(AND(ISNUMBER(F96),ISNUMBER($D$55)),F96*$D$55,"")</f>
      </c>
      <c r="H96" s="57">
        <f>IF(ISNUMBER(F96),F96*$D$45,"")</f>
      </c>
      <c r="I96" s="57">
        <f>IF(AND(ISNUMBER(H96),ISNUMBER($D$55)),H96*$D$55,"")</f>
      </c>
      <c r="J96" s="57">
        <f>IF(D96="","",E96-E95)</f>
      </c>
      <c r="K96" s="57">
        <f>IF(D96="","",IF(OR(OR($G$40="flap",$G$40="four-stock"),$G$40="pons"),L96-L95,J96*(1+$G$42)))</f>
      </c>
      <c r="L96" s="66">
        <f>IF(D96="","",$J$41+IF($G$40="pons",($G$50/($G$48-MAX(0,(C96-$G$43)*$D$45))-$G$49)/(1-$G$42-$J$48),IF($G$40="four-stock",(E96-$G$49)/(1-$G$42),(E96-$G$49)*(1+$G$42))))</f>
      </c>
    </row>
    <row r="97" ht="20" customHeight="1">
      <c r="C97" s="54">
        <f>IF($G$40="pons",80%+24*0.5%,IF(80.5%+24*0.5%&lt;=100%,80.5%+24*0.5%,""))</f>
      </c>
      <c r="D97" s="57">
        <f>IF(OR(NOT(ISNUMBER(C97)),C97&gt;=$D$54,IF(OR($G$40="flap",$G$40="four-stock"),$G$48-(C97-$G$43)*$D$45/(1-$J$46),IF($G$40="pons",$D$45*(1-C97)-$G$51,IF(ABS(C97-$G$43)&lt;0.000001,$G$48,$D$45*(1-C97))))&lt;=0,AND($G$40="pons",$G$48-MAX(0,(C97-$G$43)*$D$45)&lt;=0)),"",IF(OR($G$40="flap",$G$40="four-stock"),$G$48-(C97-$G$43)*$D$45/(1-$J$46),IF($G$40="pons",$D$45*(1-C97)-$G$51,IF(ABS(C97-$G$43)&lt;0.000001,$G$48,$D$45*(1-C97)))))</f>
      </c>
      <c r="E97" s="57">
        <f>IF(D97="","",IF(ABS(C97-$G$43)&lt;0.000001,$G$49,$G$50/D97))</f>
      </c>
      <c r="F97" s="60">
        <f>IF(AND(ISNUMBER(D97),D97&gt;0,ISNUMBER(E97)),E97/D97,"")</f>
      </c>
      <c r="G97" s="60">
        <f>IF(AND(ISNUMBER(F97),ISNUMBER($D$55)),F97*$D$55,"")</f>
      </c>
      <c r="H97" s="57">
        <f>IF(ISNUMBER(F97),F97*$D$45,"")</f>
      </c>
      <c r="I97" s="57">
        <f>IF(AND(ISNUMBER(H97),ISNUMBER($D$55)),H97*$D$55,"")</f>
      </c>
      <c r="J97" s="57">
        <f>IF(D97="","",E97-E96)</f>
      </c>
      <c r="K97" s="57">
        <f>IF(D97="","",IF(OR(OR($G$40="flap",$G$40="four-stock"),$G$40="pons"),L97-L96,J97*(1+$G$42)))</f>
      </c>
      <c r="L97" s="66">
        <f>IF(D97="","",$J$41+IF($G$40="pons",($G$50/($G$48-MAX(0,(C97-$G$43)*$D$45))-$G$49)/(1-$G$42-$J$48),IF($G$40="four-stock",(E97-$G$49)/(1-$G$42),(E97-$G$49)*(1+$G$42))))</f>
      </c>
    </row>
    <row r="98" ht="20" customHeight="1">
      <c r="C98" s="54">
        <f>IF($G$40="pons",80%+25*0.5%,IF(80.5%+25*0.5%&lt;=100%,80.5%+25*0.5%,""))</f>
      </c>
      <c r="D98" s="57">
        <f>IF(OR(NOT(ISNUMBER(C98)),C98&gt;=$D$54,IF(OR($G$40="flap",$G$40="four-stock"),$G$48-(C98-$G$43)*$D$45/(1-$J$46),IF($G$40="pons",$D$45*(1-C98)-$G$51,IF(ABS(C98-$G$43)&lt;0.000001,$G$48,$D$45*(1-C98))))&lt;=0,AND($G$40="pons",$G$48-MAX(0,(C98-$G$43)*$D$45)&lt;=0)),"",IF(OR($G$40="flap",$G$40="four-stock"),$G$48-(C98-$G$43)*$D$45/(1-$J$46),IF($G$40="pons",$D$45*(1-C98)-$G$51,IF(ABS(C98-$G$43)&lt;0.000001,$G$48,$D$45*(1-C98)))))</f>
      </c>
      <c r="E98" s="57">
        <f>IF(D98="","",IF(ABS(C98-$G$43)&lt;0.000001,$G$49,$G$50/D98))</f>
      </c>
      <c r="F98" s="60">
        <f>IF(AND(ISNUMBER(D98),D98&gt;0,ISNUMBER(E98)),E98/D98,"")</f>
      </c>
      <c r="G98" s="60">
        <f>IF(AND(ISNUMBER(F98),ISNUMBER($D$55)),F98*$D$55,"")</f>
      </c>
      <c r="H98" s="57">
        <f>IF(ISNUMBER(F98),F98*$D$45,"")</f>
      </c>
      <c r="I98" s="57">
        <f>IF(AND(ISNUMBER(H98),ISNUMBER($D$55)),H98*$D$55,"")</f>
      </c>
      <c r="J98" s="57">
        <f>IF(D98="","",E98-E97)</f>
      </c>
      <c r="K98" s="57">
        <f>IF(D98="","",IF(OR(OR($G$40="flap",$G$40="four-stock"),$G$40="pons"),L98-L97,J98*(1+$G$42)))</f>
      </c>
      <c r="L98" s="66">
        <f>IF(D98="","",$J$41+IF($G$40="pons",($G$50/($G$48-MAX(0,(C98-$G$43)*$D$45))-$G$49)/(1-$G$42-$J$48),IF($G$40="four-stock",(E98-$G$49)/(1-$G$42),(E98-$G$49)*(1+$G$42))))</f>
      </c>
    </row>
    <row r="99" ht="20" customHeight="1">
      <c r="C99" s="54">
        <f>IF($G$40="pons",80%+26*0.5%,IF(80.5%+26*0.5%&lt;=100%,80.5%+26*0.5%,""))</f>
      </c>
      <c r="D99" s="57">
        <f>IF(OR(NOT(ISNUMBER(C99)),C99&gt;=$D$54,IF(OR($G$40="flap",$G$40="four-stock"),$G$48-(C99-$G$43)*$D$45/(1-$J$46),IF($G$40="pons",$D$45*(1-C99)-$G$51,IF(ABS(C99-$G$43)&lt;0.000001,$G$48,$D$45*(1-C99))))&lt;=0,AND($G$40="pons",$G$48-MAX(0,(C99-$G$43)*$D$45)&lt;=0)),"",IF(OR($G$40="flap",$G$40="four-stock"),$G$48-(C99-$G$43)*$D$45/(1-$J$46),IF($G$40="pons",$D$45*(1-C99)-$G$51,IF(ABS(C99-$G$43)&lt;0.000001,$G$48,$D$45*(1-C99)))))</f>
      </c>
      <c r="E99" s="57">
        <f>IF(D99="","",IF(ABS(C99-$G$43)&lt;0.000001,$G$49,$G$50/D99))</f>
      </c>
      <c r="F99" s="60">
        <f>IF(AND(ISNUMBER(D99),D99&gt;0,ISNUMBER(E99)),E99/D99,"")</f>
      </c>
      <c r="G99" s="60">
        <f>IF(AND(ISNUMBER(F99),ISNUMBER($D$55)),F99*$D$55,"")</f>
      </c>
      <c r="H99" s="57">
        <f>IF(ISNUMBER(F99),F99*$D$45,"")</f>
      </c>
      <c r="I99" s="57">
        <f>IF(AND(ISNUMBER(H99),ISNUMBER($D$55)),H99*$D$55,"")</f>
      </c>
      <c r="J99" s="57">
        <f>IF(D99="","",E99-E98)</f>
      </c>
      <c r="K99" s="57">
        <f>IF(D99="","",IF(OR(OR($G$40="flap",$G$40="four-stock"),$G$40="pons"),L99-L98,J99*(1+$G$42)))</f>
      </c>
      <c r="L99" s="66">
        <f>IF(D99="","",$J$41+IF($G$40="pons",($G$50/($G$48-MAX(0,(C99-$G$43)*$D$45))-$G$49)/(1-$G$42-$J$48),IF($G$40="four-stock",(E99-$G$49)/(1-$G$42),(E99-$G$49)*(1+$G$42))))</f>
      </c>
    </row>
    <row r="100" ht="20" customHeight="1">
      <c r="C100" s="54">
        <f>IF($G$40="pons",80%+27*0.5%,IF(80.5%+27*0.5%&lt;=100%,80.5%+27*0.5%,""))</f>
      </c>
      <c r="D100" s="57">
        <f>IF(OR(NOT(ISNUMBER(C100)),C100&gt;=$D$54,IF(OR($G$40="flap",$G$40="four-stock"),$G$48-(C100-$G$43)*$D$45/(1-$J$46),IF($G$40="pons",$D$45*(1-C100)-$G$51,IF(ABS(C100-$G$43)&lt;0.000001,$G$48,$D$45*(1-C100))))&lt;=0,AND($G$40="pons",$G$48-MAX(0,(C100-$G$43)*$D$45)&lt;=0)),"",IF(OR($G$40="flap",$G$40="four-stock"),$G$48-(C100-$G$43)*$D$45/(1-$J$46),IF($G$40="pons",$D$45*(1-C100)-$G$51,IF(ABS(C100-$G$43)&lt;0.000001,$G$48,$D$45*(1-C100)))))</f>
      </c>
      <c r="E100" s="57">
        <f>IF(D100="","",IF(ABS(C100-$G$43)&lt;0.000001,$G$49,$G$50/D100))</f>
      </c>
      <c r="F100" s="60">
        <f>IF(AND(ISNUMBER(D100),D100&gt;0,ISNUMBER(E100)),E100/D100,"")</f>
      </c>
      <c r="G100" s="60">
        <f>IF(AND(ISNUMBER(F100),ISNUMBER($D$55)),F100*$D$55,"")</f>
      </c>
      <c r="H100" s="57">
        <f>IF(ISNUMBER(F100),F100*$D$45,"")</f>
      </c>
      <c r="I100" s="57">
        <f>IF(AND(ISNUMBER(H100),ISNUMBER($D$55)),H100*$D$55,"")</f>
      </c>
      <c r="J100" s="57">
        <f>IF(D100="","",E100-E99)</f>
      </c>
      <c r="K100" s="57">
        <f>IF(D100="","",IF(OR(OR($G$40="flap",$G$40="four-stock"),$G$40="pons"),L100-L99,J100*(1+$G$42)))</f>
      </c>
      <c r="L100" s="66">
        <f>IF(D100="","",$J$41+IF($G$40="pons",($G$50/($G$48-MAX(0,(C100-$G$43)*$D$45))-$G$49)/(1-$G$42-$J$48),IF($G$40="four-stock",(E100-$G$49)/(1-$G$42),(E100-$G$49)*(1+$G$42))))</f>
      </c>
    </row>
    <row r="101" ht="20" customHeight="1">
      <c r="C101" s="54">
        <f>IF($G$40="pons",80%+28*0.5%,IF(80.5%+28*0.5%&lt;=100%,80.5%+28*0.5%,""))</f>
      </c>
      <c r="D101" s="57">
        <f>IF(OR(NOT(ISNUMBER(C101)),C101&gt;=$D$54,IF(OR($G$40="flap",$G$40="four-stock"),$G$48-(C101-$G$43)*$D$45/(1-$J$46),IF($G$40="pons",$D$45*(1-C101)-$G$51,IF(ABS(C101-$G$43)&lt;0.000001,$G$48,$D$45*(1-C101))))&lt;=0,AND($G$40="pons",$G$48-MAX(0,(C101-$G$43)*$D$45)&lt;=0)),"",IF(OR($G$40="flap",$G$40="four-stock"),$G$48-(C101-$G$43)*$D$45/(1-$J$46),IF($G$40="pons",$D$45*(1-C101)-$G$51,IF(ABS(C101-$G$43)&lt;0.000001,$G$48,$D$45*(1-C101)))))</f>
      </c>
      <c r="E101" s="57">
        <f>IF(D101="","",IF(ABS(C101-$G$43)&lt;0.000001,$G$49,$G$50/D101))</f>
      </c>
      <c r="F101" s="60">
        <f>IF(AND(ISNUMBER(D101),D101&gt;0,ISNUMBER(E101)),E101/D101,"")</f>
      </c>
      <c r="G101" s="60">
        <f>IF(AND(ISNUMBER(F101),ISNUMBER($D$55)),F101*$D$55,"")</f>
      </c>
      <c r="H101" s="57">
        <f>IF(ISNUMBER(F101),F101*$D$45,"")</f>
      </c>
      <c r="I101" s="57">
        <f>IF(AND(ISNUMBER(H101),ISNUMBER($D$55)),H101*$D$55,"")</f>
      </c>
      <c r="J101" s="57">
        <f>IF(D101="","",E101-E100)</f>
      </c>
      <c r="K101" s="57">
        <f>IF(D101="","",IF(OR(OR($G$40="flap",$G$40="four-stock"),$G$40="pons"),L101-L100,J101*(1+$G$42)))</f>
      </c>
      <c r="L101" s="66">
        <f>IF(D101="","",$J$41+IF($G$40="pons",($G$50/($G$48-MAX(0,(C101-$G$43)*$D$45))-$G$49)/(1-$G$42-$J$48),IF($G$40="four-stock",(E101-$G$49)/(1-$G$42),(E101-$G$49)*(1+$G$42))))</f>
      </c>
    </row>
    <row r="102" ht="20" customHeight="1">
      <c r="C102" s="54">
        <f>IF($G$40="pons",80%+29*0.5%,IF(80.5%+29*0.5%&lt;=100%,80.5%+29*0.5%,""))</f>
      </c>
      <c r="D102" s="57">
        <f>IF(OR(NOT(ISNUMBER(C102)),C102&gt;=$D$54,IF(OR($G$40="flap",$G$40="four-stock"),$G$48-(C102-$G$43)*$D$45/(1-$J$46),IF($G$40="pons",$D$45*(1-C102)-$G$51,IF(ABS(C102-$G$43)&lt;0.000001,$G$48,$D$45*(1-C102))))&lt;=0,AND($G$40="pons",$G$48-MAX(0,(C102-$G$43)*$D$45)&lt;=0)),"",IF(OR($G$40="flap",$G$40="four-stock"),$G$48-(C102-$G$43)*$D$45/(1-$J$46),IF($G$40="pons",$D$45*(1-C102)-$G$51,IF(ABS(C102-$G$43)&lt;0.000001,$G$48,$D$45*(1-C102)))))</f>
      </c>
      <c r="E102" s="57">
        <f>IF(D102="","",IF(ABS(C102-$G$43)&lt;0.000001,$G$49,$G$50/D102))</f>
      </c>
      <c r="F102" s="60">
        <f>IF(AND(ISNUMBER(D102),D102&gt;0,ISNUMBER(E102)),E102/D102,"")</f>
      </c>
      <c r="G102" s="60">
        <f>IF(AND(ISNUMBER(F102),ISNUMBER($D$55)),F102*$D$55,"")</f>
      </c>
      <c r="H102" s="57">
        <f>IF(ISNUMBER(F102),F102*$D$45,"")</f>
      </c>
      <c r="I102" s="57">
        <f>IF(AND(ISNUMBER(H102),ISNUMBER($D$55)),H102*$D$55,"")</f>
      </c>
      <c r="J102" s="57">
        <f>IF(D102="","",E102-E101)</f>
      </c>
      <c r="K102" s="57">
        <f>IF(D102="","",IF(OR(OR($G$40="flap",$G$40="four-stock"),$G$40="pons"),L102-L101,J102*(1+$G$42)))</f>
      </c>
      <c r="L102" s="66">
        <f>IF(D102="","",$J$41+IF($G$40="pons",($G$50/($G$48-MAX(0,(C102-$G$43)*$D$45))-$G$49)/(1-$G$42-$J$48),IF($G$40="four-stock",(E102-$G$49)/(1-$G$42),(E102-$G$49)*(1+$G$42))))</f>
      </c>
    </row>
    <row r="103" ht="20" customHeight="1">
      <c r="C103" s="54">
        <f>IF($G$40="pons",80%+30*0.5%,IF(80.5%+30*0.5%&lt;=100%,80.5%+30*0.5%,""))</f>
      </c>
      <c r="D103" s="57">
        <f>IF(OR(NOT(ISNUMBER(C103)),C103&gt;=$D$54,IF(OR($G$40="flap",$G$40="four-stock"),$G$48-(C103-$G$43)*$D$45/(1-$J$46),IF($G$40="pons",$D$45*(1-C103)-$G$51,IF(ABS(C103-$G$43)&lt;0.000001,$G$48,$D$45*(1-C103))))&lt;=0,AND($G$40="pons",$G$48-MAX(0,(C103-$G$43)*$D$45)&lt;=0)),"",IF(OR($G$40="flap",$G$40="four-stock"),$G$48-(C103-$G$43)*$D$45/(1-$J$46),IF($G$40="pons",$D$45*(1-C103)-$G$51,IF(ABS(C103-$G$43)&lt;0.000001,$G$48,$D$45*(1-C103)))))</f>
      </c>
      <c r="E103" s="57">
        <f>IF(D103="","",IF(ABS(C103-$G$43)&lt;0.000001,$G$49,$G$50/D103))</f>
      </c>
      <c r="F103" s="60">
        <f>IF(AND(ISNUMBER(D103),D103&gt;0,ISNUMBER(E103)),E103/D103,"")</f>
      </c>
      <c r="G103" s="60">
        <f>IF(AND(ISNUMBER(F103),ISNUMBER($D$55)),F103*$D$55,"")</f>
      </c>
      <c r="H103" s="57">
        <f>IF(ISNUMBER(F103),F103*$D$45,"")</f>
      </c>
      <c r="I103" s="57">
        <f>IF(AND(ISNUMBER(H103),ISNUMBER($D$55)),H103*$D$55,"")</f>
      </c>
      <c r="J103" s="57">
        <f>IF(D103="","",E103-E102)</f>
      </c>
      <c r="K103" s="57">
        <f>IF(D103="","",IF(OR(OR($G$40="flap",$G$40="four-stock"),$G$40="pons"),L103-L102,J103*(1+$G$42)))</f>
      </c>
      <c r="L103" s="66">
        <f>IF(D103="","",$J$41+IF($G$40="pons",($G$50/($G$48-MAX(0,(C103-$G$43)*$D$45))-$G$49)/(1-$G$42-$J$48),IF($G$40="four-stock",(E103-$G$49)/(1-$G$42),(E103-$G$49)*(1+$G$42))))</f>
      </c>
    </row>
    <row r="104" ht="20" customHeight="1">
      <c r="C104" s="54">
        <f>IF($G$40="pons",80%+31*0.5%,IF(80.5%+31*0.5%&lt;=100%,80.5%+31*0.5%,""))</f>
      </c>
      <c r="D104" s="57">
        <f>IF(OR(NOT(ISNUMBER(C104)),C104&gt;=$D$54,IF(OR($G$40="flap",$G$40="four-stock"),$G$48-(C104-$G$43)*$D$45/(1-$J$46),IF($G$40="pons",$D$45*(1-C104)-$G$51,IF(ABS(C104-$G$43)&lt;0.000001,$G$48,$D$45*(1-C104))))&lt;=0,AND($G$40="pons",$G$48-MAX(0,(C104-$G$43)*$D$45)&lt;=0)),"",IF(OR($G$40="flap",$G$40="four-stock"),$G$48-(C104-$G$43)*$D$45/(1-$J$46),IF($G$40="pons",$D$45*(1-C104)-$G$51,IF(ABS(C104-$G$43)&lt;0.000001,$G$48,$D$45*(1-C104)))))</f>
      </c>
      <c r="E104" s="57">
        <f>IF(D104="","",IF(ABS(C104-$G$43)&lt;0.000001,$G$49,$G$50/D104))</f>
      </c>
      <c r="F104" s="60">
        <f>IF(AND(ISNUMBER(D104),D104&gt;0,ISNUMBER(E104)),E104/D104,"")</f>
      </c>
      <c r="G104" s="60">
        <f>IF(AND(ISNUMBER(F104),ISNUMBER($D$55)),F104*$D$55,"")</f>
      </c>
      <c r="H104" s="57">
        <f>IF(ISNUMBER(F104),F104*$D$45,"")</f>
      </c>
      <c r="I104" s="57">
        <f>IF(AND(ISNUMBER(H104),ISNUMBER($D$55)),H104*$D$55,"")</f>
      </c>
      <c r="J104" s="57">
        <f>IF(D104="","",E104-E103)</f>
      </c>
      <c r="K104" s="57">
        <f>IF(D104="","",IF(OR(OR($G$40="flap",$G$40="four-stock"),$G$40="pons"),L104-L103,J104*(1+$G$42)))</f>
      </c>
      <c r="L104" s="66">
        <f>IF(D104="","",$J$41+IF($G$40="pons",($G$50/($G$48-MAX(0,(C104-$G$43)*$D$45))-$G$49)/(1-$G$42-$J$48),IF($G$40="four-stock",(E104-$G$49)/(1-$G$42),(E104-$G$49)*(1+$G$42))))</f>
      </c>
    </row>
    <row r="105" ht="20" customHeight="1">
      <c r="C105" s="54">
        <f>IF($G$40="pons",80%+32*0.5%,IF(80.5%+32*0.5%&lt;=100%,80.5%+32*0.5%,""))</f>
      </c>
      <c r="D105" s="57">
        <f>IF(OR(NOT(ISNUMBER(C105)),C105&gt;=$D$54,IF(OR($G$40="flap",$G$40="four-stock"),$G$48-(C105-$G$43)*$D$45/(1-$J$46),IF($G$40="pons",$D$45*(1-C105)-$G$51,IF(ABS(C105-$G$43)&lt;0.000001,$G$48,$D$45*(1-C105))))&lt;=0,AND($G$40="pons",$G$48-MAX(0,(C105-$G$43)*$D$45)&lt;=0)),"",IF(OR($G$40="flap",$G$40="four-stock"),$G$48-(C105-$G$43)*$D$45/(1-$J$46),IF($G$40="pons",$D$45*(1-C105)-$G$51,IF(ABS(C105-$G$43)&lt;0.000001,$G$48,$D$45*(1-C105)))))</f>
      </c>
      <c r="E105" s="57">
        <f>IF(D105="","",IF(ABS(C105-$G$43)&lt;0.000001,$G$49,$G$50/D105))</f>
      </c>
      <c r="F105" s="60">
        <f>IF(AND(ISNUMBER(D105),D105&gt;0,ISNUMBER(E105)),E105/D105,"")</f>
      </c>
      <c r="G105" s="60">
        <f>IF(AND(ISNUMBER(F105),ISNUMBER($D$55)),F105*$D$55,"")</f>
      </c>
      <c r="H105" s="57">
        <f>IF(ISNUMBER(F105),F105*$D$45,"")</f>
      </c>
      <c r="I105" s="57">
        <f>IF(AND(ISNUMBER(H105),ISNUMBER($D$55)),H105*$D$55,"")</f>
      </c>
      <c r="J105" s="57">
        <f>IF(D105="","",E105-E104)</f>
      </c>
      <c r="K105" s="57">
        <f>IF(D105="","",IF(OR(OR($G$40="flap",$G$40="four-stock"),$G$40="pons"),L105-L104,J105*(1+$G$42)))</f>
      </c>
      <c r="L105" s="66">
        <f>IF(D105="","",$J$41+IF($G$40="pons",($G$50/($G$48-MAX(0,(C105-$G$43)*$D$45))-$G$49)/(1-$G$42-$J$48),IF($G$40="four-stock",(E105-$G$49)/(1-$G$42),(E105-$G$49)*(1+$G$42))))</f>
      </c>
    </row>
    <row r="106" ht="20" customHeight="1">
      <c r="C106" s="54">
        <f>IF($G$40="pons",80%+33*0.5%,IF(80.5%+33*0.5%&lt;=100%,80.5%+33*0.5%,""))</f>
      </c>
      <c r="D106" s="57">
        <f>IF(OR(NOT(ISNUMBER(C106)),C106&gt;=$D$54,IF(OR($G$40="flap",$G$40="four-stock"),$G$48-(C106-$G$43)*$D$45/(1-$J$46),IF($G$40="pons",$D$45*(1-C106)-$G$51,IF(ABS(C106-$G$43)&lt;0.000001,$G$48,$D$45*(1-C106))))&lt;=0,AND($G$40="pons",$G$48-MAX(0,(C106-$G$43)*$D$45)&lt;=0)),"",IF(OR($G$40="flap",$G$40="four-stock"),$G$48-(C106-$G$43)*$D$45/(1-$J$46),IF($G$40="pons",$D$45*(1-C106)-$G$51,IF(ABS(C106-$G$43)&lt;0.000001,$G$48,$D$45*(1-C106)))))</f>
      </c>
      <c r="E106" s="57">
        <f>IF(D106="","",IF(ABS(C106-$G$43)&lt;0.000001,$G$49,$G$50/D106))</f>
      </c>
      <c r="F106" s="60">
        <f>IF(AND(ISNUMBER(D106),D106&gt;0,ISNUMBER(E106)),E106/D106,"")</f>
      </c>
      <c r="G106" s="60">
        <f>IF(AND(ISNUMBER(F106),ISNUMBER($D$55)),F106*$D$55,"")</f>
      </c>
      <c r="H106" s="57">
        <f>IF(ISNUMBER(F106),F106*$D$45,"")</f>
      </c>
      <c r="I106" s="57">
        <f>IF(AND(ISNUMBER(H106),ISNUMBER($D$55)),H106*$D$55,"")</f>
      </c>
      <c r="J106" s="57">
        <f>IF(D106="","",E106-E105)</f>
      </c>
      <c r="K106" s="57">
        <f>IF(D106="","",IF(OR(OR($G$40="flap",$G$40="four-stock"),$G$40="pons"),L106-L105,J106*(1+$G$42)))</f>
      </c>
      <c r="L106" s="66">
        <f>IF(D106="","",$J$41+IF($G$40="pons",($G$50/($G$48-MAX(0,(C106-$G$43)*$D$45))-$G$49)/(1-$G$42-$J$48),IF($G$40="four-stock",(E106-$G$49)/(1-$G$42),(E106-$G$49)*(1+$G$42))))</f>
      </c>
    </row>
    <row r="107" ht="20" customHeight="1">
      <c r="C107" s="54">
        <f>IF($G$40="pons",80%+34*0.5%,IF(80.5%+34*0.5%&lt;=100%,80.5%+34*0.5%,""))</f>
      </c>
      <c r="D107" s="57">
        <f>IF(OR(NOT(ISNUMBER(C107)),C107&gt;=$D$54,IF(OR($G$40="flap",$G$40="four-stock"),$G$48-(C107-$G$43)*$D$45/(1-$J$46),IF($G$40="pons",$D$45*(1-C107)-$G$51,IF(ABS(C107-$G$43)&lt;0.000001,$G$48,$D$45*(1-C107))))&lt;=0,AND($G$40="pons",$G$48-MAX(0,(C107-$G$43)*$D$45)&lt;=0)),"",IF(OR($G$40="flap",$G$40="four-stock"),$G$48-(C107-$G$43)*$D$45/(1-$J$46),IF($G$40="pons",$D$45*(1-C107)-$G$51,IF(ABS(C107-$G$43)&lt;0.000001,$G$48,$D$45*(1-C107)))))</f>
      </c>
      <c r="E107" s="57">
        <f>IF(D107="","",IF(ABS(C107-$G$43)&lt;0.000001,$G$49,$G$50/D107))</f>
      </c>
      <c r="F107" s="60">
        <f>IF(AND(ISNUMBER(D107),D107&gt;0,ISNUMBER(E107)),E107/D107,"")</f>
      </c>
      <c r="G107" s="60">
        <f>IF(AND(ISNUMBER(F107),ISNUMBER($D$55)),F107*$D$55,"")</f>
      </c>
      <c r="H107" s="57">
        <f>IF(ISNUMBER(F107),F107*$D$45,"")</f>
      </c>
      <c r="I107" s="57">
        <f>IF(AND(ISNUMBER(H107),ISNUMBER($D$55)),H107*$D$55,"")</f>
      </c>
      <c r="J107" s="57">
        <f>IF(D107="","",E107-E106)</f>
      </c>
      <c r="K107" s="57">
        <f>IF(D107="","",IF(OR(OR($G$40="flap",$G$40="four-stock"),$G$40="pons"),L107-L106,J107*(1+$G$42)))</f>
      </c>
      <c r="L107" s="66">
        <f>IF(D107="","",$J$41+IF($G$40="pons",($G$50/($G$48-MAX(0,(C107-$G$43)*$D$45))-$G$49)/(1-$G$42-$J$48),IF($G$40="four-stock",(E107-$G$49)/(1-$G$42),(E107-$G$49)*(1+$G$42))))</f>
      </c>
    </row>
    <row r="108" ht="20" customHeight="1">
      <c r="C108" s="54">
        <f>IF($G$40="pons",80%+35*0.5%,IF(80.5%+35*0.5%&lt;=100%,80.5%+35*0.5%,""))</f>
      </c>
      <c r="D108" s="57">
        <f>IF(OR(NOT(ISNUMBER(C108)),C108&gt;=$D$54,IF(OR($G$40="flap",$G$40="four-stock"),$G$48-(C108-$G$43)*$D$45/(1-$J$46),IF($G$40="pons",$D$45*(1-C108)-$G$51,IF(ABS(C108-$G$43)&lt;0.000001,$G$48,$D$45*(1-C108))))&lt;=0,AND($G$40="pons",$G$48-MAX(0,(C108-$G$43)*$D$45)&lt;=0)),"",IF(OR($G$40="flap",$G$40="four-stock"),$G$48-(C108-$G$43)*$D$45/(1-$J$46),IF($G$40="pons",$D$45*(1-C108)-$G$51,IF(ABS(C108-$G$43)&lt;0.000001,$G$48,$D$45*(1-C108)))))</f>
      </c>
      <c r="E108" s="57">
        <f>IF(D108="","",IF(ABS(C108-$G$43)&lt;0.000001,$G$49,$G$50/D108))</f>
      </c>
      <c r="F108" s="60">
        <f>IF(AND(ISNUMBER(D108),D108&gt;0,ISNUMBER(E108)),E108/D108,"")</f>
      </c>
      <c r="G108" s="60">
        <f>IF(AND(ISNUMBER(F108),ISNUMBER($D$55)),F108*$D$55,"")</f>
      </c>
      <c r="H108" s="57">
        <f>IF(ISNUMBER(F108),F108*$D$45,"")</f>
      </c>
      <c r="I108" s="57">
        <f>IF(AND(ISNUMBER(H108),ISNUMBER($D$55)),H108*$D$55,"")</f>
      </c>
      <c r="J108" s="57">
        <f>IF(D108="","",E108-E107)</f>
      </c>
      <c r="K108" s="57">
        <f>IF(D108="","",IF(OR(OR($G$40="flap",$G$40="four-stock"),$G$40="pons"),L108-L107,J108*(1+$G$42)))</f>
      </c>
      <c r="L108" s="66">
        <f>IF(D108="","",$J$41+IF($G$40="pons",($G$50/($G$48-MAX(0,(C108-$G$43)*$D$45))-$G$49)/(1-$G$42-$J$48),IF($G$40="four-stock",(E108-$G$49)/(1-$G$42),(E108-$G$49)*(1+$G$42))))</f>
      </c>
    </row>
    <row r="109" ht="20" customHeight="1">
      <c r="C109" s="54">
        <f>IF($G$40="pons",80%+36*0.5%,IF(80.5%+36*0.5%&lt;=100%,80.5%+36*0.5%,""))</f>
      </c>
      <c r="D109" s="57">
        <f>IF(OR(NOT(ISNUMBER(C109)),C109&gt;=$D$54,IF(OR($G$40="flap",$G$40="four-stock"),$G$48-(C109-$G$43)*$D$45/(1-$J$46),IF($G$40="pons",$D$45*(1-C109)-$G$51,IF(ABS(C109-$G$43)&lt;0.000001,$G$48,$D$45*(1-C109))))&lt;=0,AND($G$40="pons",$G$48-MAX(0,(C109-$G$43)*$D$45)&lt;=0)),"",IF(OR($G$40="flap",$G$40="four-stock"),$G$48-(C109-$G$43)*$D$45/(1-$J$46),IF($G$40="pons",$D$45*(1-C109)-$G$51,IF(ABS(C109-$G$43)&lt;0.000001,$G$48,$D$45*(1-C109)))))</f>
      </c>
      <c r="E109" s="57">
        <f>IF(D109="","",IF(ABS(C109-$G$43)&lt;0.000001,$G$49,$G$50/D109))</f>
      </c>
      <c r="F109" s="60">
        <f>IF(AND(ISNUMBER(D109),D109&gt;0,ISNUMBER(E109)),E109/D109,"")</f>
      </c>
      <c r="G109" s="60">
        <f>IF(AND(ISNUMBER(F109),ISNUMBER($D$55)),F109*$D$55,"")</f>
      </c>
      <c r="H109" s="57">
        <f>IF(ISNUMBER(F109),F109*$D$45,"")</f>
      </c>
      <c r="I109" s="57">
        <f>IF(AND(ISNUMBER(H109),ISNUMBER($D$55)),H109*$D$55,"")</f>
      </c>
      <c r="J109" s="57">
        <f>IF(D109="","",E109-E108)</f>
      </c>
      <c r="K109" s="57">
        <f>IF(D109="","",IF(OR(OR($G$40="flap",$G$40="four-stock"),$G$40="pons"),L109-L108,J109*(1+$G$42)))</f>
      </c>
      <c r="L109" s="66">
        <f>IF(D109="","",$J$41+IF($G$40="pons",($G$50/($G$48-MAX(0,(C109-$G$43)*$D$45))-$G$49)/(1-$G$42-$J$48),IF($G$40="four-stock",(E109-$G$49)/(1-$G$42),(E109-$G$49)*(1+$G$42))))</f>
      </c>
    </row>
    <row r="110" ht="20" customHeight="1">
      <c r="C110" s="54">
        <f>IF($G$40="pons",80%+37*0.5%,IF(80.5%+37*0.5%&lt;=100%,80.5%+37*0.5%,""))</f>
      </c>
      <c r="D110" s="57">
        <f>IF(OR(NOT(ISNUMBER(C110)),C110&gt;=$D$54,IF(OR($G$40="flap",$G$40="four-stock"),$G$48-(C110-$G$43)*$D$45/(1-$J$46),IF($G$40="pons",$D$45*(1-C110)-$G$51,IF(ABS(C110-$G$43)&lt;0.000001,$G$48,$D$45*(1-C110))))&lt;=0,AND($G$40="pons",$G$48-MAX(0,(C110-$G$43)*$D$45)&lt;=0)),"",IF(OR($G$40="flap",$G$40="four-stock"),$G$48-(C110-$G$43)*$D$45/(1-$J$46),IF($G$40="pons",$D$45*(1-C110)-$G$51,IF(ABS(C110-$G$43)&lt;0.000001,$G$48,$D$45*(1-C110)))))</f>
      </c>
      <c r="E110" s="57">
        <f>IF(D110="","",IF(ABS(C110-$G$43)&lt;0.000001,$G$49,$G$50/D110))</f>
      </c>
      <c r="F110" s="60">
        <f>IF(AND(ISNUMBER(D110),D110&gt;0,ISNUMBER(E110)),E110/D110,"")</f>
      </c>
      <c r="G110" s="60">
        <f>IF(AND(ISNUMBER(F110),ISNUMBER($D$55)),F110*$D$55,"")</f>
      </c>
      <c r="H110" s="57">
        <f>IF(ISNUMBER(F110),F110*$D$45,"")</f>
      </c>
      <c r="I110" s="57">
        <f>IF(AND(ISNUMBER(H110),ISNUMBER($D$55)),H110*$D$55,"")</f>
      </c>
      <c r="J110" s="57">
        <f>IF(D110="","",E110-E109)</f>
      </c>
      <c r="K110" s="57">
        <f>IF(D110="","",IF(OR(OR($G$40="flap",$G$40="four-stock"),$G$40="pons"),L110-L109,J110*(1+$G$42)))</f>
      </c>
      <c r="L110" s="66">
        <f>IF(D110="","",$J$41+IF($G$40="pons",($G$50/($G$48-MAX(0,(C110-$G$43)*$D$45))-$G$49)/(1-$G$42-$J$48),IF($G$40="four-stock",(E110-$G$49)/(1-$G$42),(E110-$G$49)*(1+$G$42))))</f>
      </c>
    </row>
    <row r="111" ht="20" customHeight="1">
      <c r="C111" s="54">
        <f>IF($G$40="pons",80%+38*0.5%,IF(80.5%+38*0.5%&lt;=100%,80.5%+38*0.5%,""))</f>
      </c>
      <c r="D111" s="57">
        <f>IF(OR(NOT(ISNUMBER(C111)),C111&gt;=$D$54,IF(OR($G$40="flap",$G$40="four-stock"),$G$48-(C111-$G$43)*$D$45/(1-$J$46),IF($G$40="pons",$D$45*(1-C111)-$G$51,IF(ABS(C111-$G$43)&lt;0.000001,$G$48,$D$45*(1-C111))))&lt;=0,AND($G$40="pons",$G$48-MAX(0,(C111-$G$43)*$D$45)&lt;=0)),"",IF(OR($G$40="flap",$G$40="four-stock"),$G$48-(C111-$G$43)*$D$45/(1-$J$46),IF($G$40="pons",$D$45*(1-C111)-$G$51,IF(ABS(C111-$G$43)&lt;0.000001,$G$48,$D$45*(1-C111)))))</f>
      </c>
      <c r="E111" s="57">
        <f>IF(D111="","",IF(ABS(C111-$G$43)&lt;0.000001,$G$49,$G$50/D111))</f>
      </c>
      <c r="F111" s="60">
        <f>IF(AND(ISNUMBER(D111),D111&gt;0,ISNUMBER(E111)),E111/D111,"")</f>
      </c>
      <c r="G111" s="60">
        <f>IF(AND(ISNUMBER(F111),ISNUMBER($D$55)),F111*$D$55,"")</f>
      </c>
      <c r="H111" s="57">
        <f>IF(ISNUMBER(F111),F111*$D$45,"")</f>
      </c>
      <c r="I111" s="57">
        <f>IF(AND(ISNUMBER(H111),ISNUMBER($D$55)),H111*$D$55,"")</f>
      </c>
      <c r="J111" s="57">
        <f>IF(D111="","",E111-E110)</f>
      </c>
      <c r="K111" s="57">
        <f>IF(D111="","",IF(OR(OR($G$40="flap",$G$40="four-stock"),$G$40="pons"),L111-L110,J111*(1+$G$42)))</f>
      </c>
      <c r="L111" s="66">
        <f>IF(D111="","",$J$41+IF($G$40="pons",($G$50/($G$48-MAX(0,(C111-$G$43)*$D$45))-$G$49)/(1-$G$42-$J$48),IF($G$40="four-stock",(E111-$G$49)/(1-$G$42),(E111-$G$49)*(1+$G$42))))</f>
      </c>
    </row>
    <row r="112" ht="20" customHeight="1">
      <c r="C112" s="54">
        <f>IF($G$40="pons",80%+39*0.5%,IF(80.5%+39*0.5%&lt;=100%,80.5%+39*0.5%,""))</f>
      </c>
      <c r="D112" s="57">
        <f>IF(OR(NOT(ISNUMBER(C112)),C112&gt;=$D$54,IF(OR($G$40="flap",$G$40="four-stock"),$G$48-(C112-$G$43)*$D$45/(1-$J$46),IF($G$40="pons",$D$45*(1-C112)-$G$51,IF(ABS(C112-$G$43)&lt;0.000001,$G$48,$D$45*(1-C112))))&lt;=0,AND($G$40="pons",$G$48-MAX(0,(C112-$G$43)*$D$45)&lt;=0)),"",IF(OR($G$40="flap",$G$40="four-stock"),$G$48-(C112-$G$43)*$D$45/(1-$J$46),IF($G$40="pons",$D$45*(1-C112)-$G$51,IF(ABS(C112-$G$43)&lt;0.000001,$G$48,$D$45*(1-C112)))))</f>
      </c>
      <c r="E112" s="57">
        <f>IF(D112="","",IF(ABS(C112-$G$43)&lt;0.000001,$G$49,$G$50/D112))</f>
      </c>
      <c r="F112" s="60">
        <f>IF(AND(ISNUMBER(D112),D112&gt;0,ISNUMBER(E112)),E112/D112,"")</f>
      </c>
      <c r="G112" s="60">
        <f>IF(AND(ISNUMBER(F112),ISNUMBER($D$55)),F112*$D$55,"")</f>
      </c>
      <c r="H112" s="57">
        <f>IF(ISNUMBER(F112),F112*$D$45,"")</f>
      </c>
      <c r="I112" s="57">
        <f>IF(AND(ISNUMBER(H112),ISNUMBER($D$55)),H112*$D$55,"")</f>
      </c>
      <c r="J112" s="57">
        <f>IF(D112="","",E112-E111)</f>
      </c>
      <c r="K112" s="57">
        <f>IF(D112="","",IF(OR(OR($G$40="flap",$G$40="four-stock"),$G$40="pons"),L112-L111,J112*(1+$G$42)))</f>
      </c>
      <c r="L112" s="66">
        <f>IF(D112="","",$J$41+IF($G$40="pons",($G$50/($G$48-MAX(0,(C112-$G$43)*$D$45))-$G$49)/(1-$G$42-$J$48),IF($G$40="four-stock",(E112-$G$49)/(1-$G$42),(E112-$G$49)*(1+$G$42))))</f>
      </c>
    </row>
    <row r="113" ht="20" customHeight="1">
      <c r="C113" s="55">
        <f>IF($G$40="pons",80%+40*0.5%,IF(80.5%+40*0.5%&lt;=100%,80.5%+40*0.5%,""))</f>
      </c>
      <c r="D113" s="58">
        <f>IF(OR(NOT(ISNUMBER(C113)),C113&gt;=$D$54,IF(OR($G$40="flap",$G$40="four-stock"),$G$48-(C113-$G$43)*$D$45/(1-$J$46),IF($G$40="pons",$D$45*(1-C113)-$G$51,IF(ABS(C113-$G$43)&lt;0.000001,$G$48,$D$45*(1-C113))))&lt;=0,AND($G$40="pons",$G$48-MAX(0,(C113-$G$43)*$D$45)&lt;=0)),"",IF(OR($G$40="flap",$G$40="four-stock"),$G$48-(C113-$G$43)*$D$45/(1-$J$46),IF($G$40="pons",$D$45*(1-C113)-$G$51,IF(ABS(C113-$G$43)&lt;0.000001,$G$48,$D$45*(1-C113)))))</f>
      </c>
      <c r="E113" s="58">
        <f>IF(D113="","",IF(ABS(C113-$G$43)&lt;0.000001,$G$49,$G$50/D113))</f>
      </c>
      <c r="F113" s="61">
        <f>IF(AND(ISNUMBER(D113),D113&gt;0,ISNUMBER(E113)),E113/D113,"")</f>
      </c>
      <c r="G113" s="61">
        <f>IF(AND(ISNUMBER(F113),ISNUMBER($D$55)),F113*$D$55,"")</f>
      </c>
      <c r="H113" s="58">
        <f>IF(ISNUMBER(F113),F113*$D$45,"")</f>
      </c>
      <c r="I113" s="58">
        <f>IF(AND(ISNUMBER(H113),ISNUMBER($D$55)),H113*$D$55,"")</f>
      </c>
      <c r="J113" s="58">
        <f>IF(D113="","",E113-E112)</f>
      </c>
      <c r="K113" s="58">
        <f>IF(D113="","",IF(OR(OR($G$40="flap",$G$40="four-stock"),$G$40="pons"),L113-L112,J113*(1+$G$42)))</f>
      </c>
      <c r="L113" s="67">
        <f>IF(D113="","",$J$41+IF($G$40="pons",($G$50/($G$48-MAX(0,(C113-$G$43)*$D$45))-$G$49)/(1-$G$42-$J$48),IF($G$40="four-stock",(E113-$G$49)/(1-$G$42),(E113-$G$49)*(1+$G$42))))</f>
      </c>
    </row>
    <row r="114" ht="6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6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24" customHeight="1">
      <c r="C116" s="14" t="str">
        <v>外盘回落参考</v>
      </c>
      <c r="D116" s="14"/>
      <c r="E116" s="14"/>
      <c r="F116" s="14"/>
      <c r="G116" s="14"/>
      <c r="H116" s="14"/>
      <c r="I116" s="14"/>
      <c r="J116" s="14"/>
      <c r="K116" s="14"/>
      <c r="L116" s="14"/>
    </row>
    <row r="117" ht="32" customHeight="1">
      <c r="C117" s="49" t="str">
        <v>控筹率</v>
      </c>
      <c r="D117" s="49" t="str">
        <v>Pool TOKEN</v>
      </c>
      <c r="E117" s="49" t="str">
        <v>Pool Quote</v>
      </c>
      <c r="F117" s="49" t="str">
        <v>价格 / Quote</v>
      </c>
      <c r="G117" s="49" t="str">
        <v>价格 / USDT</v>
      </c>
      <c r="H117" s="49" t="str">
        <v>市值 / Quote</v>
      </c>
      <c r="I117" s="49" t="str">
        <v>市值 / USDT</v>
      </c>
      <c r="J117" s="49" t="str">
        <v>所需 Quote</v>
      </c>
      <c r="K117" s="49" t="str">
        <v>含费所需 Quote</v>
      </c>
      <c r="L117" s="49" t="str">
        <v>理论累计 Quote</v>
      </c>
    </row>
    <row r="118" ht="20" customHeight="1">
      <c r="C118" s="53">
        <f>IF($G$40="pons",$G$43,80%)</f>
      </c>
      <c r="D118" s="56">
        <f>IF($G$40="four-stock",$G$48+($G$43-C118)*$D$45*(1-$J$47),IF($G$40="pons",$D$45*(1-C118)-$G$51,IF(ABS(C118-$G$43)&lt;0.000001,$G$48,$D$45*(1-C118))))</f>
      </c>
      <c r="E118" s="56">
        <f>IF($G$40="four-stock",$G$49-$G$49*(($G$43-C118)*$D$45*(1-$J$47)*(1-$G$42))/($G$48+(($G$43-C118)*$D$45*(1-$J$47)*(1-$G$42))),IF(ABS(C118-$G$43)&lt;0.000001,$G$49,$G$50/D118))</f>
      </c>
      <c r="F118" s="59">
        <f>IF(AND(ISNUMBER(D118),D118&gt;0,ISNUMBER(E118)),E118/D118,"")</f>
      </c>
      <c r="G118" s="59">
        <f>IF(AND(ISNUMBER(F118),ISNUMBER($D$55)),F118*$D$55,"")</f>
      </c>
      <c r="H118" s="56">
        <f>IF(ISNUMBER(F118),F118*$D$45,"")</f>
      </c>
      <c r="I118" s="56">
        <f>IF(AND(ISNUMBER(H118),ISNUMBER($D$55)),H118*$D$55,"")</f>
      </c>
      <c r="J118" s="53">
        <f>IF(H$118&gt;0,1-H118/H$118,"")</f>
      </c>
      <c r="K118" s="56" t="str"/>
      <c r="L118" s="56" t="str"/>
    </row>
    <row r="119" ht="20" customHeight="1">
      <c r="C119" s="54">
        <f>0.7</f>
      </c>
      <c r="D119" s="57">
        <f>IF($G$40="four-stock",$G$48+($G$43-C119)*$D$45*(1-$J$47),IF($G$40="pons",$D$45*(1-C119)-$G$51,IF(ABS(C119-$G$43)&lt;0.000001,$G$48,$D$45*(1-C119))))</f>
      </c>
      <c r="E119" s="57">
        <f>IF($G$40="four-stock",$G$49-$G$49*(($G$43-C119)*$D$45*(1-$J$47)*(1-$G$42))/($G$48+(($G$43-C119)*$D$45*(1-$J$47)*(1-$G$42))),IF(ABS(C119-$G$43)&lt;0.000001,$G$49,$G$50/D119))</f>
      </c>
      <c r="F119" s="60">
        <f>IF(AND(ISNUMBER(D119),D119&gt;0,ISNUMBER(E119)),E119/D119,"")</f>
      </c>
      <c r="G119" s="60">
        <f>IF(AND(ISNUMBER(F119),ISNUMBER($D$55)),F119*$D$55,"")</f>
      </c>
      <c r="H119" s="57">
        <f>IF(ISNUMBER(F119),F119*$D$45,"")</f>
      </c>
      <c r="I119" s="57">
        <f>IF(AND(ISNUMBER(H119),ISNUMBER($D$55)),H119*$D$55,"")</f>
      </c>
      <c r="J119" s="54">
        <f>IF(H$118&gt;0,1-H119/H$118,"")</f>
      </c>
      <c r="K119" s="57" t="str"/>
      <c r="L119" s="57" t="str"/>
    </row>
    <row r="120" ht="20" customHeight="1">
      <c r="C120" s="54">
        <f>0.6</f>
      </c>
      <c r="D120" s="57">
        <f>IF($G$40="four-stock",$G$48+($G$43-C120)*$D$45*(1-$J$47),IF($G$40="pons",$D$45*(1-C120)-$G$51,IF(ABS(C120-$G$43)&lt;0.000001,$G$48,$D$45*(1-C120))))</f>
      </c>
      <c r="E120" s="57">
        <f>IF($G$40="four-stock",$G$49-$G$49*(($G$43-C120)*$D$45*(1-$J$47)*(1-$G$42))/($G$48+(($G$43-C120)*$D$45*(1-$J$47)*(1-$G$42))),IF(ABS(C120-$G$43)&lt;0.000001,$G$49,$G$50/D120))</f>
      </c>
      <c r="F120" s="60">
        <f>IF(AND(ISNUMBER(D120),D120&gt;0,ISNUMBER(E120)),E120/D120,"")</f>
      </c>
      <c r="G120" s="60">
        <f>IF(AND(ISNUMBER(F120),ISNUMBER($D$55)),F120*$D$55,"")</f>
      </c>
      <c r="H120" s="57">
        <f>IF(ISNUMBER(F120),F120*$D$45,"")</f>
      </c>
      <c r="I120" s="57">
        <f>IF(AND(ISNUMBER(H120),ISNUMBER($D$55)),H120*$D$55,"")</f>
      </c>
      <c r="J120" s="54">
        <f>IF(H$118&gt;0,1-H120/H$118,"")</f>
      </c>
      <c r="K120" s="57" t="str"/>
      <c r="L120" s="57" t="str"/>
    </row>
    <row r="121" ht="20" customHeight="1">
      <c r="C121" s="54">
        <f>0.5</f>
      </c>
      <c r="D121" s="57">
        <f>IF($G$40="four-stock",$G$48+($G$43-C121)*$D$45*(1-$J$47),IF($G$40="pons",$D$45*(1-C121)-$G$51,IF(ABS(C121-$G$43)&lt;0.000001,$G$48,$D$45*(1-C121))))</f>
      </c>
      <c r="E121" s="57">
        <f>IF($G$40="four-stock",$G$49-$G$49*(($G$43-C121)*$D$45*(1-$J$47)*(1-$G$42))/($G$48+(($G$43-C121)*$D$45*(1-$J$47)*(1-$G$42))),IF(ABS(C121-$G$43)&lt;0.000001,$G$49,$G$50/D121))</f>
      </c>
      <c r="F121" s="60">
        <f>IF(AND(ISNUMBER(D121),D121&gt;0,ISNUMBER(E121)),E121/D121,"")</f>
      </c>
      <c r="G121" s="60">
        <f>IF(AND(ISNUMBER(F121),ISNUMBER($D$55)),F121*$D$55,"")</f>
      </c>
      <c r="H121" s="57">
        <f>IF(ISNUMBER(F121),F121*$D$45,"")</f>
      </c>
      <c r="I121" s="57">
        <f>IF(AND(ISNUMBER(H121),ISNUMBER($D$55)),H121*$D$55,"")</f>
      </c>
      <c r="J121" s="54">
        <f>IF(H$118&gt;0,1-H121/H$118,"")</f>
      </c>
      <c r="K121" s="57" t="str"/>
      <c r="L121" s="57" t="str"/>
    </row>
    <row r="122" ht="20" customHeight="1">
      <c r="C122" s="54">
        <f>0.4</f>
      </c>
      <c r="D122" s="57">
        <f>IF($G$40="four-stock",$G$48+($G$43-C122)*$D$45*(1-$J$47),IF($G$40="pons",$D$45*(1-C122)-$G$51,IF(ABS(C122-$G$43)&lt;0.000001,$G$48,$D$45*(1-C122))))</f>
      </c>
      <c r="E122" s="57">
        <f>IF($G$40="four-stock",$G$49-$G$49*(($G$43-C122)*$D$45*(1-$J$47)*(1-$G$42))/($G$48+(($G$43-C122)*$D$45*(1-$J$47)*(1-$G$42))),IF(ABS(C122-$G$43)&lt;0.000001,$G$49,$G$50/D122))</f>
      </c>
      <c r="F122" s="60">
        <f>IF(AND(ISNUMBER(D122),D122&gt;0,ISNUMBER(E122)),E122/D122,"")</f>
      </c>
      <c r="G122" s="60">
        <f>IF(AND(ISNUMBER(F122),ISNUMBER($D$55)),F122*$D$55,"")</f>
      </c>
      <c r="H122" s="57">
        <f>IF(ISNUMBER(F122),F122*$D$45,"")</f>
      </c>
      <c r="I122" s="57">
        <f>IF(AND(ISNUMBER(H122),ISNUMBER($D$55)),H122*$D$55,"")</f>
      </c>
      <c r="J122" s="54">
        <f>IF(H$118&gt;0,1-H122/H$118,"")</f>
      </c>
      <c r="K122" s="57" t="str"/>
      <c r="L122" s="57" t="str"/>
    </row>
    <row r="123" ht="20" customHeight="1">
      <c r="C123" s="54">
        <f>0.3</f>
      </c>
      <c r="D123" s="57">
        <f>IF($G$40="four-stock",$G$48+($G$43-C123)*$D$45*(1-$J$47),IF($G$40="pons",$D$45*(1-C123)-$G$51,IF(ABS(C123-$G$43)&lt;0.000001,$G$48,$D$45*(1-C123))))</f>
      </c>
      <c r="E123" s="57">
        <f>IF($G$40="four-stock",$G$49-$G$49*(($G$43-C123)*$D$45*(1-$J$47)*(1-$G$42))/($G$48+(($G$43-C123)*$D$45*(1-$J$47)*(1-$G$42))),IF(ABS(C123-$G$43)&lt;0.000001,$G$49,$G$50/D123))</f>
      </c>
      <c r="F123" s="60">
        <f>IF(AND(ISNUMBER(D123),D123&gt;0,ISNUMBER(E123)),E123/D123,"")</f>
      </c>
      <c r="G123" s="60">
        <f>IF(AND(ISNUMBER(F123),ISNUMBER($D$55)),F123*$D$55,"")</f>
      </c>
      <c r="H123" s="57">
        <f>IF(ISNUMBER(F123),F123*$D$45,"")</f>
      </c>
      <c r="I123" s="57">
        <f>IF(AND(ISNUMBER(H123),ISNUMBER($D$55)),H123*$D$55,"")</f>
      </c>
      <c r="J123" s="54">
        <f>IF(H$118&gt;0,1-H123/H$118,"")</f>
      </c>
      <c r="K123" s="57" t="str"/>
      <c r="L123" s="57" t="str"/>
    </row>
    <row r="124" ht="20" customHeight="1">
      <c r="C124" s="54">
        <f>0.2</f>
      </c>
      <c r="D124" s="57">
        <f>IF($G$40="four-stock",$G$48+($G$43-C124)*$D$45*(1-$J$47),IF($G$40="pons",$D$45*(1-C124)-$G$51,IF(ABS(C124-$G$43)&lt;0.000001,$G$48,$D$45*(1-C124))))</f>
      </c>
      <c r="E124" s="57">
        <f>IF($G$40="four-stock",$G$49-$G$49*(($G$43-C124)*$D$45*(1-$J$47)*(1-$G$42))/($G$48+(($G$43-C124)*$D$45*(1-$J$47)*(1-$G$42))),IF(ABS(C124-$G$43)&lt;0.000001,$G$49,$G$50/D124))</f>
      </c>
      <c r="F124" s="60">
        <f>IF(AND(ISNUMBER(D124),D124&gt;0,ISNUMBER(E124)),E124/D124,"")</f>
      </c>
      <c r="G124" s="60">
        <f>IF(AND(ISNUMBER(F124),ISNUMBER($D$55)),F124*$D$55,"")</f>
      </c>
      <c r="H124" s="57">
        <f>IF(ISNUMBER(F124),F124*$D$45,"")</f>
      </c>
      <c r="I124" s="57">
        <f>IF(AND(ISNUMBER(H124),ISNUMBER($D$55)),H124*$D$55,"")</f>
      </c>
      <c r="J124" s="54">
        <f>IF(H$118&gt;0,1-H124/H$118,"")</f>
      </c>
      <c r="K124" s="57" t="str"/>
      <c r="L124" s="57" t="str"/>
    </row>
    <row r="125" ht="20" customHeight="1">
      <c r="C125" s="54">
        <f>0.1</f>
      </c>
      <c r="D125" s="57">
        <f>IF($G$40="four-stock",$G$48+($G$43-C125)*$D$45*(1-$J$47),IF($G$40="pons",$D$45*(1-C125)-$G$51,IF(ABS(C125-$G$43)&lt;0.000001,$G$48,$D$45*(1-C125))))</f>
      </c>
      <c r="E125" s="57">
        <f>IF($G$40="four-stock",$G$49-$G$49*(($G$43-C125)*$D$45*(1-$J$47)*(1-$G$42))/($G$48+(($G$43-C125)*$D$45*(1-$J$47)*(1-$G$42))),IF(ABS(C125-$G$43)&lt;0.000001,$G$49,$G$50/D125))</f>
      </c>
      <c r="F125" s="60">
        <f>IF(AND(ISNUMBER(D125),D125&gt;0,ISNUMBER(E125)),E125/D125,"")</f>
      </c>
      <c r="G125" s="60">
        <f>IF(AND(ISNUMBER(F125),ISNUMBER($D$55)),F125*$D$55,"")</f>
      </c>
      <c r="H125" s="57">
        <f>IF(ISNUMBER(F125),F125*$D$45,"")</f>
      </c>
      <c r="I125" s="57">
        <f>IF(AND(ISNUMBER(H125),ISNUMBER($D$55)),H125*$D$55,"")</f>
      </c>
      <c r="J125" s="54">
        <f>IF(H$118&gt;0,1-H125/H$118,"")</f>
      </c>
      <c r="K125" s="57" t="str"/>
      <c r="L125" s="57" t="str"/>
    </row>
    <row r="126" ht="20" customHeight="1">
      <c r="C126" s="55">
        <f>0</f>
      </c>
      <c r="D126" s="58">
        <f>IF($G$40="four-stock",$G$48+($G$43-C126)*$D$45*(1-$J$47),IF($G$40="pons",$D$45*(1-C126)-$G$51,IF(ABS(C126-$G$43)&lt;0.000001,$G$48,$D$45*(1-C126))))</f>
      </c>
      <c r="E126" s="58">
        <f>IF($G$40="four-stock",$G$49-$G$49*(($G$43-C126)*$D$45*(1-$J$47)*(1-$G$42))/($G$48+(($G$43-C126)*$D$45*(1-$J$47)*(1-$G$42))),IF(ABS(C126-$G$43)&lt;0.000001,$G$49,$G$50/D126))</f>
      </c>
      <c r="F126" s="61">
        <f>IF(AND(ISNUMBER(D126),D126&gt;0,ISNUMBER(E126)),E126/D126,"")</f>
      </c>
      <c r="G126" s="61">
        <f>IF(AND(ISNUMBER(F126),ISNUMBER($D$55)),F126*$D$55,"")</f>
      </c>
      <c r="H126" s="58">
        <f>IF(ISNUMBER(F126),F126*$D$45,"")</f>
      </c>
      <c r="I126" s="58">
        <f>IF(AND(ISNUMBER(H126),ISNUMBER($D$55)),H126*$D$55,"")</f>
      </c>
      <c r="J126" s="55">
        <f>IF(H$118&gt;0,1-H126/H$118,"")</f>
      </c>
      <c r="K126" s="58" t="str"/>
      <c r="L126" s="58" t="str">
        <v>沉没成本参考</v>
      </c>
    </row>
    <row r="127" ht="6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20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20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20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20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20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20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20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20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20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20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0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20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20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20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20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20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20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20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20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20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20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20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20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</row>
  </sheetData>
  <mergeCells>
    <mergeCell ref="C2:L2"/>
    <mergeCell ref="C3:L3"/>
    <mergeCell ref="C13:L13"/>
    <mergeCell ref="C36:L36"/>
    <mergeCell ref="C37:F37"/>
    <mergeCell ref="C39:L39"/>
    <mergeCell ref="D7:E7"/>
  </mergeCells>
  <conditionalFormatting sqref="D18:D18">
    <cfRule type="expression" dxfId="0" priority="1">
      <formula>$E$18&lt;&gt;$H$18</formula>
    </cfRule>
    <cfRule type="expression" dxfId="1" priority="2">
      <formula>$E$18=$H$18</formula>
    </cfRule>
  </conditionalFormatting>
  <conditionalFormatting sqref="D22:D26">
    <cfRule type="expression" dxfId="2" priority="3">
      <formula>$E$18&lt;&gt;$H$18</formula>
    </cfRule>
    <cfRule type="expression" dxfId="3" priority="4">
      <formula>$E$18=$H$18</formula>
    </cfRule>
  </conditionalFormatting>
  <conditionalFormatting sqref="G37:G37">
    <cfRule type="expression" dxfId="4" priority="5">
      <formula>$E$18&lt;&gt;$H$18</formula>
    </cfRule>
    <cfRule type="expression" dxfId="5" priority="6">
      <formula>$E$18=$H$18</formula>
    </cfRule>
  </conditionalFormatting>
  <conditionalFormatting sqref="E59:E67">
    <cfRule type="expression" dxfId="6" priority="7">
      <formula>$E$18&lt;&gt;$H$18</formula>
    </cfRule>
    <cfRule type="expression" dxfId="7" priority="8">
      <formula>$E$18=$H$18</formula>
    </cfRule>
  </conditionalFormatting>
  <conditionalFormatting sqref="H59:H67">
    <cfRule type="expression" dxfId="8" priority="9">
      <formula>$E$18&lt;&gt;$H$18</formula>
    </cfRule>
    <cfRule type="expression" dxfId="9" priority="10">
      <formula>$E$18=$H$18</formula>
    </cfRule>
  </conditionalFormatting>
  <conditionalFormatting sqref="J59:J67">
    <cfRule type="expression" dxfId="10" priority="11">
      <formula>$E$18&lt;&gt;$H$18</formula>
    </cfRule>
    <cfRule type="expression" dxfId="11" priority="12">
      <formula>$E$18=$H$18</formula>
    </cfRule>
  </conditionalFormatting>
  <conditionalFormatting sqref="K59:K67">
    <cfRule type="expression" dxfId="12" priority="13">
      <formula>$E$18&lt;&gt;$H$18</formula>
    </cfRule>
    <cfRule type="expression" dxfId="13" priority="14">
      <formula>$E$18=$H$18</formula>
    </cfRule>
  </conditionalFormatting>
  <conditionalFormatting sqref="L59:L67">
    <cfRule type="expression" dxfId="14" priority="15">
      <formula>$E$18&lt;&gt;$H$18</formula>
    </cfRule>
    <cfRule type="expression" dxfId="15" priority="16">
      <formula>$E$18=$H$18</formula>
    </cfRule>
  </conditionalFormatting>
  <conditionalFormatting sqref="E72:E113">
    <cfRule type="expression" dxfId="16" priority="17">
      <formula>$E$18&lt;&gt;$H$18</formula>
    </cfRule>
    <cfRule type="expression" dxfId="17" priority="18">
      <formula>$E$18=$H$18</formula>
    </cfRule>
  </conditionalFormatting>
  <conditionalFormatting sqref="H72:H113">
    <cfRule type="expression" dxfId="18" priority="19">
      <formula>$E$18&lt;&gt;$H$18</formula>
    </cfRule>
    <cfRule type="expression" dxfId="19" priority="20">
      <formula>$E$18=$H$18</formula>
    </cfRule>
  </conditionalFormatting>
  <conditionalFormatting sqref="J72:J113">
    <cfRule type="expression" dxfId="20" priority="21">
      <formula>$E$18&lt;&gt;$H$18</formula>
    </cfRule>
    <cfRule type="expression" dxfId="21" priority="22">
      <formula>$E$18=$H$18</formula>
    </cfRule>
  </conditionalFormatting>
  <conditionalFormatting sqref="K72:K113">
    <cfRule type="expression" dxfId="22" priority="23">
      <formula>$E$18&lt;&gt;$H$18</formula>
    </cfRule>
    <cfRule type="expression" dxfId="23" priority="24">
      <formula>$E$18=$H$18</formula>
    </cfRule>
  </conditionalFormatting>
  <conditionalFormatting sqref="L72:L113">
    <cfRule type="expression" dxfId="24" priority="25">
      <formula>$E$18&lt;&gt;$H$18</formula>
    </cfRule>
    <cfRule type="expression" dxfId="25" priority="26">
      <formula>$E$18=$H$18</formula>
    </cfRule>
  </conditionalFormatting>
  <conditionalFormatting sqref="E118:E126">
    <cfRule type="expression" dxfId="26" priority="27">
      <formula>$E$18&lt;&gt;$H$18</formula>
    </cfRule>
    <cfRule type="expression" dxfId="27" priority="28">
      <formula>$E$18=$H$18</formula>
    </cfRule>
  </conditionalFormatting>
  <conditionalFormatting sqref="H118:H126">
    <cfRule type="expression" dxfId="28" priority="29">
      <formula>$E$18&lt;&gt;$H$18</formula>
    </cfRule>
    <cfRule type="expression" dxfId="29" priority="30">
      <formula>$E$18=$H$18</formula>
    </cfRule>
  </conditionalFormatting>
  <conditionalFormatting sqref="J118:J126">
    <cfRule type="expression" dxfId="30" priority="31">
      <formula>$E$18&lt;&gt;$H$18</formula>
    </cfRule>
    <cfRule type="expression" dxfId="31" priority="32">
      <formula>$E$18=$H$18</formula>
    </cfRule>
  </conditionalFormatting>
  <conditionalFormatting sqref="K118:K126">
    <cfRule type="expression" dxfId="32" priority="33">
      <formula>$E$18&lt;&gt;$H$18</formula>
    </cfRule>
    <cfRule type="expression" dxfId="33" priority="34">
      <formula>$E$18=$H$18</formula>
    </cfRule>
  </conditionalFormatting>
  <conditionalFormatting sqref="L118:L126">
    <cfRule type="expression" dxfId="34" priority="35">
      <formula>$E$18&lt;&gt;$H$18</formula>
    </cfRule>
    <cfRule type="expression" dxfId="35" priority="36">
      <formula>$E$18=$H$18</formula>
    </cfRule>
  </conditionalFormatting>
  <dataValidations count="6">
    <dataValidation type="list" sqref="D7">
      <formula1>'Quote参数'!$C$14:$C$14</formula1>
    </dataValidation>
    <dataValidation type="decimal" operator="greaterThanOrEqual" sqref="D8">
      <formula1>0</formula1>
    </dataValidation>
    <dataValidation type="decimal" operator="greaterThanOrEqual" sqref="G7:G10">
      <formula1>0</formula1>
    </dataValidation>
    <dataValidation type="decimal" operator="between" sqref="J7:J10">
      <formula1>0</formula1>
      <formula2>1</formula2>
    </dataValidation>
    <dataValidation type="decimal" operator="between" sqref="J12">
      <formula1>0</formula1>
      <formula2>1</formula2>
    </dataValidation>
    <dataValidation type="decimal" operator="between" sqref="G11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5" ySplit="13" topLeftCell="F14" activePane="bottomRight" state="frozen"/>
    </sheetView>
  </sheetViews>
  <sheetFormatPr defaultRowHeight="15"/>
  <cols>
    <col min="1" max="1" width="2" hidden="0" customWidth="1"/>
    <col min="2" max="2" width="2" hidden="0" customWidth="1"/>
    <col min="3" max="3" width="28" hidden="0" customWidth="1"/>
    <col min="4" max="4" width="28" hidden="0" customWidth="1"/>
    <col min="5" max="5" width="20" hidden="0" customWidth="1"/>
    <col min="6" max="6" width="20" hidden="0" customWidth="1"/>
    <col min="7" max="7" width="44" hidden="0" customWidth="1"/>
    <col min="8" max="8" width="20" hidden="0" customWidth="1"/>
    <col min="9" max="9" width="20" hidden="0" customWidth="1"/>
    <col min="10" max="10" width="28" hidden="0" customWidth="1"/>
    <col min="11" max="11" width="44" hidden="0" customWidth="1"/>
    <col min="12" max="12" width="20" hidden="0" customWidth="1"/>
    <col min="13" max="13" width="20" hidden="0" customWidth="1"/>
    <col min="14" max="14" width="20" hidden="0" customWidth="1"/>
    <col min="15" max="15" width="20" hidden="0" customWidth="1"/>
    <col min="16" max="16" width="20" hidden="0" customWidth="1"/>
    <col min="17" max="17" width="20" hidden="0" customWidth="1"/>
    <col min="18" max="18" width="20" hidden="0" customWidth="1"/>
    <col min="19" max="19" width="20" hidden="0" customWidth="1"/>
    <col min="20" max="20" width="20" hidden="0" customWidth="1"/>
    <col min="21" max="21" width="20" hidden="0" customWidth="1"/>
    <col min="22" max="22" width="20" hidden="0" customWidth="1"/>
    <col min="23" max="23" width="20" hidden="0" customWidth="1"/>
    <col min="24" max="24" width="20" hidden="0" customWidth="1"/>
    <col min="25" max="25" width="20" hidden="0" customWidth="1"/>
    <col min="26" max="26" width="20" hidden="0" customWidth="1"/>
    <col min="27" max="27" width="20" hidden="0" customWidth="1"/>
    <col min="28" max="28" width="20" hidden="0" customWidth="1"/>
    <col min="29" max="29" width="20" hidden="0" customWidth="1"/>
    <col min="30" max="30" width="44" hidden="0" customWidth="1"/>
    <col min="31" max="31" width="20" hidden="0" customWidth="1"/>
    <col min="32" max="32" width="44" hidden="0" customWidth="1"/>
    <col min="33" max="33" width="44" hidden="0" customWidth="1"/>
    <col min="34" max="34" width="20" hidden="0" customWidth="1"/>
    <col min="35" max="35" width="20" hidden="0" customWidth="1"/>
    <col min="36" max="36" width="20" hidden="0" customWidth="1"/>
    <col min="37" max="37" width="44" hidden="0" customWidth="1"/>
    <col min="38" max="38" width="44" hidden="0" customWidth="1"/>
  </cols>
  <sheetData>
    <row r="1" ht="2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ht="26" customHeight="1">
      <c r="A2" s="5"/>
      <c r="B2" s="5"/>
      <c r="C2" s="8" t="str">
        <v>Quote 参数与每日价格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ht="32" customHeight="1">
      <c r="A3" s="5"/>
      <c r="B3" s="5"/>
      <c r="C3" s="10" t="str">
        <v>网页与下载 Excel 使用同一每日快照。下载到本地后不自动联网；主表手动价格清空后恢复每日价。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26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ht="2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ht="26" customHeight="1">
      <c r="A6" s="5"/>
      <c r="B6" s="5"/>
      <c r="C6" s="5" t="str">
        <v>USDT / USD</v>
      </c>
      <c r="D6" s="5">
        <v>0.999185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ht="26" customHeight="1">
      <c r="A7" s="5"/>
      <c r="B7" s="5"/>
      <c r="C7" s="5" t="str">
        <v>快照时间 / UTC</v>
      </c>
      <c r="D7" s="6">
        <v>46326.301199664354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ht="26" customHeight="1">
      <c r="A8" s="5"/>
      <c r="B8" s="5"/>
      <c r="C8" s="5" t="str">
        <v>汇率来源</v>
      </c>
      <c r="D8" s="5" t="inlineStr">
        <is>
          <t>https://api.coingecko.com/api/v3/simple/price?ids=tether,ethereum,binancecoin,solana,hyperliquid,aster-2,myx-finance&amp;vs_currencies=usd&amp;include_last_updated_at=true</t>
        </is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26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ht="26" customHeight="1">
      <c r="A10" s="5"/>
      <c r="B10" s="5"/>
      <c r="C10" s="5" t="str">
        <v>预留预算 / USDT</v>
      </c>
      <c r="D10" s="5" t="n">
        <v>10000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ht="42" customHeight="1">
      <c r="A11" s="5"/>
      <c r="B11" s="5"/>
      <c r="C11" s="5" t="str">
        <v>洗筹与补回口径</v>
      </c>
      <c r="D11" s="12" t="str">
        <v>外盘一卖一买用卖出所得 Quote 回买；双边费用仅降低洗后持币，不另列资金；只按外盘曲线和买入费预留恢复目标所需 Quote。</v>
      </c>
      <c r="E11" s="12"/>
      <c r="F11" s="12"/>
      <c r="G11" s="12"/>
      <c r="H11" s="12"/>
      <c r="I11" s="12"/>
      <c r="J11" s="12"/>
      <c r="K11" s="12"/>
      <c r="L11" s="12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26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ht="38" customHeight="1">
      <c r="A13" s="5"/>
      <c r="B13" s="5"/>
      <c r="C13" s="16" t="str">
        <v>平台 / Quote</v>
      </c>
      <c r="D13" s="16" t="str">
        <v>模型键</v>
      </c>
      <c r="E13" s="16" t="str">
        <v>Quote</v>
      </c>
      <c r="F13" s="16" t="str">
        <v>Gas 原生币</v>
      </c>
      <c r="G13" s="16" t="str">
        <v>Quote 合约</v>
      </c>
      <c r="H13" s="16" t="str">
        <v>Quote / USDT</v>
      </c>
      <c r="I13" s="16" t="str">
        <v>原生币 / USDT</v>
      </c>
      <c r="J13" s="16" t="str">
        <v>价格时间 / UTC</v>
      </c>
      <c r="K13" s="16" t="str">
        <v>价格来源</v>
      </c>
      <c r="L13" s="16" t="str">
        <v>模型类型</v>
      </c>
      <c r="M13" s="16" t="str">
        <v>总供应量</v>
      </c>
      <c r="N13" s="16" t="str">
        <v>内盘初始 TOKEN</v>
      </c>
      <c r="O13" s="16" t="str">
        <v>内盘初始 Quote</v>
      </c>
      <c r="P13" s="16" t="str">
        <v>内盘 K</v>
      </c>
      <c r="Q13" s="16" t="str">
        <v>毕业控筹率</v>
      </c>
      <c r="R13" s="16" t="str">
        <v>外盘初始 TOKEN</v>
      </c>
      <c r="S13" s="16" t="str">
        <v>外盘初始 Quote</v>
      </c>
      <c r="T13" s="16" t="str">
        <v>外盘 K</v>
      </c>
      <c r="U13" s="16" t="str">
        <v>内盘基础费</v>
      </c>
      <c r="V13" s="16" t="str">
        <v>外盘基础费</v>
      </c>
      <c r="W13" s="16" t="str">
        <v>一套内盘参考</v>
      </c>
      <c r="X13" s="16" t="str">
        <v>永久锁仓 TOKEN</v>
      </c>
      <c r="Y13" s="16" t="str">
        <v>沉没成本参考</v>
      </c>
      <c r="Z13" s="16" t="str">
        <v>内盘募集 Quote</v>
      </c>
      <c r="AA13" s="16" t="str">
        <v>默认买入税</v>
      </c>
      <c r="AB13" s="16" t="str">
        <v>默认卖出税</v>
      </c>
      <c r="AC13" s="16" t="str">
        <v>默认 Creator Tax</v>
      </c>
      <c r="AD13" s="16" t="str">
        <v>模型来源</v>
      </c>
      <c r="AE13" s="16" t="str">
        <v>参数核验时间</v>
      </c>
      <c r="AF13" s="16" t="str">
        <v>原生币价格来源</v>
      </c>
      <c r="AG13" s="16" t="str">
        <v>指定池</v>
      </c>
      <c r="AH13" s="16" t="str">
        <v>税率上限</v>
      </c>
      <c r="AI13" s="16" t="str">
        <v>单地址 Gas</v>
      </c>
      <c r="AJ13" s="16" t="str">
        <v>外盘扣费资产</v>
      </c>
      <c r="AK13" s="16" t="str">
        <v>外盘扣费机制</v>
      </c>
      <c r="AL13" s="16" t="str">
        <v>扣费机制来源</v>
      </c>
    </row>
    <row r="14" ht="58" customHeight="1">
      <c r="A14" s="5"/>
      <c r="B14" s="5"/>
      <c r="C14" s="5" t="str">
        <v>Four.meme 4Stock / BNC4</v>
      </c>
      <c r="D14" s="18" t="str">
        <v>fourmeme-bnc4</v>
      </c>
      <c r="E14" s="18" t="str">
        <v>BNC4</v>
      </c>
      <c r="F14" s="18" t="str">
        <v>BNB</v>
      </c>
      <c r="G14" s="21" t="str">
        <v>0x7c8d5502b544ddaf8852fc46d1174e34876d545c</v>
      </c>
      <c r="H14" s="17">
        <v>5.003504</v>
      </c>
      <c r="I14" s="17">
        <v>701.7319115078789</v>
      </c>
      <c r="J14" s="6">
        <v>46326.301199664354</v>
      </c>
      <c r="K14" s="21" t="inlineStr">
        <is>
          <t>https://dexscreener.com/bsc/0xbec6906a984f4695aca0f15bafa7de5eb45b54ab</t>
        </is>
      </c>
      <c r="L14" s="18" t="str">
        <v>four-stock</v>
      </c>
      <c r="M14" s="20" t="n">
        <v>1000000000</v>
      </c>
      <c r="N14" s="20" t="n">
        <v>1073972601.740811</v>
      </c>
      <c r="O14" s="5" t="n">
        <v>684.9315068493152</v>
      </c>
      <c r="P14" s="5" t="n">
        <v>735597672425.2131</v>
      </c>
      <c r="Q14" s="19" t="n">
        <v>0.8</v>
      </c>
      <c r="R14" s="20" t="n">
        <v>200000000</v>
      </c>
      <c r="S14" s="5" t="n">
        <v>1960</v>
      </c>
      <c r="T14" s="5" t="n">
        <v>392000000000</v>
      </c>
      <c r="U14" s="19" t="n">
        <v>0.01</v>
      </c>
      <c r="V14" s="19" t="n">
        <v>0.0025</v>
      </c>
      <c r="W14" s="5" t="n">
        <v>2080</v>
      </c>
      <c r="X14" s="20" t="n">
        <v>0</v>
      </c>
      <c r="Y14" s="5" t="n">
        <v>402.43927478800083</v>
      </c>
      <c r="Z14" s="5" t="n">
        <v>2000</v>
      </c>
      <c r="AA14" s="19" t="n">
        <v>0.03</v>
      </c>
      <c r="AB14" s="19" t="n">
        <v>0.03</v>
      </c>
      <c r="AC14" s="19" t="n">
        <v>0</v>
      </c>
      <c r="AD14" s="21" t="str">
        <v>https://four.meme/zh-TW/contract/1778027615733</v>
      </c>
      <c r="AE14" s="5" t="str">
        <v>2026-09-16</v>
      </c>
      <c r="AF14" s="21" t="inlineStr">
        <is>
          <t>https://api.coingecko.com/api/v3/simple/price?ids=tether,ethereum,binancecoin,solana,hyperliquid,aster-2,myx-finance&amp;vs_currencies=usd&amp;include_last_updated_at=true</t>
        </is>
      </c>
      <c r="AG14" s="21" t="inlineStr">
        <is>
          <t>0xbec6906a984f4695aca0f15bafa7de5eb45b54ab</t>
        </is>
      </c>
      <c r="AH14" s="19" t="n">
        <v>0.1</v>
      </c>
      <c r="AI14" s="5" t="n">
        <v>0.01</v>
      </c>
      <c r="AJ14" s="18" t="str">
        <v>input</v>
      </c>
      <c r="AK14" s="21" t="str">
        <v>PancakeSwap LP 费从输入币扣取；外盘买税扣输出 TOKEN，卖税扣输入 TOKEN</v>
      </c>
      <c r="AL14" s="21" t="str">
        <v>https://docs.pancakeswap.finance/trade/pancakeswap-exchange/trade</v>
      </c>
    </row>
  </sheetData>
  <mergeCells>
    <mergeCell ref="C3:M3"/>
    <mergeCell ref="D11:M11"/>
  </mergeCells>
  <pageMargins left="0.7" right="0.7" top="0.75" bottom="0.75" header="0.3" footer="0.3"/>
</worksheet>
</file>