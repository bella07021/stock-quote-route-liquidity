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4fc0a665462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b2608e940484796"/>
    <sheet name="Quote参数" sheetId="2" r:id="Rce8ed05961904f8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5c172217e45d5" /><Relationship Type="http://schemas.openxmlformats.org/officeDocument/2006/relationships/theme" Target="/xl/theme/theme1.xml" Id="R917ec5b8c6374497" /><Relationship Type="http://schemas.openxmlformats.org/officeDocument/2006/relationships/sharedStrings" Target="/xl/sharedStrings.xml" Id="Rc2abc13b296e4f94" /><Relationship Type="http://schemas.openxmlformats.org/officeDocument/2006/relationships/worksheet" Target="/xl/worksheets/sheet1.xml" Id="R7b2608e940484796" /><Relationship Type="http://schemas.openxmlformats.org/officeDocument/2006/relationships/worksheet" Target="/xl/worksheets/sheet2.xml" Id="Rce8ed05961904f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VLOOKUP($D$7,'Quote参数'!$C$14:$AI$14,25,FALSE)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VLOOKUP($D$7,'Quote参数'!$C$14:$AI$14,26,FALSE)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VLOOKUP($D$7,'Quote参数'!$C$14:$AI$14,33,FALSE)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VLOOKUP($D$7,'Quote参数'!$C$14:$AI$14,20,FALSE)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VLOOKUP($D$7,'Quote参数'!$C$14:$AI$14,3,FALSE)</f>
      </c>
      <c r="F18" s="3" t="str">
        <v>原生币 Gas 储备</v>
      </c>
      <c r="G18" s="35">
        <f>D53*MAX(0,G11)</f>
      </c>
      <c r="H18" s="31">
        <f>VLOOKUP($D$7,'Quote参数'!$C$14:$AI$14,4,FALSE)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IF($D$51&lt;&gt;"可达","",$J$41+IF($G$40="pons",$G$50/$J$51-$G$49,IF($G$40="four-stock",($G$50/$J$50-$G$49)/(1-$G$42),($G$50/$J$50-$G$49)*(1+$G$42))))</f>
      </c>
      <c r="E22" s="3">
        <f>VLOOKUP($D$7,'Quote参数'!$C$14:$AI$14,3,FALSE)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VLOOKUP($D$7,'Quote参数'!$C$14:$AI$14,3,FALSE)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VLOOKUP($D$7,'Quote参数'!$C$14:$AI$14,3,FALSE)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VLOOKUP($D$7,'Quote参数'!$C$14:$AI$14,3,FALSE)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IF($D$51&lt;&gt;"可达","",IF($G$40="pons",0,IF(AND($J$55&gt;0,$J$56&gt;0),MAX(0,($G$50/$J$55-$G$50/$J$56)*(1+$G$42)),"")))</f>
      </c>
      <c r="E26" s="3">
        <f>VLOOKUP($D$7,'Quote参数'!$C$14:$AI$14,3,FALSE)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IF($G$40="four-stock",E126,VLOOKUP($D$7,'Quote参数'!$C$14:$AI$14,23,FALSE))</f>
      </c>
      <c r="H37" s="3">
        <f>VLOOKUP($D$7,'Quote参数'!$C$14:$AI$14,3,FALSE)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VLOOKUP($D$7,'Quote参数'!$C$14:$AI$14,10,FALSE)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VLOOKUP($D$7,'Quote参数'!$C$14:$AI$14,19,FALSE)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VLOOKUP($D$7,'Quote参数'!$C$14:$AI$14,20,FALSE)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VLOOKUP($D$7,'Quote参数'!$C$14:$AI$14,15,FALSE)</f>
      </c>
      <c r="H43" s="32"/>
      <c r="I43" s="32" t="str">
        <v>模型键</v>
      </c>
      <c r="J43" s="32">
        <f>VLOOKUP($D$7,'Quote参数'!$C$14:$AI$14,2,FALSE)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VLOOKUP($D$7,'Quote参数'!$C$14:$AI$14,12,FALSE)</f>
      </c>
      <c r="H44" s="32"/>
      <c r="I44" s="32" t="str">
        <v>原生币价格 / USDT</v>
      </c>
      <c r="J44" s="32">
        <f>IF(VLOOKUP($D$7,'Quote参数'!$C$14:$AI$14,3,FALSE)=VLOOKUP($D$7,'Quote参数'!$C$14:$AI$14,4,FALSE),$D$55,VLOOKUP($D$7,'Quote参数'!$C$14:$AI$14,7,FALSE))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VLOOKUP($D$7,'Quote参数'!$C$14:$AI$14,11,FALSE)</f>
      </c>
      <c r="E45" s="32"/>
      <c r="F45" s="32" t="str">
        <v>内盘初始 Quote</v>
      </c>
      <c r="G45" s="32">
        <f>VLOOKUP($D$7,'Quote参数'!$C$14:$AI$14,13,FALSE)</f>
      </c>
      <c r="H45" s="32"/>
      <c r="I45" s="32" t="str">
        <v>税率上限</v>
      </c>
      <c r="J45" s="32">
        <f>VLOOKUP($D$7,'Quote参数'!$C$14:$AI$14,32,FALSE)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VLOOKUP($D$7,'Quote参数'!$C$14:$AI$14,14,FALSE)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VLOOKUP($D$7,'Quote参数'!$C$14:$AI$14,16,FALSE)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VLOOKUP($D$7,'Quote参数'!$C$14:$AI$14,17,FALSE)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VLOOKUP($D$7,'Quote参数'!$C$14:$AI$14,18,FALSE)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VLOOKUP($D$7,'Quote参数'!$C$14:$AI$14,22,FALSE)</f>
      </c>
      <c r="H51" s="32"/>
      <c r="I51" s="32" t="str">
        <v>预算交换 TOKEN</v>
      </c>
      <c r="J51" s="32">
        <f>$G$48-MAX(0,($D$52-$G$43)*$D$45)/(1-$G$42-$J$48)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VLOOKUP($D$7,'Quote参数'!$C$14:$AI$14,21,FALSE)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VLOOKUP($D$7,'Quote参数'!$C$14:$AI$14,24,FALSE)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IF($G$40="pons",MIN(1-$G$51/$D$45,$G$43+(1-$G$42-$J$48)*$G$48/$D$45),IF(OR($G$40="flap",$G$40="four-stock"),$G$43+(1-$J$46)*$G$48/$D$45,1))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IF($G$40="pons",1,(1-$J$46)*(1-$J$47)*(1-MAX(0,$J$12))^2)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IF(AND(ISNUMBER($D$9),$D$9&gt;0),$D$9,IF(AND(ISNUMBER(VLOOKUP($D$7,'Quote参数'!$C$14:$AI$14,6,FALSE)),VLOOKUP($D$7,'Quote参数'!$C$14:$AI$14,6,FALSE)&gt;0),VLOOKUP($D$7,'Quote参数'!$C$14:$AI$14,6,FALSE),""))</f>
      </c>
      <c r="E55" s="32"/>
      <c r="F55" s="32" t="str">
        <v>价格来源</v>
      </c>
      <c r="G55" s="32">
        <f>VLOOKUP($D$7,'Quote参数'!$C$14:$AI$14,9,FALSE)</f>
      </c>
      <c r="H55" s="32"/>
      <c r="I55" s="32" t="str">
        <v>目标外盘 TOKEN</v>
      </c>
      <c r="J55" s="32">
        <f>IF(OR($G$40="flap",$G$40="four-stock"),$G$48-($D$8-$G$43)*$D$45/(1-$J$46),IF($G$40="pons",$D$45*(1-$D$8)-$G$51,IF(ABS($D$8-$G$43)&lt;0.000001,$G$48,$D$45*(1-$D$8))))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VLOOKUP($D$7,'Quote参数'!$C$14:$AI$14,8,FALSE)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IF(OR($G$40="flap",$G$40="four-stock"),$G$48-($D$27-$G$43)*$D$45/(1-$J$46),IF($G$40="pons",$D$45*(1-$D$27)-$G$51,IF(ABS($D$27-$G$43)&lt;0.000001,$G$48,$D$45*(1-$D$27))))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IF(D72="","",$J$41+IF($G$40="pons",$G$50/($G$48-MAX(0,(C72-$G$43)*$D$45)/(1-$G$42-$J$48))-$G$49,IF($G$40="four-stock",(E72-$G$49)/(1-$G$42),(E72-$G$49)*(1+$G$42))))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IF(D73="","",$J$41+IF($G$40="pons",$G$50/($G$48-MAX(0,(C73-$G$43)*$D$45)/(1-$G$42-$J$48))-$G$49,IF($G$40="four-stock",(E73-$G$49)/(1-$G$42),(E73-$G$49)*(1+$G$42))))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IF(D74="","",$J$41+IF($G$40="pons",$G$50/($G$48-MAX(0,(C74-$G$43)*$D$45)/(1-$G$42-$J$48))-$G$49,IF($G$40="four-stock",(E74-$G$49)/(1-$G$42),(E74-$G$49)*(1+$G$42))))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IF(D75="","",$J$41+IF($G$40="pons",$G$50/($G$48-MAX(0,(C75-$G$43)*$D$45)/(1-$G$42-$J$48))-$G$49,IF($G$40="four-stock",(E75-$G$49)/(1-$G$42),(E75-$G$49)*(1+$G$42))))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IF(D76="","",$J$41+IF($G$40="pons",$G$50/($G$48-MAX(0,(C76-$G$43)*$D$45)/(1-$G$42-$J$48))-$G$49,IF($G$40="four-stock",(E76-$G$49)/(1-$G$42),(E76-$G$49)*(1+$G$42))))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IF(D77="","",$J$41+IF($G$40="pons",$G$50/($G$48-MAX(0,(C77-$G$43)*$D$45)/(1-$G$42-$J$48))-$G$49,IF($G$40="four-stock",(E77-$G$49)/(1-$G$42),(E77-$G$49)*(1+$G$42))))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IF(D78="","",$J$41+IF($G$40="pons",$G$50/($G$48-MAX(0,(C78-$G$43)*$D$45)/(1-$G$42-$J$48))-$G$49,IF($G$40="four-stock",(E78-$G$49)/(1-$G$42),(E78-$G$49)*(1+$G$42))))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IF(D79="","",$J$41+IF($G$40="pons",$G$50/($G$48-MAX(0,(C79-$G$43)*$D$45)/(1-$G$42-$J$48))-$G$49,IF($G$40="four-stock",(E79-$G$49)/(1-$G$42),(E79-$G$49)*(1+$G$42))))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IF(D80="","",$J$41+IF($G$40="pons",$G$50/($G$48-MAX(0,(C80-$G$43)*$D$45)/(1-$G$42-$J$48))-$G$49,IF($G$40="four-stock",(E80-$G$49)/(1-$G$42),(E80-$G$49)*(1+$G$42))))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IF(D81="","",$J$41+IF($G$40="pons",$G$50/($G$48-MAX(0,(C81-$G$43)*$D$45)/(1-$G$42-$J$48))-$G$49,IF($G$40="four-stock",(E81-$G$49)/(1-$G$42),(E81-$G$49)*(1+$G$42))))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IF(D82="","",$J$41+IF($G$40="pons",$G$50/($G$48-MAX(0,(C82-$G$43)*$D$45)/(1-$G$42-$J$48))-$G$49,IF($G$40="four-stock",(E82-$G$49)/(1-$G$42),(E82-$G$49)*(1+$G$42))))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IF(D83="","",$J$41+IF($G$40="pons",$G$50/($G$48-MAX(0,(C83-$G$43)*$D$45)/(1-$G$42-$J$48))-$G$49,IF($G$40="four-stock",(E83-$G$49)/(1-$G$42),(E83-$G$49)*(1+$G$42))))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IF(D84="","",$J$41+IF($G$40="pons",$G$50/($G$48-MAX(0,(C84-$G$43)*$D$45)/(1-$G$42-$J$48))-$G$49,IF($G$40="four-stock",(E84-$G$49)/(1-$G$42),(E84-$G$49)*(1+$G$42))))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IF(D85="","",$J$41+IF($G$40="pons",$G$50/($G$48-MAX(0,(C85-$G$43)*$D$45)/(1-$G$42-$J$48))-$G$49,IF($G$40="four-stock",(E85-$G$49)/(1-$G$42),(E85-$G$49)*(1+$G$42))))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IF(D86="","",$J$41+IF($G$40="pons",$G$50/($G$48-MAX(0,(C86-$G$43)*$D$45)/(1-$G$42-$J$48))-$G$49,IF($G$40="four-stock",(E86-$G$49)/(1-$G$42),(E86-$G$49)*(1+$G$42))))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IF(D87="","",$J$41+IF($G$40="pons",$G$50/($G$48-MAX(0,(C87-$G$43)*$D$45)/(1-$G$42-$J$48))-$G$49,IF($G$40="four-stock",(E87-$G$49)/(1-$G$42),(E87-$G$49)*(1+$G$42))))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IF(D88="","",$J$41+IF($G$40="pons",$G$50/($G$48-MAX(0,(C88-$G$43)*$D$45)/(1-$G$42-$J$48))-$G$49,IF($G$40="four-stock",(E88-$G$49)/(1-$G$42),(E88-$G$49)*(1+$G$42))))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IF(D89="","",$J$41+IF($G$40="pons",$G$50/($G$48-MAX(0,(C89-$G$43)*$D$45)/(1-$G$42-$J$48))-$G$49,IF($G$40="four-stock",(E89-$G$49)/(1-$G$42),(E89-$G$49)*(1+$G$42))))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IF(D90="","",$J$41+IF($G$40="pons",$G$50/($G$48-MAX(0,(C90-$G$43)*$D$45)/(1-$G$42-$J$48))-$G$49,IF($G$40="four-stock",(E90-$G$49)/(1-$G$42),(E90-$G$49)*(1+$G$42))))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IF(D91="","",$J$41+IF($G$40="pons",$G$50/($G$48-MAX(0,(C91-$G$43)*$D$45)/(1-$G$42-$J$48))-$G$49,IF($G$40="four-stock",(E91-$G$49)/(1-$G$42),(E91-$G$49)*(1+$G$42))))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IF(D92="","",$J$41+IF($G$40="pons",$G$50/($G$48-MAX(0,(C92-$G$43)*$D$45)/(1-$G$42-$J$48))-$G$49,IF($G$40="four-stock",(E92-$G$49)/(1-$G$42),(E92-$G$49)*(1+$G$42))))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IF(D93="","",$J$41+IF($G$40="pons",$G$50/($G$48-MAX(0,(C93-$G$43)*$D$45)/(1-$G$42-$J$48))-$G$49,IF($G$40="four-stock",(E93-$G$49)/(1-$G$42),(E93-$G$49)*(1+$G$42))))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IF(D94="","",$J$41+IF($G$40="pons",$G$50/($G$48-MAX(0,(C94-$G$43)*$D$45)/(1-$G$42-$J$48))-$G$49,IF($G$40="four-stock",(E94-$G$49)/(1-$G$42),(E94-$G$49)*(1+$G$42))))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IF(D95="","",$J$41+IF($G$40="pons",$G$50/($G$48-MAX(0,(C95-$G$43)*$D$45)/(1-$G$42-$J$48))-$G$49,IF($G$40="four-stock",(E95-$G$49)/(1-$G$42),(E95-$G$49)*(1+$G$42))))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IF(D96="","",$J$41+IF($G$40="pons",$G$50/($G$48-MAX(0,(C96-$G$43)*$D$45)/(1-$G$42-$J$48))-$G$49,IF($G$40="four-stock",(E96-$G$49)/(1-$G$42),(E96-$G$49)*(1+$G$42))))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IF(D97="","",$J$41+IF($G$40="pons",$G$50/($G$48-MAX(0,(C97-$G$43)*$D$45)/(1-$G$42-$J$48))-$G$49,IF($G$40="four-stock",(E97-$G$49)/(1-$G$42),(E97-$G$49)*(1+$G$42))))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IF(D98="","",$J$41+IF($G$40="pons",$G$50/($G$48-MAX(0,(C98-$G$43)*$D$45)/(1-$G$42-$J$48))-$G$49,IF($G$40="four-stock",(E98-$G$49)/(1-$G$42),(E98-$G$49)*(1+$G$42))))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IF(D99="","",$J$41+IF($G$40="pons",$G$50/($G$48-MAX(0,(C99-$G$43)*$D$45)/(1-$G$42-$J$48))-$G$49,IF($G$40="four-stock",(E99-$G$49)/(1-$G$42),(E99-$G$49)*(1+$G$42))))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IF(D100="","",$J$41+IF($G$40="pons",$G$50/($G$48-MAX(0,(C100-$G$43)*$D$45)/(1-$G$42-$J$48))-$G$49,IF($G$40="four-stock",(E100-$G$49)/(1-$G$42),(E100-$G$49)*(1+$G$42))))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IF(D101="","",$J$41+IF($G$40="pons",$G$50/($G$48-MAX(0,(C101-$G$43)*$D$45)/(1-$G$42-$J$48))-$G$49,IF($G$40="four-stock",(E101-$G$49)/(1-$G$42),(E101-$G$49)*(1+$G$42))))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IF(D102="","",$J$41+IF($G$40="pons",$G$50/($G$48-MAX(0,(C102-$G$43)*$D$45)/(1-$G$42-$J$48))-$G$49,IF($G$40="four-stock",(E102-$G$49)/(1-$G$42),(E102-$G$49)*(1+$G$42))))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IF(D103="","",$J$41+IF($G$40="pons",$G$50/($G$48-MAX(0,(C103-$G$43)*$D$45)/(1-$G$42-$J$48))-$G$49,IF($G$40="four-stock",(E103-$G$49)/(1-$G$42),(E103-$G$49)*(1+$G$42))))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IF(D104="","",$J$41+IF($G$40="pons",$G$50/($G$48-MAX(0,(C104-$G$43)*$D$45)/(1-$G$42-$J$48))-$G$49,IF($G$40="four-stock",(E104-$G$49)/(1-$G$42),(E104-$G$49)*(1+$G$42))))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IF(D105="","",$J$41+IF($G$40="pons",$G$50/($G$48-MAX(0,(C105-$G$43)*$D$45)/(1-$G$42-$J$48))-$G$49,IF($G$40="four-stock",(E105-$G$49)/(1-$G$42),(E105-$G$49)*(1+$G$42))))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IF(D106="","",$J$41+IF($G$40="pons",$G$50/($G$48-MAX(0,(C106-$G$43)*$D$45)/(1-$G$42-$J$48))-$G$49,IF($G$40="four-stock",(E106-$G$49)/(1-$G$42),(E106-$G$49)*(1+$G$42))))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IF(D107="","",$J$41+IF($G$40="pons",$G$50/($G$48-MAX(0,(C107-$G$43)*$D$45)/(1-$G$42-$J$48))-$G$49,IF($G$40="four-stock",(E107-$G$49)/(1-$G$42),(E107-$G$49)*(1+$G$42))))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IF(D108="","",$J$41+IF($G$40="pons",$G$50/($G$48-MAX(0,(C108-$G$43)*$D$45)/(1-$G$42-$J$48))-$G$49,IF($G$40="four-stock",(E108-$G$49)/(1-$G$42),(E108-$G$49)*(1+$G$42))))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IF(D109="","",$J$41+IF($G$40="pons",$G$50/($G$48-MAX(0,(C109-$G$43)*$D$45)/(1-$G$42-$J$48))-$G$49,IF($G$40="four-stock",(E109-$G$49)/(1-$G$42),(E109-$G$49)*(1+$G$42))))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IF(D110="","",$J$41+IF($G$40="pons",$G$50/($G$48-MAX(0,(C110-$G$43)*$D$45)/(1-$G$42-$J$48))-$G$49,IF($G$40="four-stock",(E110-$G$49)/(1-$G$42),(E110-$G$49)*(1+$G$42))))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IF(D111="","",$J$41+IF($G$40="pons",$G$50/($G$48-MAX(0,(C111-$G$43)*$D$45)/(1-$G$42-$J$48))-$G$49,IF($G$40="four-stock",(E111-$G$49)/(1-$G$42),(E111-$G$49)*(1+$G$42))))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IF(D112="","",$J$41+IF($G$40="pons",$G$50/($G$48-MAX(0,(C112-$G$43)*$D$45)/(1-$G$42-$J$48))-$G$49,IF($G$40="four-stock",(E112-$G$49)/(1-$G$42),(E112-$G$49)*(1+$G$42))))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6.4377</v>
      </c>
      <c r="I14" s="17">
        <v>752.7981080507881</v>
      </c>
      <c r="J14" s="6">
        <v>46285.27349457176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</row>
  </sheetData>
  <mergeCells>
    <mergeCell ref="C3:M3"/>
    <mergeCell ref="D11:M11"/>
  </mergeCells>
  <pageMargins left="0.7" right="0.7" top="0.75" bottom="0.75" header="0.3" footer="0.3"/>
</worksheet>
</file>