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0e6fe84704a6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875033a8ecc4db1"/>
    <sheet name="Quote参数" sheetId="2" r:id="R1cee2a598a844959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5e001658d542cc" /><Relationship Type="http://schemas.openxmlformats.org/officeDocument/2006/relationships/theme" Target="/xl/theme/theme1.xml" Id="R4ffb94c6698d4018" /><Relationship Type="http://schemas.openxmlformats.org/officeDocument/2006/relationships/sharedStrings" Target="/xl/sharedStrings.xml" Id="R6065446411884a17" /><Relationship Type="http://schemas.openxmlformats.org/officeDocument/2006/relationships/worksheet" Target="/xl/worksheets/sheet1.xml" Id="R7875033a8ecc4db1" /><Relationship Type="http://schemas.openxmlformats.org/officeDocument/2006/relationships/worksheet" Target="/xl/worksheets/sheet2.xml" Id="R1cee2a598a8449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</v>
      </c>
      <c r="E8" s="35" t="str">
        <v>预算沿用 +1%</v>
      </c>
      <c r="F8" s="35" t="str">
        <v>内盘地址 / 套</v>
      </c>
      <c r="G8" s="49" t="n">
        <v>10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51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手动价格只用于 USDT 换算，不改变 Quote 控筹预算。清空覆盖格后恢复自动取价。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1">
        <f>IF(ISNUMBER($D$26),(IF(LEFT($D$30,2)&lt;&gt;"可达","",IF($D$22="","",SUM($D$22,$D$23,$D$24,$D$25))))+$D$26,"")</f>
      </c>
      <c r="E18" s="58">
        <f>$D$7</f>
      </c>
      <c r="F18" s="101" t="str">
        <v>原生币 Gas 储备</v>
      </c>
      <c r="G18" s="68">
        <f>$D$32*MAX(0,$G$11)</f>
      </c>
      <c r="H18" s="58" t="str">
        <v>BNB</v>
      </c>
      <c r="I18" s="101" t="str">
        <v>总折算 / USDT</v>
      </c>
      <c r="J18" s="111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2">
        <f>IF(ISNUMBER($D$18),IF($D$18=0,0,IF($D$33&gt;0,$D$18*$D$33,"")),"")</f>
      </c>
      <c r="E19" s="100" t="str">
        <v>USDT</v>
      </c>
      <c r="F19" s="101" t="str">
        <v>Gas 折算 / USDT</v>
      </c>
      <c r="G19" s="112">
        <f>IF($G$18=0,0,IF($J$19="","",$G$18*$J$19))</f>
      </c>
      <c r="H19" s="100" t="str">
        <v>USDT</v>
      </c>
      <c r="I19" s="101" t="str">
        <v>原生币价格 / USDT</v>
      </c>
      <c r="J19" s="113">
        <f>IF($D$7="BNB",$D$33,IF('Quote参数'!$P$7&gt;0,'Quote参数'!$P$7,""))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"&amp;TEXT($D$31,"0%")&amp;" 理论资金"</f>
      </c>
      <c r="D22" s="112">
        <f>IF(LEFT($D$30,2)&lt;&gt;"可达","",IF($J$45="","",$J$41+$J$45))</f>
      </c>
      <c r="E22" s="100">
        <f>$D$7</f>
      </c>
      <c r="F22" s="100"/>
      <c r="G22" s="100"/>
      <c r="H22" s="100"/>
      <c r="I22" s="109" t="str">
        <v>内盘</v>
      </c>
      <c r="J22" s="110"/>
      <c r="K22" s="110"/>
      <c r="L22" s="110"/>
    </row>
    <row r="23" ht="20" customHeight="1">
      <c r="A23" s="2"/>
      <c r="B23" s="2"/>
      <c r="C23" s="101" t="str">
        <v>额外内盘资金</v>
      </c>
      <c r="D23" s="112">
        <f>IF(LEFT($D$30,2)&lt;&gt;"可达","",$J$41*MAX(0,$G$7-1))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4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2">
        <f>IF(LEFT($D$30,2)&lt;&gt;"可达","",IF($J$46="","",$J$46*$J$47))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4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2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4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2">
        <f>IF(LEFT($D$30,2)&lt;&gt;"可达","",MAX(0,($G$50/$J$55-$G$50/$J$56)*(1+$G$42)))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5">
        <f>$D$8*$J$54</f>
      </c>
      <c r="E27" s="100"/>
      <c r="F27" s="100"/>
      <c r="G27" s="100"/>
      <c r="H27" s="100"/>
      <c r="I27" s="109" t="str">
        <v>外盘 · LP</v>
      </c>
      <c r="J27" s="110"/>
      <c r="K27" s="110"/>
      <c r="L27" s="110"/>
    </row>
    <row r="28" ht="20" customHeight="1">
      <c r="A28" s="2"/>
      <c r="B28" s="2"/>
      <c r="C28" s="101" t="str">
        <v>补回目标控筹率</v>
      </c>
      <c r="D28" s="114">
        <f>$D$8</f>
      </c>
      <c r="E28" s="100"/>
      <c r="F28" s="100"/>
      <c r="G28" s="100"/>
      <c r="H28" s="100"/>
      <c r="I28" s="101" t="str">
        <v>基础手续费</v>
      </c>
      <c r="J28" s="114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4">
        <f>$J$47</f>
      </c>
      <c r="E29" s="100"/>
      <c r="F29" s="100"/>
      <c r="G29" s="100"/>
      <c r="H29" s="100"/>
      <c r="I29" s="101" t="str">
        <v>买入含税费率</v>
      </c>
      <c r="J29" s="114">
        <f>$G$42+$J$7</f>
      </c>
      <c r="K29" s="100"/>
      <c r="L29" s="100"/>
    </row>
    <row r="30" ht="32" customHeight="1">
      <c r="A30" s="2"/>
      <c r="B30" s="2"/>
      <c r="C30" s="101" t="str">
        <v>目标是否可达</v>
      </c>
      <c r="D30" s="101">
        <f>IF($J$51&lt;&gt;"参数有效",$J$51,IF(OR($D$8&lt;80%,$D$8&gt;=100%),"目标控筹率无效",IF(OR($J$7&lt;0,$J$7&gt;10%,$J$8&lt;0,$J$8&gt;10%),"税率无效",IF($D$31&gt;=$G$32,"目标+1%不可达","可达"))))</f>
      </c>
      <c r="E30" s="100"/>
      <c r="F30" s="100"/>
      <c r="G30" s="100"/>
      <c r="H30" s="100"/>
      <c r="I30" s="101" t="str">
        <v>卖出含税费率</v>
      </c>
      <c r="J30" s="114">
        <f>$G$42+$J$8</f>
      </c>
      <c r="K30" s="100"/>
      <c r="L30" s="100"/>
    </row>
    <row r="31" ht="20" customHeight="1">
      <c r="A31" s="2"/>
      <c r="B31" s="2"/>
      <c r="C31" s="101" t="str">
        <v>预算使用控筹率</v>
      </c>
      <c r="D31" s="114">
        <f>$D$8+1%</f>
      </c>
      <c r="E31" s="100"/>
      <c r="F31" s="100"/>
      <c r="G31" s="100"/>
      <c r="H31" s="100"/>
      <c r="I31" s="100"/>
      <c r="J31" s="100"/>
      <c r="K31" s="100"/>
      <c r="L31" s="100"/>
    </row>
    <row r="32" ht="20" customHeight="1">
      <c r="A32" s="2"/>
      <c r="B32" s="2"/>
      <c r="C32" s="101" t="str">
        <v>地址总数</v>
      </c>
      <c r="D32" s="112">
        <f>MAX(0,$G$8)*MAX(0,$G$7)+MAX(0,$G$9)+MAX(0,$G$10)</f>
      </c>
      <c r="E32" s="100"/>
      <c r="F32" s="101" t="str">
        <v>当前控筹上限</v>
      </c>
      <c r="G32" s="114">
        <f>$G$43+(1-$J$7)*$G$48/1000000000</f>
      </c>
      <c r="H32" s="100"/>
      <c r="I32" s="100"/>
      <c r="J32" s="100"/>
      <c r="K32" s="100"/>
      <c r="L32" s="100"/>
    </row>
    <row r="33" ht="20" customHeight="1">
      <c r="A33" s="2"/>
      <c r="B33" s="2"/>
      <c r="C33" s="101" t="str">
        <v>Quote 价格 / USDT</v>
      </c>
      <c r="D33" s="113">
        <f>IF($D$9&lt;&gt;"",IF(AND(ISNUMBER($D$9),$D$9&gt;0),$D$9,""),IF(VLOOKUP($D$7,'Quote参数'!$E$14:$P$36,12,FALSE)&gt;0,VLOOKUP($D$7,'Quote参数'!$E$14:$P$36,12,FALSE),""))</f>
      </c>
      <c r="E33" s="100"/>
      <c r="F33" s="100"/>
      <c r="G33" s="100"/>
      <c r="H33" s="100"/>
      <c r="I33" s="100"/>
      <c r="J33" s="100"/>
      <c r="K33" s="100"/>
      <c r="L33" s="100"/>
    </row>
    <row r="34" ht="20" customHeight="1">
      <c r="A34" s="2"/>
      <c r="B34" s="2"/>
      <c r="C34" s="101" t="str">
        <v>行情时间 / UTC</v>
      </c>
      <c r="D34" s="116">
        <f>IF(VLOOKUP($D$7,'Quote参数'!$E$14:$Q$36,13,FALSE)=0,"",VLOOKUP($D$7,'Quote参数'!$E$14:$Q$36,13,FALSE))</f>
      </c>
      <c r="E34" s="100"/>
      <c r="F34" s="100"/>
      <c r="G34" s="100"/>
      <c r="H34" s="100"/>
      <c r="I34" s="100"/>
      <c r="J34" s="100"/>
      <c r="K34" s="100"/>
      <c r="L34" s="100"/>
    </row>
    <row r="35" ht="20" customHeight="1">
      <c r="A35" s="2"/>
      <c r="B35" s="2"/>
      <c r="C35" s="101" t="str">
        <v>价格采用方式</v>
      </c>
      <c r="D35" s="100">
        <f>IF($D$9&lt;&gt;"","手动覆盖","每日行情")</f>
      </c>
      <c r="E35" s="100"/>
      <c r="F35" s="101">
        <f>IF($D$9&lt;&gt;"",IF($D$33="","手动价格无效","手动价格"),IF($D$33="","缺少价格","每日行情"))</f>
      </c>
      <c r="G35" s="101"/>
      <c r="H35" s="101"/>
      <c r="I35" s="100"/>
      <c r="J35" s="100"/>
      <c r="K35" s="100"/>
      <c r="L35" s="100"/>
    </row>
    <row r="36" ht="30" customHeight="1">
      <c r="A36" s="2"/>
      <c r="B36" s="2"/>
      <c r="C36" s="105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5"/>
      <c r="E36" s="105"/>
      <c r="F36" s="105"/>
      <c r="G36" s="105"/>
      <c r="H36" s="105"/>
      <c r="I36" s="105"/>
      <c r="J36" s="105"/>
      <c r="K36" s="105"/>
      <c r="L36" s="105"/>
    </row>
    <row r="37" ht="22" customHeight="1">
      <c r="A37" s="2"/>
      <c r="B37" s="2"/>
      <c r="C37" s="117" t="str">
        <v>沉没成本（模型参考，不重复计入预算）</v>
      </c>
      <c r="D37" s="117"/>
      <c r="E37" s="117"/>
      <c r="F37" s="117"/>
      <c r="G37" s="118">
        <f>E125</f>
      </c>
      <c r="H37" s="117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104" t="str">
        <v>三、模型信息与计算口径（默认折叠，点左侧 + 展开）</v>
      </c>
      <c r="D39" s="104"/>
      <c r="E39" s="104"/>
      <c r="F39" s="104"/>
      <c r="G39" s="104"/>
      <c r="H39" s="104"/>
      <c r="I39" s="104"/>
      <c r="J39" s="104"/>
      <c r="K39" s="104"/>
      <c r="L39" s="104"/>
    </row>
    <row r="40" ht="20" customHeight="1" outlineLevel="1" hidden="1">
      <c r="A40"/>
      <c r="B40"/>
      <c r="C40" t="str">
        <v>Quote 信息</v>
      </c>
      <c r="D40"/>
      <c r="E40"/>
      <c r="F40" t="str">
        <v>协议与曲线参数</v>
      </c>
      <c r="G40"/>
      <c r="H40"/>
      <c r="I40" t="str">
        <v>预算中间计算</v>
      </c>
      <c r="J40"/>
      <c r="K40"/>
      <c r="L40"/>
    </row>
    <row r="41" ht="36" customHeight="1" outlineLevel="1" hidden="1">
      <c r="A41"/>
      <c r="B41"/>
      <c r="C41" t="str">
        <v>Quote 名称</v>
      </c>
      <c r="D41">
        <f>VLOOKUP($D$7,'Quote参数'!$E$14:$M$36,2,FALSE)</f>
      </c>
      <c r="E41"/>
      <c r="F41" t="str">
        <v>内盘基础费</v>
      </c>
      <c r="G41">
        <f>0.01</f>
      </c>
      <c r="H41"/>
      <c r="I41" t="str">
        <v>一套内盘打满 / Quote</v>
      </c>
      <c r="J41">
        <f>$G$44*(1+$G$41+$J$7)</f>
      </c>
      <c r="K41"/>
      <c r="L41"/>
    </row>
    <row r="42" ht="36" customHeight="1" outlineLevel="1" hidden="1">
      <c r="A42"/>
      <c r="B42"/>
      <c r="C42" t="str">
        <v>Quote 合约</v>
      </c>
      <c r="D42">
        <f>VLOOKUP($D$7,'Quote参数'!$E$14:$M$36,3,FALSE)</f>
      </c>
      <c r="E42"/>
      <c r="F42" t="str">
        <v>外盘 LP 费</v>
      </c>
      <c r="G42">
        <f>0.0025</f>
      </c>
      <c r="H42"/>
      <c r="I42" t="str">
        <v>目标+1% Pool TOKEN</v>
      </c>
      <c r="J42">
        <f>IF($J$49="","",$G$48-$J$49)</f>
      </c>
      <c r="K42"/>
      <c r="L42"/>
    </row>
    <row r="43" ht="36" customHeight="1" outlineLevel="1" hidden="1">
      <c r="A43"/>
      <c r="B43"/>
      <c r="C43"/>
      <c r="D43"/>
      <c r="E43"/>
      <c r="F43" t="str">
        <v>毕业控筹率</v>
      </c>
      <c r="G43">
        <f>0.8</f>
      </c>
      <c r="H43"/>
      <c r="I43" t="str">
        <v>目标+1% Pool Quote</v>
      </c>
      <c r="J43">
        <f>IF($J$42="","",$G$50/$J$42)</f>
      </c>
      <c r="K43"/>
      <c r="L43"/>
    </row>
    <row r="44" ht="6" customHeight="1" outlineLevel="1" hidden="1">
      <c r="A44"/>
      <c r="B44"/>
      <c r="C44" t="str">
        <v>Decimals</v>
      </c>
      <c r="D44">
        <f>VLOOKUP($D$7,'Quote参数'!$E$14:$M$36,4,FALSE)</f>
      </c>
      <c r="E44"/>
      <c r="F44" t="str">
        <v>毕业真实 Quote</v>
      </c>
      <c r="G44">
        <f>VLOOKUP($D$7,'Quote参数'!$E$14:$M$36,8,FALSE)</f>
      </c>
      <c r="H44"/>
      <c r="I44" t="str">
        <v>外盘净增加 / Quote</v>
      </c>
      <c r="J44">
        <f>IF($J$43="","",MAX(0,$J$43-$G$44))</f>
      </c>
      <c r="K44"/>
      <c r="L44"/>
    </row>
    <row r="45" ht="6" customHeight="1" outlineLevel="1" hidden="1">
      <c r="A45"/>
      <c r="B45"/>
      <c r="C45" t="str">
        <v>总供应量</v>
      </c>
      <c r="D45" t="n">
        <v>1000000000</v>
      </c>
      <c r="E45"/>
      <c r="F45" t="str">
        <v>内盘初始 TOKEN</v>
      </c>
      <c r="G45">
        <f>$D$45+$G$52</f>
      </c>
      <c r="H45"/>
      <c r="I45" t="str">
        <v>外盘含费投入 / Quote</v>
      </c>
      <c r="J45">
        <f>IF($J$44="","",$J$44*(1+$G$42))</f>
      </c>
      <c r="K45"/>
      <c r="L45"/>
    </row>
    <row r="46" ht="6" customHeight="1" outlineLevel="1" hidden="1">
      <c r="A46"/>
      <c r="B46"/>
      <c r="C46" t="str">
        <v>协议参数时点</v>
      </c>
      <c r="D46" t="str">
        <v>2026-09-10 / block 121074671</v>
      </c>
      <c r="E46"/>
      <c r="F46" t="str">
        <v>虚拟 Quote r</v>
      </c>
      <c r="G46">
        <f>VLOOKUP($D$7,'Quote参数'!$E$14:$M$36,5,FALSE)</f>
      </c>
      <c r="H46"/>
      <c r="I46" t="str">
        <v>目标+1% FDV / Quote</v>
      </c>
      <c r="J46">
        <f>IF($J$43="","",$J$43/$J$42*1000000000)</f>
      </c>
      <c r="K46"/>
      <c r="L46"/>
    </row>
    <row r="47" ht="24" customHeight="1" outlineLevel="1" hidden="1">
      <c r="A47"/>
      <c r="B47"/>
      <c r="C47" t="str">
        <v>外盘机制</v>
      </c>
      <c r="D47" t="str">
        <v>Pancake V3</v>
      </c>
      <c r="E47"/>
      <c r="F47" t="str">
        <v>内盘 k</v>
      </c>
      <c r="G47">
        <f>VLOOKUP($D$7,'Quote参数'!$E$14:$M$36,7,FALSE)</f>
      </c>
      <c r="H47"/>
      <c r="I47" t="str">
        <v>洗筹总费率</v>
      </c>
      <c r="J47">
        <f>$G$42*2+$J$7+$J$8</f>
      </c>
      <c r="K47"/>
      <c r="L47"/>
    </row>
    <row r="48" ht="30" customHeight="1" outlineLevel="1" hidden="1">
      <c r="A48"/>
      <c r="B48"/>
      <c r="C48" t="str">
        <v>费用方向</v>
      </c>
      <c r="D48" t="str">
        <v>内盘买税加收 Quote；DEX 买税扣 TOKEN 输出</v>
      </c>
      <c r="E48"/>
      <c r="F48" t="str">
        <v>外盘初始 TOKEN</v>
      </c>
      <c r="G48">
        <f>1000000000*(1-0.8)</f>
      </c>
      <c r="H48"/>
      <c r="I48" t="str">
        <v>外盘净控筹 TOKEN</v>
      </c>
      <c r="J48">
        <f>IF($D$31&lt;$G$32,MAX(0,($D$31-$G$43)*1000000000),"")</f>
      </c>
      <c r="K48"/>
      <c r="L48"/>
    </row>
    <row r="49" ht="20" customHeight="1" outlineLevel="1" hidden="1">
      <c r="A49"/>
      <c r="B49"/>
      <c r="C49" t="str">
        <v>洗筹口径</v>
      </c>
      <c r="D49" t="str">
        <v>目标+1% FDV ×（2×LP费 + 买税 + 卖税）</v>
      </c>
      <c r="E49"/>
      <c r="F49" t="str">
        <v>外盘初始 Quote</v>
      </c>
      <c r="G49">
        <f>$G$44</f>
      </c>
      <c r="H49"/>
      <c r="I49" t="str">
        <v>外盘需扫 TOKEN</v>
      </c>
      <c r="J49">
        <f>IF($J$48="","",$J$48/(1-$J$7))</f>
      </c>
      <c r="K49"/>
      <c r="L49"/>
    </row>
    <row r="50" ht="20" customHeight="1" outlineLevel="1" hidden="1">
      <c r="A50"/>
      <c r="B50"/>
      <c r="C50"/>
      <c r="D50"/>
      <c r="E50"/>
      <c r="F50" t="str">
        <v>外盘 k</v>
      </c>
      <c r="G50">
        <f>VLOOKUP($D$7,'Quote参数'!$E$14:$N$36,10,FALSE)</f>
      </c>
      <c r="H50"/>
      <c r="I50"/>
      <c r="J50"/>
      <c r="K50"/>
      <c r="L50"/>
    </row>
    <row r="51" ht="20" customHeight="1" outlineLevel="1" hidden="1">
      <c r="A51"/>
      <c r="B51"/>
      <c r="C51"/>
      <c r="D51"/>
      <c r="E51"/>
      <c r="F51" t="str">
        <v>协议来源</v>
      </c>
      <c r="G51" t="str">
        <v>Quote参数页</v>
      </c>
      <c r="H51"/>
      <c r="I51" t="str">
        <v>输入检查</v>
      </c>
      <c r="J51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/>
      <c r="L51"/>
    </row>
    <row r="52" ht="20" customHeight="1" outlineLevel="1" hidden="1">
      <c r="A52"/>
      <c r="B52"/>
      <c r="C52"/>
      <c r="D52"/>
      <c r="E52"/>
      <c r="F52" t="str">
        <v>虚拟 TOKEN h</v>
      </c>
      <c r="G52">
        <f>VLOOKUP($D$7,'Quote参数'!$E$14:$M$36,6,FALSE)</f>
      </c>
      <c r="H52"/>
      <c r="I52"/>
      <c r="J52"/>
      <c r="K52"/>
      <c r="L52"/>
    </row>
    <row r="53" ht="20" customHeight="1" outlineLevel="1" hidden="1">
      <c r="A53"/>
      <c r="B53"/>
      <c r="C53"/>
      <c r="D53"/>
      <c r="E53"/>
      <c r="F53" t="str">
        <v>买税方向</v>
      </c>
      <c r="G53" t="str">
        <v>TOKEN 输出端</v>
      </c>
      <c r="H53"/>
      <c r="I53"/>
      <c r="J53"/>
      <c r="K53"/>
      <c r="L53"/>
    </row>
    <row r="54" ht="20" customHeight="1" outlineLevel="1" hidden="1">
      <c r="A54"/>
      <c r="B54"/>
      <c r="C54"/>
      <c r="D54"/>
      <c r="E54"/>
      <c r="F54"/>
      <c r="G54"/>
      <c r="H54"/>
      <c r="I54" s="102" t="str">
        <v>洗后持仓保留比例</v>
      </c>
      <c r="J54">
        <f>(1-$J$7)*(1-$J$8)*(1-$G$42)^2</f>
      </c>
      <c r="K54"/>
      <c r="L54"/>
    </row>
    <row r="55" ht="20" customHeight="1" outlineLevel="1" hidden="1">
      <c r="A55"/>
      <c r="B55"/>
      <c r="C55"/>
      <c r="D55"/>
      <c r="E55"/>
      <c r="F55"/>
      <c r="G55"/>
      <c r="H55"/>
      <c r="I55" s="102" t="str">
        <v>目标外盘 Pool TOKEN</v>
      </c>
      <c r="J55">
        <f>$G$48-($D$8-$G$43)*$D$45/(1-$J$7)</f>
      </c>
      <c r="K55"/>
      <c r="L55"/>
    </row>
    <row r="56" ht="20" customHeight="1" outlineLevel="1" hidden="1">
      <c r="A56"/>
      <c r="B56"/>
      <c r="C56"/>
      <c r="D56"/>
      <c r="E56"/>
      <c r="F56"/>
      <c r="G56"/>
      <c r="H56"/>
      <c r="I56" s="102" t="str">
        <v>洗后外盘 Pool TOKEN</v>
      </c>
      <c r="J56">
        <f>$G$48-($D$27-$G$43)*$D$45/(1-$J$7)</f>
      </c>
      <c r="K56"/>
      <c r="L56"/>
    </row>
    <row r="57" ht="20" customHeight="1">
      <c r="A57"/>
      <c r="B57"/>
      <c r="C57" t="str">
        <v>内盘曲线</v>
      </c>
      <c r="D57"/>
      <c r="E57"/>
      <c r="F57"/>
      <c r="G57"/>
      <c r="H57"/>
      <c r="I57"/>
      <c r="J57"/>
      <c r="K57"/>
      <c r="L57"/>
    </row>
    <row r="58" ht="20" customHeight="1">
      <c r="A58"/>
      <c r="B58"/>
      <c r="C58" t="str">
        <v>控筹率</v>
      </c>
      <c r="D58" t="str">
        <v>pooled TOKEN</v>
      </c>
      <c r="E58" t="str">
        <v>pooled Quote</v>
      </c>
      <c r="F58" t="str">
        <v>价格 / Quote</v>
      </c>
      <c r="G58" t="str">
        <v>价格 / USDT</v>
      </c>
      <c r="H58" t="str">
        <v>市值 / Quote</v>
      </c>
      <c r="I58" t="str">
        <v>市值 / USDT</v>
      </c>
      <c r="J58" t="str">
        <v>区间净投入
/ Quote</v>
      </c>
      <c r="K58" t="str">
        <v>区间含费
/ Quote</v>
      </c>
      <c r="L58" t="str">
        <v>理论累计所需
/ Quote</v>
      </c>
    </row>
    <row r="59" ht="20" customHeight="1">
      <c r="A59"/>
      <c r="B59"/>
      <c r="C59" t="n">
        <v>0</v>
      </c>
      <c r="D59" s="119">
        <f>$D$45+$G$52-$D$45*C59</f>
      </c>
      <c r="E59" s="119">
        <f>$G$47/D59</f>
      </c>
      <c r="F59">
        <f>IF(OR(D59="",E59=""),"",E59/D59)</f>
      </c>
      <c r="G59">
        <f>IF(OR($D$33="",NOT(ISNUMBER(F59))),"",F59*$D$33)</f>
      </c>
      <c r="H59" s="119">
        <f>IF(NOT(ISNUMBER(F59)),"",F59*$D$45)</f>
      </c>
      <c r="I59" s="119">
        <f>IF(OR($D$33="",NOT(ISNUMBER(H59))),"",H59*$D$33)</f>
      </c>
      <c r="J59" s="119">
        <f>0</f>
      </c>
      <c r="K59" s="119">
        <f>J59*(1+$G$41+$J$7)</f>
      </c>
      <c r="L59" s="119">
        <f>(E59-$G$46)*(1+$G$41+$J$7)</f>
      </c>
    </row>
    <row r="60" ht="24" customHeight="1">
      <c r="A60"/>
      <c r="B60"/>
      <c r="C60" t="n">
        <v>0.1</v>
      </c>
      <c r="D60" s="119">
        <f>$D$45+$G$52-$D$45*C60</f>
      </c>
      <c r="E60" s="119">
        <f>$G$47/D60</f>
      </c>
      <c r="F60">
        <f>IF(OR(D60="",E60=""),"",E60/D60)</f>
      </c>
      <c r="G60">
        <f>IF(OR($D$33="",NOT(ISNUMBER(F60))),"",F60*$D$33)</f>
      </c>
      <c r="H60" s="119">
        <f>IF(NOT(ISNUMBER(F60)),"",F60*$D$45)</f>
      </c>
      <c r="I60" s="119">
        <f>IF(OR($D$33="",NOT(ISNUMBER(H60))),"",H60*$D$33)</f>
      </c>
      <c r="J60" s="119">
        <f>E60-E59</f>
      </c>
      <c r="K60" s="119">
        <f>J60*(1+$G$41+$J$7)</f>
      </c>
      <c r="L60" s="119">
        <f>(E60-$G$46)*(1+$G$41+$J$7)</f>
      </c>
    </row>
    <row r="61" ht="30" customHeight="1">
      <c r="A61"/>
      <c r="B61"/>
      <c r="C61" t="n">
        <v>0.2</v>
      </c>
      <c r="D61" s="119">
        <f>$D$45+$G$52-$D$45*C61</f>
      </c>
      <c r="E61" s="119">
        <f>$G$47/D61</f>
      </c>
      <c r="F61">
        <f>IF(OR(D61="",E61=""),"",E61/D61)</f>
      </c>
      <c r="G61">
        <f>IF(OR($D$33="",NOT(ISNUMBER(F61))),"",F61*$D$33)</f>
      </c>
      <c r="H61" s="119">
        <f>IF(NOT(ISNUMBER(F61)),"",F61*$D$45)</f>
      </c>
      <c r="I61" s="119">
        <f>IF(OR($D$33="",NOT(ISNUMBER(H61))),"",H61*$D$33)</f>
      </c>
      <c r="J61" s="119">
        <f>E61-E60</f>
      </c>
      <c r="K61" s="119">
        <f>J61*(1+$G$41+$J$7)</f>
      </c>
      <c r="L61" s="119">
        <f>(E61-$G$46)*(1+$G$41+$J$7)</f>
      </c>
    </row>
    <row r="62" ht="20" customHeight="1">
      <c r="A62"/>
      <c r="B62"/>
      <c r="C62" t="n">
        <v>0.3</v>
      </c>
      <c r="D62" s="119">
        <f>$D$45+$G$52-$D$45*C62</f>
      </c>
      <c r="E62" s="119">
        <f>$G$47/D62</f>
      </c>
      <c r="F62">
        <f>IF(OR(D62="",E62=""),"",E62/D62)</f>
      </c>
      <c r="G62">
        <f>IF(OR($D$33="",NOT(ISNUMBER(F62))),"",F62*$D$33)</f>
      </c>
      <c r="H62" s="119">
        <f>IF(NOT(ISNUMBER(F62)),"",F62*$D$45)</f>
      </c>
      <c r="I62" s="119">
        <f>IF(OR($D$33="",NOT(ISNUMBER(H62))),"",H62*$D$33)</f>
      </c>
      <c r="J62" s="119">
        <f>E62-E61</f>
      </c>
      <c r="K62" s="119">
        <f>J62*(1+$G$41+$J$7)</f>
      </c>
      <c r="L62" s="119">
        <f>(E62-$G$46)*(1+$G$41+$J$7)</f>
      </c>
    </row>
    <row r="63" ht="20" customHeight="1">
      <c r="A63"/>
      <c r="B63"/>
      <c r="C63" t="n">
        <v>0.4</v>
      </c>
      <c r="D63" s="119">
        <f>$D$45+$G$52-$D$45*C63</f>
      </c>
      <c r="E63" s="119">
        <f>$G$47/D63</f>
      </c>
      <c r="F63">
        <f>IF(OR(D63="",E63=""),"",E63/D63)</f>
      </c>
      <c r="G63">
        <f>IF(OR($D$33="",NOT(ISNUMBER(F63))),"",F63*$D$33)</f>
      </c>
      <c r="H63" s="119">
        <f>IF(NOT(ISNUMBER(F63)),"",F63*$D$45)</f>
      </c>
      <c r="I63" s="119">
        <f>IF(OR($D$33="",NOT(ISNUMBER(H63))),"",H63*$D$33)</f>
      </c>
      <c r="J63" s="119">
        <f>E63-E62</f>
      </c>
      <c r="K63" s="119">
        <f>J63*(1+$G$41+$J$7)</f>
      </c>
      <c r="L63" s="119">
        <f>(E63-$G$46)*(1+$G$41+$J$7)</f>
      </c>
    </row>
    <row r="64" ht="20" customHeight="1">
      <c r="A64"/>
      <c r="B64"/>
      <c r="C64" t="n">
        <v>0.5</v>
      </c>
      <c r="D64" s="119">
        <f>$D$45+$G$52-$D$45*C64</f>
      </c>
      <c r="E64" s="119">
        <f>$G$47/D64</f>
      </c>
      <c r="F64">
        <f>IF(OR(D64="",E64=""),"",E64/D64)</f>
      </c>
      <c r="G64">
        <f>IF(OR($D$33="",NOT(ISNUMBER(F64))),"",F64*$D$33)</f>
      </c>
      <c r="H64" s="119">
        <f>IF(NOT(ISNUMBER(F64)),"",F64*$D$45)</f>
      </c>
      <c r="I64" s="119">
        <f>IF(OR($D$33="",NOT(ISNUMBER(H64))),"",H64*$D$33)</f>
      </c>
      <c r="J64" s="119">
        <f>E64-E63</f>
      </c>
      <c r="K64" s="119">
        <f>J64*(1+$G$41+$J$7)</f>
      </c>
      <c r="L64" s="119">
        <f>(E64-$G$46)*(1+$G$41+$J$7)</f>
      </c>
    </row>
    <row r="65" ht="20" customHeight="1">
      <c r="A65"/>
      <c r="B65"/>
      <c r="C65" t="n">
        <v>0.6</v>
      </c>
      <c r="D65" s="119">
        <f>$D$45+$G$52-$D$45*C65</f>
      </c>
      <c r="E65" s="119">
        <f>$G$47/D65</f>
      </c>
      <c r="F65">
        <f>IF(OR(D65="",E65=""),"",E65/D65)</f>
      </c>
      <c r="G65">
        <f>IF(OR($D$33="",NOT(ISNUMBER(F65))),"",F65*$D$33)</f>
      </c>
      <c r="H65" s="119">
        <f>IF(NOT(ISNUMBER(F65)),"",F65*$D$45)</f>
      </c>
      <c r="I65" s="119">
        <f>IF(OR($D$33="",NOT(ISNUMBER(H65))),"",H65*$D$33)</f>
      </c>
      <c r="J65" s="119">
        <f>E65-E64</f>
      </c>
      <c r="K65" s="119">
        <f>J65*(1+$G$41+$J$7)</f>
      </c>
      <c r="L65" s="119">
        <f>(E65-$G$46)*(1+$G$41+$J$7)</f>
      </c>
    </row>
    <row r="66" ht="20" customHeight="1">
      <c r="A66"/>
      <c r="B66"/>
      <c r="C66" t="n">
        <v>0.7</v>
      </c>
      <c r="D66" s="119">
        <f>$D$45+$G$52-$D$45*C66</f>
      </c>
      <c r="E66" s="119">
        <f>$G$47/D66</f>
      </c>
      <c r="F66">
        <f>IF(OR(D66="",E66=""),"",E66/D66)</f>
      </c>
      <c r="G66">
        <f>IF(OR($D$33="",NOT(ISNUMBER(F66))),"",F66*$D$33)</f>
      </c>
      <c r="H66" s="119">
        <f>IF(NOT(ISNUMBER(F66)),"",F66*$D$45)</f>
      </c>
      <c r="I66" s="119">
        <f>IF(OR($D$33="",NOT(ISNUMBER(H66))),"",H66*$D$33)</f>
      </c>
      <c r="J66" s="119">
        <f>E66-E65</f>
      </c>
      <c r="K66" s="119">
        <f>J66*(1+$G$41+$J$7)</f>
      </c>
      <c r="L66" s="119">
        <f>(E66-$G$46)*(1+$G$41+$J$7)</f>
      </c>
    </row>
    <row r="67" ht="20" customHeight="1">
      <c r="A67"/>
      <c r="B67"/>
      <c r="C67">
        <f>$G$43</f>
      </c>
      <c r="D67" s="119">
        <f>$D$45+$G$52-$D$45*C67</f>
      </c>
      <c r="E67" s="119">
        <f>$G$47/D67</f>
      </c>
      <c r="F67">
        <f>IF(OR(D67="",E67=""),"",E67/D67)</f>
      </c>
      <c r="G67">
        <f>IF(OR($D$33="",NOT(ISNUMBER(F67))),"",F67*$D$33)</f>
      </c>
      <c r="H67" s="119">
        <f>IF(NOT(ISNUMBER(F67)),"",F67*$D$45)</f>
      </c>
      <c r="I67" s="119">
        <f>IF(OR($D$33="",NOT(ISNUMBER(H67))),"",H67*$D$33)</f>
      </c>
      <c r="J67" s="119">
        <f>E67-E66</f>
      </c>
      <c r="K67" s="119">
        <f>J67*(1+$G$41+$J$7)</f>
      </c>
      <c r="L67" s="119">
        <f>(E67-$G$46)*(1+$G$41+$J$7)</f>
      </c>
    </row>
    <row r="68" ht="20" customHeight="1">
      <c r="A68"/>
      <c r="B68"/>
      <c r="C68"/>
      <c r="D68"/>
      <c r="E68"/>
      <c r="F68"/>
      <c r="G68"/>
      <c r="H68"/>
      <c r="I68"/>
      <c r="J68"/>
      <c r="K68"/>
      <c r="L68"/>
    </row>
    <row r="69" ht="20" customHeight="1">
      <c r="A69"/>
      <c r="B69"/>
      <c r="C69"/>
      <c r="D69"/>
      <c r="E69"/>
      <c r="F69"/>
      <c r="G69"/>
      <c r="H69"/>
      <c r="I69"/>
      <c r="J69"/>
      <c r="K69"/>
      <c r="L69"/>
    </row>
    <row r="70" ht="20" customHeight="1">
      <c r="A70"/>
      <c r="B70"/>
      <c r="C70" t="str">
        <v>外盘曲线</v>
      </c>
      <c r="D70"/>
      <c r="E70"/>
      <c r="F70"/>
      <c r="G70"/>
      <c r="H70"/>
      <c r="I70"/>
      <c r="J70"/>
      <c r="K70"/>
      <c r="L70"/>
    </row>
    <row r="71" ht="20" customHeight="1">
      <c r="A71"/>
      <c r="B71"/>
      <c r="C71" t="str">
        <v>控筹率</v>
      </c>
      <c r="D71" t="str">
        <v>pooled TOKEN</v>
      </c>
      <c r="E71" t="str">
        <v>pooled Quote</v>
      </c>
      <c r="F71" t="str">
        <v>价格 / Quote</v>
      </c>
      <c r="G71" t="str">
        <v>价格 / USDT</v>
      </c>
      <c r="H71" t="str">
        <v>市值 / Quote</v>
      </c>
      <c r="I71" t="str">
        <v>市值 / USDT</v>
      </c>
      <c r="J71" t="str">
        <v>外盘净投入
/ Quote</v>
      </c>
      <c r="K71" t="str">
        <v>外盘含费
/ Quote</v>
      </c>
      <c r="L71" t="str">
        <v>理论累计所需
/ Quote</v>
      </c>
    </row>
    <row r="72" ht="20" customHeight="1">
      <c r="A72"/>
      <c r="B72"/>
      <c r="C72">
        <f>$G$43</f>
      </c>
      <c r="D72" s="119">
        <f>$G$48</f>
      </c>
      <c r="E72" s="119">
        <f>$G$44</f>
      </c>
      <c r="F72">
        <f>IF(OR(D72="",E72=""),"",E72/D72)</f>
      </c>
      <c r="G72">
        <f>IF(OR($D$33="",NOT(ISNUMBER(F72))),"",F72*$D$33)</f>
      </c>
      <c r="H72" s="119">
        <f>IF(NOT(ISNUMBER(F72)),"",F72*$D$45)</f>
      </c>
      <c r="I72" s="119">
        <f>IF(OR($D$33="",NOT(ISNUMBER(H72))),"",H72*$D$33)</f>
      </c>
      <c r="J72" s="119">
        <f>0</f>
      </c>
      <c r="K72" s="119">
        <f>0</f>
      </c>
      <c r="L72" s="119">
        <f>$J$41</f>
      </c>
    </row>
    <row r="73" ht="20" customHeight="1">
      <c r="A73"/>
      <c r="B73"/>
      <c r="C73" t="n">
        <v>0.805</v>
      </c>
      <c r="D73" s="119">
        <f>IF(C73&lt;$G$32,$G$48-MAX(0,(C73-$G$43)*$D$45)/(1-$J$7),"")</f>
      </c>
      <c r="E73" s="119">
        <f>IF(D73="","",$G$50/D73)</f>
      </c>
      <c r="F73">
        <f>IF(OR(D73="",E73=""),"",E73/D73)</f>
      </c>
      <c r="G73">
        <f>IF(OR($D$33="",NOT(ISNUMBER(F73))),"",F73*$D$33)</f>
      </c>
      <c r="H73" s="119">
        <f>IF(NOT(ISNUMBER(F73)),"",F73*$D$45)</f>
      </c>
      <c r="I73" s="119">
        <f>IF(OR($D$33="",NOT(ISNUMBER(H73))),"",H73*$D$33)</f>
      </c>
      <c r="J73" s="119">
        <f>IF(E73="","",MAX(0,E73-$G$44))</f>
      </c>
      <c r="K73" s="119">
        <f>IF(J73="","",J73*(1+$G$42))</f>
      </c>
      <c r="L73" s="119">
        <f>IF(K73="","",$J$41+K73)</f>
      </c>
    </row>
    <row r="74" ht="20" customHeight="1">
      <c r="A74"/>
      <c r="B74"/>
      <c r="C74" t="n">
        <v>0.81</v>
      </c>
      <c r="D74" s="119">
        <f>IF(C74&lt;$G$32,$G$48-MAX(0,(C74-$G$43)*$D$45)/(1-$J$7),"")</f>
      </c>
      <c r="E74" s="119">
        <f>IF(D74="","",$G$50/D74)</f>
      </c>
      <c r="F74">
        <f>IF(OR(D74="",E74=""),"",E74/D74)</f>
      </c>
      <c r="G74">
        <f>IF(OR($D$33="",NOT(ISNUMBER(F74))),"",F74*$D$33)</f>
      </c>
      <c r="H74" s="119">
        <f>IF(NOT(ISNUMBER(F74)),"",F74*$D$45)</f>
      </c>
      <c r="I74" s="119">
        <f>IF(OR($D$33="",NOT(ISNUMBER(H74))),"",H74*$D$33)</f>
      </c>
      <c r="J74" s="119">
        <f>IF(E74="","",MAX(0,E74-$G$44))</f>
      </c>
      <c r="K74" s="119">
        <f>IF(J74="","",J74*(1+$G$42))</f>
      </c>
      <c r="L74" s="119">
        <f>IF(K74="","",$J$41+K74)</f>
      </c>
    </row>
    <row r="75" ht="20" customHeight="1">
      <c r="A75"/>
      <c r="B75"/>
      <c r="C75" t="n">
        <v>0.8150000000000001</v>
      </c>
      <c r="D75" s="119">
        <f>IF(C75&lt;$G$32,$G$48-MAX(0,(C75-$G$43)*$D$45)/(1-$J$7),"")</f>
      </c>
      <c r="E75" s="119">
        <f>IF(D75="","",$G$50/D75)</f>
      </c>
      <c r="F75">
        <f>IF(OR(D75="",E75=""),"",E75/D75)</f>
      </c>
      <c r="G75">
        <f>IF(OR($D$33="",NOT(ISNUMBER(F75))),"",F75*$D$33)</f>
      </c>
      <c r="H75" s="119">
        <f>IF(NOT(ISNUMBER(F75)),"",F75*$D$45)</f>
      </c>
      <c r="I75" s="119">
        <f>IF(OR($D$33="",NOT(ISNUMBER(H75))),"",H75*$D$33)</f>
      </c>
      <c r="J75" s="119">
        <f>IF(E75="","",MAX(0,E75-$G$44))</f>
      </c>
      <c r="K75" s="119">
        <f>IF(J75="","",J75*(1+$G$42))</f>
      </c>
      <c r="L75" s="119">
        <f>IF(K75="","",$J$41+K75)</f>
      </c>
    </row>
    <row r="76" ht="20" customHeight="1">
      <c r="A76"/>
      <c r="B76"/>
      <c r="C76" t="n">
        <v>0.8200000000000001</v>
      </c>
      <c r="D76" s="119">
        <f>IF(C76&lt;$G$32,$G$48-MAX(0,(C76-$G$43)*$D$45)/(1-$J$7),"")</f>
      </c>
      <c r="E76" s="119">
        <f>IF(D76="","",$G$50/D76)</f>
      </c>
      <c r="F76">
        <f>IF(OR(D76="",E76=""),"",E76/D76)</f>
      </c>
      <c r="G76">
        <f>IF(OR($D$33="",NOT(ISNUMBER(F76))),"",F76*$D$33)</f>
      </c>
      <c r="H76" s="119">
        <f>IF(NOT(ISNUMBER(F76)),"",F76*$D$45)</f>
      </c>
      <c r="I76" s="119">
        <f>IF(OR($D$33="",NOT(ISNUMBER(H76))),"",H76*$D$33)</f>
      </c>
      <c r="J76" s="119">
        <f>IF(E76="","",MAX(0,E76-$G$44))</f>
      </c>
      <c r="K76" s="119">
        <f>IF(J76="","",J76*(1+$G$42))</f>
      </c>
      <c r="L76" s="119">
        <f>IF(K76="","",$J$41+K76)</f>
      </c>
    </row>
    <row r="77" ht="20" customHeight="1">
      <c r="A77"/>
      <c r="B77"/>
      <c r="C77" t="n">
        <v>0.8250000000000001</v>
      </c>
      <c r="D77" s="119">
        <f>IF(C77&lt;$G$32,$G$48-MAX(0,(C77-$G$43)*$D$45)/(1-$J$7),"")</f>
      </c>
      <c r="E77" s="119">
        <f>IF(D77="","",$G$50/D77)</f>
      </c>
      <c r="F77">
        <f>IF(OR(D77="",E77=""),"",E77/D77)</f>
      </c>
      <c r="G77">
        <f>IF(OR($D$33="",NOT(ISNUMBER(F77))),"",F77*$D$33)</f>
      </c>
      <c r="H77" s="119">
        <f>IF(NOT(ISNUMBER(F77)),"",F77*$D$45)</f>
      </c>
      <c r="I77" s="119">
        <f>IF(OR($D$33="",NOT(ISNUMBER(H77))),"",H77*$D$33)</f>
      </c>
      <c r="J77" s="119">
        <f>IF(E77="","",MAX(0,E77-$G$44))</f>
      </c>
      <c r="K77" s="119">
        <f>IF(J77="","",J77*(1+$G$42))</f>
      </c>
      <c r="L77" s="119">
        <f>IF(K77="","",$J$41+K77)</f>
      </c>
    </row>
    <row r="78" ht="20" customHeight="1">
      <c r="A78"/>
      <c r="B78"/>
      <c r="C78" t="n">
        <v>0.8300000000000001</v>
      </c>
      <c r="D78" s="119">
        <f>IF(C78&lt;$G$32,$G$48-MAX(0,(C78-$G$43)*$D$45)/(1-$J$7),"")</f>
      </c>
      <c r="E78" s="119">
        <f>IF(D78="","",$G$50/D78)</f>
      </c>
      <c r="F78">
        <f>IF(OR(D78="",E78=""),"",E78/D78)</f>
      </c>
      <c r="G78">
        <f>IF(OR($D$33="",NOT(ISNUMBER(F78))),"",F78*$D$33)</f>
      </c>
      <c r="H78" s="119">
        <f>IF(NOT(ISNUMBER(F78)),"",F78*$D$45)</f>
      </c>
      <c r="I78" s="119">
        <f>IF(OR($D$33="",NOT(ISNUMBER(H78))),"",H78*$D$33)</f>
      </c>
      <c r="J78" s="119">
        <f>IF(E78="","",MAX(0,E78-$G$44))</f>
      </c>
      <c r="K78" s="119">
        <f>IF(J78="","",J78*(1+$G$42))</f>
      </c>
      <c r="L78" s="119">
        <f>IF(K78="","",$J$41+K78)</f>
      </c>
    </row>
    <row r="79" ht="20" customHeight="1">
      <c r="A79"/>
      <c r="B79"/>
      <c r="C79" t="n">
        <v>0.8350000000000001</v>
      </c>
      <c r="D79" s="119">
        <f>IF(C79&lt;$G$32,$G$48-MAX(0,(C79-$G$43)*$D$45)/(1-$J$7),"")</f>
      </c>
      <c r="E79" s="119">
        <f>IF(D79="","",$G$50/D79)</f>
      </c>
      <c r="F79">
        <f>IF(OR(D79="",E79=""),"",E79/D79)</f>
      </c>
      <c r="G79">
        <f>IF(OR($D$33="",NOT(ISNUMBER(F79))),"",F79*$D$33)</f>
      </c>
      <c r="H79" s="119">
        <f>IF(NOT(ISNUMBER(F79)),"",F79*$D$45)</f>
      </c>
      <c r="I79" s="119">
        <f>IF(OR($D$33="",NOT(ISNUMBER(H79))),"",H79*$D$33)</f>
      </c>
      <c r="J79" s="119">
        <f>IF(E79="","",MAX(0,E79-$G$44))</f>
      </c>
      <c r="K79" s="119">
        <f>IF(J79="","",J79*(1+$G$42))</f>
      </c>
      <c r="L79" s="119">
        <f>IF(K79="","",$J$41+K79)</f>
      </c>
    </row>
    <row r="80" ht="20" customHeight="1">
      <c r="A80"/>
      <c r="B80"/>
      <c r="C80" t="n">
        <v>0.8400000000000001</v>
      </c>
      <c r="D80" s="119">
        <f>IF(C80&lt;$G$32,$G$48-MAX(0,(C80-$G$43)*$D$45)/(1-$J$7),"")</f>
      </c>
      <c r="E80" s="119">
        <f>IF(D80="","",$G$50/D80)</f>
      </c>
      <c r="F80">
        <f>IF(OR(D80="",E80=""),"",E80/D80)</f>
      </c>
      <c r="G80">
        <f>IF(OR($D$33="",NOT(ISNUMBER(F80))),"",F80*$D$33)</f>
      </c>
      <c r="H80" s="119">
        <f>IF(NOT(ISNUMBER(F80)),"",F80*$D$45)</f>
      </c>
      <c r="I80" s="119">
        <f>IF(OR($D$33="",NOT(ISNUMBER(H80))),"",H80*$D$33)</f>
      </c>
      <c r="J80" s="119">
        <f>IF(E80="","",MAX(0,E80-$G$44))</f>
      </c>
      <c r="K80" s="119">
        <f>IF(J80="","",J80*(1+$G$42))</f>
      </c>
      <c r="L80" s="119">
        <f>IF(K80="","",$J$41+K80)</f>
      </c>
    </row>
    <row r="81" ht="20" customHeight="1">
      <c r="A81"/>
      <c r="B81"/>
      <c r="C81" t="n">
        <v>0.8450000000000001</v>
      </c>
      <c r="D81" s="119">
        <f>IF(C81&lt;$G$32,$G$48-MAX(0,(C81-$G$43)*$D$45)/(1-$J$7),"")</f>
      </c>
      <c r="E81" s="119">
        <f>IF(D81="","",$G$50/D81)</f>
      </c>
      <c r="F81">
        <f>IF(OR(D81="",E81=""),"",E81/D81)</f>
      </c>
      <c r="G81">
        <f>IF(OR($D$33="",NOT(ISNUMBER(F81))),"",F81*$D$33)</f>
      </c>
      <c r="H81" s="119">
        <f>IF(NOT(ISNUMBER(F81)),"",F81*$D$45)</f>
      </c>
      <c r="I81" s="119">
        <f>IF(OR($D$33="",NOT(ISNUMBER(H81))),"",H81*$D$33)</f>
      </c>
      <c r="J81" s="119">
        <f>IF(E81="","",MAX(0,E81-$G$44))</f>
      </c>
      <c r="K81" s="119">
        <f>IF(J81="","",J81*(1+$G$42))</f>
      </c>
      <c r="L81" s="119">
        <f>IF(K81="","",$J$41+K81)</f>
      </c>
    </row>
    <row r="82" ht="20" customHeight="1">
      <c r="A82"/>
      <c r="B82"/>
      <c r="C82" t="n">
        <v>0.8500000000000001</v>
      </c>
      <c r="D82" s="119">
        <f>IF(C82&lt;$G$32,$G$48-MAX(0,(C82-$G$43)*$D$45)/(1-$J$7),"")</f>
      </c>
      <c r="E82" s="119">
        <f>IF(D82="","",$G$50/D82)</f>
      </c>
      <c r="F82">
        <f>IF(OR(D82="",E82=""),"",E82/D82)</f>
      </c>
      <c r="G82">
        <f>IF(OR($D$33="",NOT(ISNUMBER(F82))),"",F82*$D$33)</f>
      </c>
      <c r="H82" s="119">
        <f>IF(NOT(ISNUMBER(F82)),"",F82*$D$45)</f>
      </c>
      <c r="I82" s="119">
        <f>IF(OR($D$33="",NOT(ISNUMBER(H82))),"",H82*$D$33)</f>
      </c>
      <c r="J82" s="119">
        <f>IF(E82="","",MAX(0,E82-$G$44))</f>
      </c>
      <c r="K82" s="119">
        <f>IF(J82="","",J82*(1+$G$42))</f>
      </c>
      <c r="L82" s="119">
        <f>IF(K82="","",$J$41+K82)</f>
      </c>
    </row>
    <row r="83" ht="20" customHeight="1">
      <c r="A83"/>
      <c r="B83"/>
      <c r="C83" t="n">
        <v>0.8550000000000001</v>
      </c>
      <c r="D83" s="119">
        <f>IF(C83&lt;$G$32,$G$48-MAX(0,(C83-$G$43)*$D$45)/(1-$J$7),"")</f>
      </c>
      <c r="E83" s="119">
        <f>IF(D83="","",$G$50/D83)</f>
      </c>
      <c r="F83">
        <f>IF(OR(D83="",E83=""),"",E83/D83)</f>
      </c>
      <c r="G83">
        <f>IF(OR($D$33="",NOT(ISNUMBER(F83))),"",F83*$D$33)</f>
      </c>
      <c r="H83" s="119">
        <f>IF(NOT(ISNUMBER(F83)),"",F83*$D$45)</f>
      </c>
      <c r="I83" s="119">
        <f>IF(OR($D$33="",NOT(ISNUMBER(H83))),"",H83*$D$33)</f>
      </c>
      <c r="J83" s="119">
        <f>IF(E83="","",MAX(0,E83-$G$44))</f>
      </c>
      <c r="K83" s="119">
        <f>IF(J83="","",J83*(1+$G$42))</f>
      </c>
      <c r="L83" s="119">
        <f>IF(K83="","",$J$41+K83)</f>
      </c>
    </row>
    <row r="84" ht="20" customHeight="1">
      <c r="A84"/>
      <c r="B84"/>
      <c r="C84" t="n">
        <v>0.8600000000000001</v>
      </c>
      <c r="D84" s="119">
        <f>IF(C84&lt;$G$32,$G$48-MAX(0,(C84-$G$43)*$D$45)/(1-$J$7),"")</f>
      </c>
      <c r="E84" s="119">
        <f>IF(D84="","",$G$50/D84)</f>
      </c>
      <c r="F84">
        <f>IF(OR(D84="",E84=""),"",E84/D84)</f>
      </c>
      <c r="G84">
        <f>IF(OR($D$33="",NOT(ISNUMBER(F84))),"",F84*$D$33)</f>
      </c>
      <c r="H84" s="119">
        <f>IF(NOT(ISNUMBER(F84)),"",F84*$D$45)</f>
      </c>
      <c r="I84" s="119">
        <f>IF(OR($D$33="",NOT(ISNUMBER(H84))),"",H84*$D$33)</f>
      </c>
      <c r="J84" s="119">
        <f>IF(E84="","",MAX(0,E84-$G$44))</f>
      </c>
      <c r="K84" s="119">
        <f>IF(J84="","",J84*(1+$G$42))</f>
      </c>
      <c r="L84" s="119">
        <f>IF(K84="","",$J$41+K84)</f>
      </c>
    </row>
    <row r="85" ht="20" customHeight="1">
      <c r="A85"/>
      <c r="B85"/>
      <c r="C85" t="n">
        <v>0.865</v>
      </c>
      <c r="D85" s="119">
        <f>IF(C85&lt;$G$32,$G$48-MAX(0,(C85-$G$43)*$D$45)/(1-$J$7),"")</f>
      </c>
      <c r="E85" s="119">
        <f>IF(D85="","",$G$50/D85)</f>
      </c>
      <c r="F85">
        <f>IF(OR(D85="",E85=""),"",E85/D85)</f>
      </c>
      <c r="G85">
        <f>IF(OR($D$33="",NOT(ISNUMBER(F85))),"",F85*$D$33)</f>
      </c>
      <c r="H85" s="119">
        <f>IF(NOT(ISNUMBER(F85)),"",F85*$D$45)</f>
      </c>
      <c r="I85" s="119">
        <f>IF(OR($D$33="",NOT(ISNUMBER(H85))),"",H85*$D$33)</f>
      </c>
      <c r="J85" s="119">
        <f>IF(E85="","",MAX(0,E85-$G$44))</f>
      </c>
      <c r="K85" s="119">
        <f>IF(J85="","",J85*(1+$G$42))</f>
      </c>
      <c r="L85" s="119">
        <f>IF(K85="","",$J$41+K85)</f>
      </c>
    </row>
    <row r="86" ht="20" customHeight="1">
      <c r="A86"/>
      <c r="B86"/>
      <c r="C86" t="n">
        <v>0.8700000000000001</v>
      </c>
      <c r="D86" s="119">
        <f>IF(C86&lt;$G$32,$G$48-MAX(0,(C86-$G$43)*$D$45)/(1-$J$7),"")</f>
      </c>
      <c r="E86" s="119">
        <f>IF(D86="","",$G$50/D86)</f>
      </c>
      <c r="F86">
        <f>IF(OR(D86="",E86=""),"",E86/D86)</f>
      </c>
      <c r="G86">
        <f>IF(OR($D$33="",NOT(ISNUMBER(F86))),"",F86*$D$33)</f>
      </c>
      <c r="H86" s="119">
        <f>IF(NOT(ISNUMBER(F86)),"",F86*$D$45)</f>
      </c>
      <c r="I86" s="119">
        <f>IF(OR($D$33="",NOT(ISNUMBER(H86))),"",H86*$D$33)</f>
      </c>
      <c r="J86" s="119">
        <f>IF(E86="","",MAX(0,E86-$G$44))</f>
      </c>
      <c r="K86" s="119">
        <f>IF(J86="","",J86*(1+$G$42))</f>
      </c>
      <c r="L86" s="119">
        <f>IF(K86="","",$J$41+K86)</f>
      </c>
    </row>
    <row r="87" ht="20" customHeight="1">
      <c r="A87"/>
      <c r="B87"/>
      <c r="C87" t="n">
        <v>0.875</v>
      </c>
      <c r="D87" s="119">
        <f>IF(C87&lt;$G$32,$G$48-MAX(0,(C87-$G$43)*$D$45)/(1-$J$7),"")</f>
      </c>
      <c r="E87" s="119">
        <f>IF(D87="","",$G$50/D87)</f>
      </c>
      <c r="F87">
        <f>IF(OR(D87="",E87=""),"",E87/D87)</f>
      </c>
      <c r="G87">
        <f>IF(OR($D$33="",NOT(ISNUMBER(F87))),"",F87*$D$33)</f>
      </c>
      <c r="H87" s="119">
        <f>IF(NOT(ISNUMBER(F87)),"",F87*$D$45)</f>
      </c>
      <c r="I87" s="119">
        <f>IF(OR($D$33="",NOT(ISNUMBER(H87))),"",H87*$D$33)</f>
      </c>
      <c r="J87" s="119">
        <f>IF(E87="","",MAX(0,E87-$G$44))</f>
      </c>
      <c r="K87" s="119">
        <f>IF(J87="","",J87*(1+$G$42))</f>
      </c>
      <c r="L87" s="119">
        <f>IF(K87="","",$J$41+K87)</f>
      </c>
    </row>
    <row r="88" ht="20" customHeight="1">
      <c r="A88"/>
      <c r="B88"/>
      <c r="C88" t="n">
        <v>0.88</v>
      </c>
      <c r="D88" s="119">
        <f>IF(C88&lt;$G$32,$G$48-MAX(0,(C88-$G$43)*$D$45)/(1-$J$7),"")</f>
      </c>
      <c r="E88" s="119">
        <f>IF(D88="","",$G$50/D88)</f>
      </c>
      <c r="F88">
        <f>IF(OR(D88="",E88=""),"",E88/D88)</f>
      </c>
      <c r="G88">
        <f>IF(OR($D$33="",NOT(ISNUMBER(F88))),"",F88*$D$33)</f>
      </c>
      <c r="H88" s="119">
        <f>IF(NOT(ISNUMBER(F88)),"",F88*$D$45)</f>
      </c>
      <c r="I88" s="119">
        <f>IF(OR($D$33="",NOT(ISNUMBER(H88))),"",H88*$D$33)</f>
      </c>
      <c r="J88" s="119">
        <f>IF(E88="","",MAX(0,E88-$G$44))</f>
      </c>
      <c r="K88" s="119">
        <f>IF(J88="","",J88*(1+$G$42))</f>
      </c>
      <c r="L88" s="119">
        <f>IF(K88="","",$J$41+K88)</f>
      </c>
    </row>
    <row r="89" ht="20" customHeight="1">
      <c r="A89"/>
      <c r="B89"/>
      <c r="C89" t="n">
        <v>0.885</v>
      </c>
      <c r="D89" s="119">
        <f>IF(C89&lt;$G$32,$G$48-MAX(0,(C89-$G$43)*$D$45)/(1-$J$7),"")</f>
      </c>
      <c r="E89" s="119">
        <f>IF(D89="","",$G$50/D89)</f>
      </c>
      <c r="F89">
        <f>IF(OR(D89="",E89=""),"",E89/D89)</f>
      </c>
      <c r="G89">
        <f>IF(OR($D$33="",NOT(ISNUMBER(F89))),"",F89*$D$33)</f>
      </c>
      <c r="H89" s="119">
        <f>IF(NOT(ISNUMBER(F89)),"",F89*$D$45)</f>
      </c>
      <c r="I89" s="119">
        <f>IF(OR($D$33="",NOT(ISNUMBER(H89))),"",H89*$D$33)</f>
      </c>
      <c r="J89" s="119">
        <f>IF(E89="","",MAX(0,E89-$G$44))</f>
      </c>
      <c r="K89" s="119">
        <f>IF(J89="","",J89*(1+$G$42))</f>
      </c>
      <c r="L89" s="119">
        <f>IF(K89="","",$J$41+K89)</f>
      </c>
    </row>
    <row r="90" ht="20" customHeight="1">
      <c r="A90"/>
      <c r="B90"/>
      <c r="C90" t="n">
        <v>0.89</v>
      </c>
      <c r="D90" s="119">
        <f>IF(C90&lt;$G$32,$G$48-MAX(0,(C90-$G$43)*$D$45)/(1-$J$7),"")</f>
      </c>
      <c r="E90" s="119">
        <f>IF(D90="","",$G$50/D90)</f>
      </c>
      <c r="F90">
        <f>IF(OR(D90="",E90=""),"",E90/D90)</f>
      </c>
      <c r="G90">
        <f>IF(OR($D$33="",NOT(ISNUMBER(F90))),"",F90*$D$33)</f>
      </c>
      <c r="H90" s="119">
        <f>IF(NOT(ISNUMBER(F90)),"",F90*$D$45)</f>
      </c>
      <c r="I90" s="119">
        <f>IF(OR($D$33="",NOT(ISNUMBER(H90))),"",H90*$D$33)</f>
      </c>
      <c r="J90" s="119">
        <f>IF(E90="","",MAX(0,E90-$G$44))</f>
      </c>
      <c r="K90" s="119">
        <f>IF(J90="","",J90*(1+$G$42))</f>
      </c>
      <c r="L90" s="119">
        <f>IF(K90="","",$J$41+K90)</f>
      </c>
    </row>
    <row r="91" ht="20" customHeight="1">
      <c r="A91"/>
      <c r="B91"/>
      <c r="C91" t="n">
        <v>0.895</v>
      </c>
      <c r="D91" s="119">
        <f>IF(C91&lt;$G$32,$G$48-MAX(0,(C91-$G$43)*$D$45)/(1-$J$7),"")</f>
      </c>
      <c r="E91" s="119">
        <f>IF(D91="","",$G$50/D91)</f>
      </c>
      <c r="F91">
        <f>IF(OR(D91="",E91=""),"",E91/D91)</f>
      </c>
      <c r="G91">
        <f>IF(OR($D$33="",NOT(ISNUMBER(F91))),"",F91*$D$33)</f>
      </c>
      <c r="H91" s="119">
        <f>IF(NOT(ISNUMBER(F91)),"",F91*$D$45)</f>
      </c>
      <c r="I91" s="119">
        <f>IF(OR($D$33="",NOT(ISNUMBER(H91))),"",H91*$D$33)</f>
      </c>
      <c r="J91" s="119">
        <f>IF(E91="","",MAX(0,E91-$G$44))</f>
      </c>
      <c r="K91" s="119">
        <f>IF(J91="","",J91*(1+$G$42))</f>
      </c>
      <c r="L91" s="119">
        <f>IF(K91="","",$J$41+K91)</f>
      </c>
    </row>
    <row r="92" ht="20" customHeight="1">
      <c r="A92"/>
      <c r="B92"/>
      <c r="C92" t="n">
        <v>0.9</v>
      </c>
      <c r="D92" s="119">
        <f>IF(C92&lt;$G$32,$G$48-MAX(0,(C92-$G$43)*$D$45)/(1-$J$7),"")</f>
      </c>
      <c r="E92" s="119">
        <f>IF(D92="","",$G$50/D92)</f>
      </c>
      <c r="F92">
        <f>IF(OR(D92="",E92=""),"",E92/D92)</f>
      </c>
      <c r="G92">
        <f>IF(OR($D$33="",NOT(ISNUMBER(F92))),"",F92*$D$33)</f>
      </c>
      <c r="H92" s="119">
        <f>IF(NOT(ISNUMBER(F92)),"",F92*$D$45)</f>
      </c>
      <c r="I92" s="119">
        <f>IF(OR($D$33="",NOT(ISNUMBER(H92))),"",H92*$D$33)</f>
      </c>
      <c r="J92" s="119">
        <f>IF(E92="","",MAX(0,E92-$G$44))</f>
      </c>
      <c r="K92" s="119">
        <f>IF(J92="","",J92*(1+$G$42))</f>
      </c>
      <c r="L92" s="119">
        <f>IF(K92="","",$J$41+K92)</f>
      </c>
    </row>
    <row r="93" ht="20" customHeight="1">
      <c r="A93"/>
      <c r="B93"/>
      <c r="C93" t="n">
        <v>0.905</v>
      </c>
      <c r="D93" s="119">
        <f>IF(C93&lt;$G$32,$G$48-MAX(0,(C93-$G$43)*$D$45)/(1-$J$7),"")</f>
      </c>
      <c r="E93" s="119">
        <f>IF(D93="","",$G$50/D93)</f>
      </c>
      <c r="F93">
        <f>IF(OR(D93="",E93=""),"",E93/D93)</f>
      </c>
      <c r="G93">
        <f>IF(OR($D$33="",NOT(ISNUMBER(F93))),"",F93*$D$33)</f>
      </c>
      <c r="H93" s="119">
        <f>IF(NOT(ISNUMBER(F93)),"",F93*$D$45)</f>
      </c>
      <c r="I93" s="119">
        <f>IF(OR($D$33="",NOT(ISNUMBER(H93))),"",H93*$D$33)</f>
      </c>
      <c r="J93" s="119">
        <f>IF(E93="","",MAX(0,E93-$G$44))</f>
      </c>
      <c r="K93" s="119">
        <f>IF(J93="","",J93*(1+$G$42))</f>
      </c>
      <c r="L93" s="119">
        <f>IF(K93="","",$J$41+K93)</f>
      </c>
    </row>
    <row r="94" ht="20" customHeight="1">
      <c r="A94"/>
      <c r="B94"/>
      <c r="C94" t="n">
        <v>0.91</v>
      </c>
      <c r="D94" s="119">
        <f>IF(C94&lt;$G$32,$G$48-MAX(0,(C94-$G$43)*$D$45)/(1-$J$7),"")</f>
      </c>
      <c r="E94" s="119">
        <f>IF(D94="","",$G$50/D94)</f>
      </c>
      <c r="F94">
        <f>IF(OR(D94="",E94=""),"",E94/D94)</f>
      </c>
      <c r="G94">
        <f>IF(OR($D$33="",NOT(ISNUMBER(F94))),"",F94*$D$33)</f>
      </c>
      <c r="H94" s="119">
        <f>IF(NOT(ISNUMBER(F94)),"",F94*$D$45)</f>
      </c>
      <c r="I94" s="119">
        <f>IF(OR($D$33="",NOT(ISNUMBER(H94))),"",H94*$D$33)</f>
      </c>
      <c r="J94" s="119">
        <f>IF(E94="","",MAX(0,E94-$G$44))</f>
      </c>
      <c r="K94" s="119">
        <f>IF(J94="","",J94*(1+$G$42))</f>
      </c>
      <c r="L94" s="119">
        <f>IF(K94="","",$J$41+K94)</f>
      </c>
    </row>
    <row r="95" ht="20" customHeight="1">
      <c r="A95"/>
      <c r="B95"/>
      <c r="C95" t="n">
        <v>0.915</v>
      </c>
      <c r="D95" s="119">
        <f>IF(C95&lt;$G$32,$G$48-MAX(0,(C95-$G$43)*$D$45)/(1-$J$7),"")</f>
      </c>
      <c r="E95" s="119">
        <f>IF(D95="","",$G$50/D95)</f>
      </c>
      <c r="F95">
        <f>IF(OR(D95="",E95=""),"",E95/D95)</f>
      </c>
      <c r="G95">
        <f>IF(OR($D$33="",NOT(ISNUMBER(F95))),"",F95*$D$33)</f>
      </c>
      <c r="H95" s="119">
        <f>IF(NOT(ISNUMBER(F95)),"",F95*$D$45)</f>
      </c>
      <c r="I95" s="119">
        <f>IF(OR($D$33="",NOT(ISNUMBER(H95))),"",H95*$D$33)</f>
      </c>
      <c r="J95" s="119">
        <f>IF(E95="","",MAX(0,E95-$G$44))</f>
      </c>
      <c r="K95" s="119">
        <f>IF(J95="","",J95*(1+$G$42))</f>
      </c>
      <c r="L95" s="119">
        <f>IF(K95="","",$J$41+K95)</f>
      </c>
    </row>
    <row r="96" ht="20" customHeight="1">
      <c r="A96"/>
      <c r="B96"/>
      <c r="C96" t="n">
        <v>0.92</v>
      </c>
      <c r="D96" s="119">
        <f>IF(C96&lt;$G$32,$G$48-MAX(0,(C96-$G$43)*$D$45)/(1-$J$7),"")</f>
      </c>
      <c r="E96" s="119">
        <f>IF(D96="","",$G$50/D96)</f>
      </c>
      <c r="F96">
        <f>IF(OR(D96="",E96=""),"",E96/D96)</f>
      </c>
      <c r="G96">
        <f>IF(OR($D$33="",NOT(ISNUMBER(F96))),"",F96*$D$33)</f>
      </c>
      <c r="H96" s="119">
        <f>IF(NOT(ISNUMBER(F96)),"",F96*$D$45)</f>
      </c>
      <c r="I96" s="119">
        <f>IF(OR($D$33="",NOT(ISNUMBER(H96))),"",H96*$D$33)</f>
      </c>
      <c r="J96" s="119">
        <f>IF(E96="","",MAX(0,E96-$G$44))</f>
      </c>
      <c r="K96" s="119">
        <f>IF(J96="","",J96*(1+$G$42))</f>
      </c>
      <c r="L96" s="119">
        <f>IF(K96="","",$J$41+K96)</f>
      </c>
    </row>
    <row r="97" ht="20" customHeight="1">
      <c r="A97"/>
      <c r="B97"/>
      <c r="C97" t="n">
        <v>0.925</v>
      </c>
      <c r="D97" s="119">
        <f>IF(C97&lt;$G$32,$G$48-MAX(0,(C97-$G$43)*$D$45)/(1-$J$7),"")</f>
      </c>
      <c r="E97" s="119">
        <f>IF(D97="","",$G$50/D97)</f>
      </c>
      <c r="F97">
        <f>IF(OR(D97="",E97=""),"",E97/D97)</f>
      </c>
      <c r="G97">
        <f>IF(OR($D$33="",NOT(ISNUMBER(F97))),"",F97*$D$33)</f>
      </c>
      <c r="H97" s="119">
        <f>IF(NOT(ISNUMBER(F97)),"",F97*$D$45)</f>
      </c>
      <c r="I97" s="119">
        <f>IF(OR($D$33="",NOT(ISNUMBER(H97))),"",H97*$D$33)</f>
      </c>
      <c r="J97" s="119">
        <f>IF(E97="","",MAX(0,E97-$G$44))</f>
      </c>
      <c r="K97" s="119">
        <f>IF(J97="","",J97*(1+$G$42))</f>
      </c>
      <c r="L97" s="119">
        <f>IF(K97="","",$J$41+K97)</f>
      </c>
    </row>
    <row r="98" ht="20" customHeight="1">
      <c r="A98"/>
      <c r="B98"/>
      <c r="C98" t="n">
        <v>0.93</v>
      </c>
      <c r="D98" s="119">
        <f>IF(C98&lt;$G$32,$G$48-MAX(0,(C98-$G$43)*$D$45)/(1-$J$7),"")</f>
      </c>
      <c r="E98" s="119">
        <f>IF(D98="","",$G$50/D98)</f>
      </c>
      <c r="F98">
        <f>IF(OR(D98="",E98=""),"",E98/D98)</f>
      </c>
      <c r="G98">
        <f>IF(OR($D$33="",NOT(ISNUMBER(F98))),"",F98*$D$33)</f>
      </c>
      <c r="H98" s="119">
        <f>IF(NOT(ISNUMBER(F98)),"",F98*$D$45)</f>
      </c>
      <c r="I98" s="119">
        <f>IF(OR($D$33="",NOT(ISNUMBER(H98))),"",H98*$D$33)</f>
      </c>
      <c r="J98" s="119">
        <f>IF(E98="","",MAX(0,E98-$G$44))</f>
      </c>
      <c r="K98" s="119">
        <f>IF(J98="","",J98*(1+$G$42))</f>
      </c>
      <c r="L98" s="119">
        <f>IF(K98="","",$J$41+K98)</f>
      </c>
    </row>
    <row r="99" ht="20" customHeight="1">
      <c r="A99"/>
      <c r="B99"/>
      <c r="C99" t="n">
        <v>0.935</v>
      </c>
      <c r="D99" s="119">
        <f>IF(C99&lt;$G$32,$G$48-MAX(0,(C99-$G$43)*$D$45)/(1-$J$7),"")</f>
      </c>
      <c r="E99" s="119">
        <f>IF(D99="","",$G$50/D99)</f>
      </c>
      <c r="F99">
        <f>IF(OR(D99="",E99=""),"",E99/D99)</f>
      </c>
      <c r="G99">
        <f>IF(OR($D$33="",NOT(ISNUMBER(F99))),"",F99*$D$33)</f>
      </c>
      <c r="H99" s="119">
        <f>IF(NOT(ISNUMBER(F99)),"",F99*$D$45)</f>
      </c>
      <c r="I99" s="119">
        <f>IF(OR($D$33="",NOT(ISNUMBER(H99))),"",H99*$D$33)</f>
      </c>
      <c r="J99" s="119">
        <f>IF(E99="","",MAX(0,E99-$G$44))</f>
      </c>
      <c r="K99" s="119">
        <f>IF(J99="","",J99*(1+$G$42))</f>
      </c>
      <c r="L99" s="119">
        <f>IF(K99="","",$J$41+K99)</f>
      </c>
    </row>
    <row r="100" ht="20" customHeight="1">
      <c r="A100"/>
      <c r="B100"/>
      <c r="C100" t="n">
        <v>0.9400000000000001</v>
      </c>
      <c r="D100" s="119">
        <f>IF(C100&lt;$G$32,$G$48-MAX(0,(C100-$G$43)*$D$45)/(1-$J$7),"")</f>
      </c>
      <c r="E100" s="119">
        <f>IF(D100="","",$G$50/D100)</f>
      </c>
      <c r="F100">
        <f>IF(OR(D100="",E100=""),"",E100/D100)</f>
      </c>
      <c r="G100">
        <f>IF(OR($D$33="",NOT(ISNUMBER(F100))),"",F100*$D$33)</f>
      </c>
      <c r="H100" s="119">
        <f>IF(NOT(ISNUMBER(F100)),"",F100*$D$45)</f>
      </c>
      <c r="I100" s="119">
        <f>IF(OR($D$33="",NOT(ISNUMBER(H100))),"",H100*$D$33)</f>
      </c>
      <c r="J100" s="119">
        <f>IF(E100="","",MAX(0,E100-$G$44))</f>
      </c>
      <c r="K100" s="119">
        <f>IF(J100="","",J100*(1+$G$42))</f>
      </c>
      <c r="L100" s="119">
        <f>IF(K100="","",$J$41+K100)</f>
      </c>
    </row>
    <row r="101" ht="20" customHeight="1">
      <c r="A101"/>
      <c r="B101"/>
      <c r="C101" t="n">
        <v>0.9450000000000001</v>
      </c>
      <c r="D101" s="119">
        <f>IF(C101&lt;$G$32,$G$48-MAX(0,(C101-$G$43)*$D$45)/(1-$J$7),"")</f>
      </c>
      <c r="E101" s="119">
        <f>IF(D101="","",$G$50/D101)</f>
      </c>
      <c r="F101">
        <f>IF(OR(D101="",E101=""),"",E101/D101)</f>
      </c>
      <c r="G101">
        <f>IF(OR($D$33="",NOT(ISNUMBER(F101))),"",F101*$D$33)</f>
      </c>
      <c r="H101" s="119">
        <f>IF(NOT(ISNUMBER(F101)),"",F101*$D$45)</f>
      </c>
      <c r="I101" s="119">
        <f>IF(OR($D$33="",NOT(ISNUMBER(H101))),"",H101*$D$33)</f>
      </c>
      <c r="J101" s="119">
        <f>IF(E101="","",MAX(0,E101-$G$44))</f>
      </c>
      <c r="K101" s="119">
        <f>IF(J101="","",J101*(1+$G$42))</f>
      </c>
      <c r="L101" s="119">
        <f>IF(K101="","",$J$41+K101)</f>
      </c>
    </row>
    <row r="102" ht="20" customHeight="1">
      <c r="A102"/>
      <c r="B102"/>
      <c r="C102" t="n">
        <v>0.9500000000000001</v>
      </c>
      <c r="D102" s="119">
        <f>IF(C102&lt;$G$32,$G$48-MAX(0,(C102-$G$43)*$D$45)/(1-$J$7),"")</f>
      </c>
      <c r="E102" s="119">
        <f>IF(D102="","",$G$50/D102)</f>
      </c>
      <c r="F102">
        <f>IF(OR(D102="",E102=""),"",E102/D102)</f>
      </c>
      <c r="G102">
        <f>IF(OR($D$33="",NOT(ISNUMBER(F102))),"",F102*$D$33)</f>
      </c>
      <c r="H102" s="119">
        <f>IF(NOT(ISNUMBER(F102)),"",F102*$D$45)</f>
      </c>
      <c r="I102" s="119">
        <f>IF(OR($D$33="",NOT(ISNUMBER(H102))),"",H102*$D$33)</f>
      </c>
      <c r="J102" s="119">
        <f>IF(E102="","",MAX(0,E102-$G$44))</f>
      </c>
      <c r="K102" s="119">
        <f>IF(J102="","",J102*(1+$G$42))</f>
      </c>
      <c r="L102" s="119">
        <f>IF(K102="","",$J$41+K102)</f>
      </c>
    </row>
    <row r="103" ht="20" customHeight="1">
      <c r="A103"/>
      <c r="B103"/>
      <c r="C103" t="n">
        <v>0.9550000000000001</v>
      </c>
      <c r="D103" s="119">
        <f>IF(C103&lt;$G$32,$G$48-MAX(0,(C103-$G$43)*$D$45)/(1-$J$7),"")</f>
      </c>
      <c r="E103" s="119">
        <f>IF(D103="","",$G$50/D103)</f>
      </c>
      <c r="F103">
        <f>IF(OR(D103="",E103=""),"",E103/D103)</f>
      </c>
      <c r="G103">
        <f>IF(OR($D$33="",NOT(ISNUMBER(F103))),"",F103*$D$33)</f>
      </c>
      <c r="H103" s="119">
        <f>IF(NOT(ISNUMBER(F103)),"",F103*$D$45)</f>
      </c>
      <c r="I103" s="119">
        <f>IF(OR($D$33="",NOT(ISNUMBER(H103))),"",H103*$D$33)</f>
      </c>
      <c r="J103" s="119">
        <f>IF(E103="","",MAX(0,E103-$G$44))</f>
      </c>
      <c r="K103" s="119">
        <f>IF(J103="","",J103*(1+$G$42))</f>
      </c>
      <c r="L103" s="119">
        <f>IF(K103="","",$J$41+K103)</f>
      </c>
    </row>
    <row r="104" ht="20" customHeight="1">
      <c r="A104"/>
      <c r="B104"/>
      <c r="C104" t="n">
        <v>0.9600000000000001</v>
      </c>
      <c r="D104" s="119">
        <f>IF(C104&lt;$G$32,$G$48-MAX(0,(C104-$G$43)*$D$45)/(1-$J$7),"")</f>
      </c>
      <c r="E104" s="119">
        <f>IF(D104="","",$G$50/D104)</f>
      </c>
      <c r="F104">
        <f>IF(OR(D104="",E104=""),"",E104/D104)</f>
      </c>
      <c r="G104">
        <f>IF(OR($D$33="",NOT(ISNUMBER(F104))),"",F104*$D$33)</f>
      </c>
      <c r="H104" s="119">
        <f>IF(NOT(ISNUMBER(F104)),"",F104*$D$45)</f>
      </c>
      <c r="I104" s="119">
        <f>IF(OR($D$33="",NOT(ISNUMBER(H104))),"",H104*$D$33)</f>
      </c>
      <c r="J104" s="119">
        <f>IF(E104="","",MAX(0,E104-$G$44))</f>
      </c>
      <c r="K104" s="119">
        <f>IF(J104="","",J104*(1+$G$42))</f>
      </c>
      <c r="L104" s="119">
        <f>IF(K104="","",$J$41+K104)</f>
      </c>
    </row>
    <row r="105" ht="24" customHeight="1">
      <c r="A105"/>
      <c r="B105"/>
      <c r="C105" t="n">
        <v>0.9650000000000001</v>
      </c>
      <c r="D105" s="119">
        <f>IF(C105&lt;$G$32,$G$48-MAX(0,(C105-$G$43)*$D$45)/(1-$J$7),"")</f>
      </c>
      <c r="E105" s="119">
        <f>IF(D105="","",$G$50/D105)</f>
      </c>
      <c r="F105">
        <f>IF(OR(D105="",E105=""),"",E105/D105)</f>
      </c>
      <c r="G105">
        <f>IF(OR($D$33="",NOT(ISNUMBER(F105))),"",F105*$D$33)</f>
      </c>
      <c r="H105" s="119">
        <f>IF(NOT(ISNUMBER(F105)),"",F105*$D$45)</f>
      </c>
      <c r="I105" s="119">
        <f>IF(OR($D$33="",NOT(ISNUMBER(H105))),"",H105*$D$33)</f>
      </c>
      <c r="J105" s="119">
        <f>IF(E105="","",MAX(0,E105-$G$44))</f>
      </c>
      <c r="K105" s="119">
        <f>IF(J105="","",J105*(1+$G$42))</f>
      </c>
      <c r="L105" s="119">
        <f>IF(K105="","",$J$41+K105)</f>
      </c>
    </row>
    <row r="106" ht="30" customHeight="1">
      <c r="A106"/>
      <c r="B106"/>
      <c r="C106" t="n">
        <v>0.9700000000000001</v>
      </c>
      <c r="D106" s="119">
        <f>IF(C106&lt;$G$32,$G$48-MAX(0,(C106-$G$43)*$D$45)/(1-$J$7),"")</f>
      </c>
      <c r="E106" s="119">
        <f>IF(D106="","",$G$50/D106)</f>
      </c>
      <c r="F106">
        <f>IF(OR(D106="",E106=""),"",E106/D106)</f>
      </c>
      <c r="G106">
        <f>IF(OR($D$33="",NOT(ISNUMBER(F106))),"",F106*$D$33)</f>
      </c>
      <c r="H106" s="119">
        <f>IF(NOT(ISNUMBER(F106)),"",F106*$D$45)</f>
      </c>
      <c r="I106" s="119">
        <f>IF(OR($D$33="",NOT(ISNUMBER(H106))),"",H106*$D$33)</f>
      </c>
      <c r="J106" s="119">
        <f>IF(E106="","",MAX(0,E106-$G$44))</f>
      </c>
      <c r="K106" s="119">
        <f>IF(J106="","",J106*(1+$G$42))</f>
      </c>
      <c r="L106" s="119">
        <f>IF(K106="","",$J$41+K106)</f>
      </c>
    </row>
    <row r="107" ht="20" customHeight="1">
      <c r="A107"/>
      <c r="B107"/>
      <c r="C107" t="n">
        <v>0.9750000000000001</v>
      </c>
      <c r="D107" s="119">
        <f>IF(C107&lt;$G$32,$G$48-MAX(0,(C107-$G$43)*$D$45)/(1-$J$7),"")</f>
      </c>
      <c r="E107" s="119">
        <f>IF(D107="","",$G$50/D107)</f>
      </c>
      <c r="F107">
        <f>IF(OR(D107="",E107=""),"",E107/D107)</f>
      </c>
      <c r="G107">
        <f>IF(OR($D$33="",NOT(ISNUMBER(F107))),"",F107*$D$33)</f>
      </c>
      <c r="H107" s="119">
        <f>IF(NOT(ISNUMBER(F107)),"",F107*$D$45)</f>
      </c>
      <c r="I107" s="119">
        <f>IF(OR($D$33="",NOT(ISNUMBER(H107))),"",H107*$D$33)</f>
      </c>
      <c r="J107" s="119">
        <f>IF(E107="","",MAX(0,E107-$G$44))</f>
      </c>
      <c r="K107" s="119">
        <f>IF(J107="","",J107*(1+$G$42))</f>
      </c>
      <c r="L107" s="119">
        <f>IF(K107="","",$J$41+K107)</f>
      </c>
    </row>
    <row r="108" ht="20" customHeight="1">
      <c r="A108"/>
      <c r="B108"/>
      <c r="C108" t="n">
        <v>0.98</v>
      </c>
      <c r="D108" s="119">
        <f>IF(C108&lt;$G$32,$G$48-MAX(0,(C108-$G$43)*$D$45)/(1-$J$7),"")</f>
      </c>
      <c r="E108" s="119">
        <f>IF(D108="","",$G$50/D108)</f>
      </c>
      <c r="F108">
        <f>IF(OR(D108="",E108=""),"",E108/D108)</f>
      </c>
      <c r="G108">
        <f>IF(OR($D$33="",NOT(ISNUMBER(F108))),"",F108*$D$33)</f>
      </c>
      <c r="H108" s="119">
        <f>IF(NOT(ISNUMBER(F108)),"",F108*$D$45)</f>
      </c>
      <c r="I108" s="119">
        <f>IF(OR($D$33="",NOT(ISNUMBER(H108))),"",H108*$D$33)</f>
      </c>
      <c r="J108" s="119">
        <f>IF(E108="","",MAX(0,E108-$G$44))</f>
      </c>
      <c r="K108" s="119">
        <f>IF(J108="","",J108*(1+$G$42))</f>
      </c>
      <c r="L108" s="119">
        <f>IF(K108="","",$J$41+K108)</f>
      </c>
    </row>
    <row r="109" ht="20" customHeight="1">
      <c r="A109"/>
      <c r="B109"/>
      <c r="C109" t="n">
        <v>0.9850000000000001</v>
      </c>
      <c r="D109" s="119">
        <f>IF(C109&lt;$G$32,$G$48-MAX(0,(C109-$G$43)*$D$45)/(1-$J$7),"")</f>
      </c>
      <c r="E109" s="119">
        <f>IF(D109="","",$G$50/D109)</f>
      </c>
      <c r="F109">
        <f>IF(OR(D109="",E109=""),"",E109/D109)</f>
      </c>
      <c r="G109">
        <f>IF(OR($D$33="",NOT(ISNUMBER(F109))),"",F109*$D$33)</f>
      </c>
      <c r="H109" s="119">
        <f>IF(NOT(ISNUMBER(F109)),"",F109*$D$45)</f>
      </c>
      <c r="I109" s="119">
        <f>IF(OR($D$33="",NOT(ISNUMBER(H109))),"",H109*$D$33)</f>
      </c>
      <c r="J109" s="119">
        <f>IF(E109="","",MAX(0,E109-$G$44))</f>
      </c>
      <c r="K109" s="119">
        <f>IF(J109="","",J109*(1+$G$42))</f>
      </c>
      <c r="L109" s="119">
        <f>IF(K109="","",$J$41+K109)</f>
      </c>
    </row>
    <row r="110" ht="20" customHeight="1">
      <c r="A110"/>
      <c r="B110"/>
      <c r="C110" t="n">
        <v>0.99</v>
      </c>
      <c r="D110" s="119">
        <f>IF(C110&lt;$G$32,$G$48-MAX(0,(C110-$G$43)*$D$45)/(1-$J$7),"")</f>
      </c>
      <c r="E110" s="119">
        <f>IF(D110="","",$G$50/D110)</f>
      </c>
      <c r="F110">
        <f>IF(OR(D110="",E110=""),"",E110/D110)</f>
      </c>
      <c r="G110">
        <f>IF(OR($D$33="",NOT(ISNUMBER(F110))),"",F110*$D$33)</f>
      </c>
      <c r="H110" s="119">
        <f>IF(NOT(ISNUMBER(F110)),"",F110*$D$45)</f>
      </c>
      <c r="I110" s="119">
        <f>IF(OR($D$33="",NOT(ISNUMBER(H110))),"",H110*$D$33)</f>
      </c>
      <c r="J110" s="119">
        <f>IF(E110="","",MAX(0,E110-$G$44))</f>
      </c>
      <c r="K110" s="119">
        <f>IF(J110="","",J110*(1+$G$42))</f>
      </c>
      <c r="L110" s="119">
        <f>IF(K110="","",$J$41+K110)</f>
      </c>
    </row>
    <row r="111" ht="20" customHeight="1">
      <c r="A111"/>
      <c r="B111"/>
      <c r="C111" t="n">
        <v>0.9950000000000001</v>
      </c>
      <c r="D111" s="119">
        <f>IF(C111&lt;$G$32,$G$48-MAX(0,(C111-$G$43)*$D$45)/(1-$J$7),"")</f>
      </c>
      <c r="E111" s="119">
        <f>IF(D111="","",$G$50/D111)</f>
      </c>
      <c r="F111">
        <f>IF(OR(D111="",E111=""),"",E111/D111)</f>
      </c>
      <c r="G111">
        <f>IF(OR($D$33="",NOT(ISNUMBER(F111))),"",F111*$D$33)</f>
      </c>
      <c r="H111" s="119">
        <f>IF(NOT(ISNUMBER(F111)),"",F111*$D$45)</f>
      </c>
      <c r="I111" s="119">
        <f>IF(OR($D$33="",NOT(ISNUMBER(H111))),"",H111*$D$33)</f>
      </c>
      <c r="J111" s="119">
        <f>IF(E111="","",MAX(0,E111-$G$44))</f>
      </c>
      <c r="K111" s="119">
        <f>IF(J111="","",J111*(1+$G$42))</f>
      </c>
      <c r="L111" s="119">
        <f>IF(K111="","",$J$41+K111)</f>
      </c>
    </row>
    <row r="112" ht="20" customHeight="1">
      <c r="A112"/>
      <c r="B112"/>
      <c r="C112" t="n">
        <v>1</v>
      </c>
      <c r="D112" s="119">
        <f>IF(C112&lt;$G$32,$G$48-MAX(0,(C112-$G$43)*$D$45)/(1-$J$7),"")</f>
      </c>
      <c r="E112" s="119">
        <f>IF(D112="","",$G$50/D112)</f>
      </c>
      <c r="F112">
        <f>IF(OR(D112="",E112=""),"",E112/D112)</f>
      </c>
      <c r="G112">
        <f>IF(OR($D$33="",NOT(ISNUMBER(F112))),"",F112*$D$33)</f>
      </c>
      <c r="H112" s="119">
        <f>IF(NOT(ISNUMBER(F112)),"",F112*$D$45)</f>
      </c>
      <c r="I112" s="119">
        <f>IF(OR($D$33="",NOT(ISNUMBER(H112))),"",H112*$D$33)</f>
      </c>
      <c r="J112" s="119">
        <f>IF(E112="","",MAX(0,E112-$G$44))</f>
      </c>
      <c r="K112" s="119">
        <f>IF(J112="","",J112*(1+$G$42))</f>
      </c>
      <c r="L112" s="119">
        <f>IF(K112="","",$J$41+K112)</f>
      </c>
    </row>
    <row r="113" ht="20" customHeight="1">
      <c r="A113"/>
      <c r="B113"/>
      <c r="C113"/>
      <c r="D113"/>
      <c r="E113"/>
      <c r="F113"/>
      <c r="G113"/>
      <c r="H113"/>
      <c r="I113"/>
      <c r="J113"/>
      <c r="K113"/>
      <c r="L113"/>
    </row>
    <row r="114" ht="20" customHeight="1">
      <c r="A114"/>
      <c r="B114"/>
      <c r="C114"/>
      <c r="D114"/>
      <c r="E114"/>
      <c r="F114"/>
      <c r="G114"/>
      <c r="H114"/>
      <c r="I114"/>
      <c r="J114"/>
      <c r="K114"/>
      <c r="L114"/>
    </row>
    <row r="115" ht="20" customHeight="1">
      <c r="A115"/>
      <c r="B115"/>
      <c r="C115" t="str">
        <v>外盘回落参考</v>
      </c>
      <c r="D115"/>
      <c r="E115"/>
      <c r="F115"/>
      <c r="G115"/>
      <c r="H115"/>
      <c r="I115"/>
      <c r="J115"/>
      <c r="K115"/>
      <c r="L115"/>
    </row>
    <row r="116" ht="20" customHeight="1">
      <c r="A116"/>
      <c r="B116"/>
      <c r="C116" t="str">
        <v>控筹率</v>
      </c>
      <c r="D116" t="str">
        <v>pooled TOKEN</v>
      </c>
      <c r="E116" t="str">
        <v>pooled Quote</v>
      </c>
      <c r="F116" t="str">
        <v>价格 / Quote</v>
      </c>
      <c r="G116" t="str">
        <v>价格 / USDT</v>
      </c>
      <c r="H116" t="str">
        <v>市值 / Quote</v>
      </c>
      <c r="I116" t="str">
        <v>市值 / USDT</v>
      </c>
      <c r="J116" t="str">
        <v>较毕业点回撤</v>
      </c>
      <c r="K116" t="str"/>
      <c r="L116" t="str"/>
    </row>
    <row r="117" ht="20" customHeight="1">
      <c r="A117"/>
      <c r="B117"/>
      <c r="C117" t="n">
        <v>0.8</v>
      </c>
      <c r="D117" s="119">
        <f>$D$45*(1-C117)</f>
      </c>
      <c r="E117" s="119">
        <f>$G$50/D117</f>
      </c>
      <c r="F117">
        <f>IF(OR(D117="",E117=""),"",E117/D117)</f>
      </c>
      <c r="G117">
        <f>IF(OR($D$33="",NOT(ISNUMBER(F117))),"",F117*$D$33)</f>
      </c>
      <c r="H117" s="119">
        <f>IF(NOT(ISNUMBER(F117)),"",F117*$D$45)</f>
      </c>
      <c r="I117" s="119">
        <f>IF(OR($D$33="",NOT(ISNUMBER(H117))),"",H117*$D$33)</f>
      </c>
      <c r="J117">
        <f>IF($H$117&gt;0,1-H117/$H$117,0)</f>
      </c>
      <c r="K117"/>
      <c r="L117"/>
    </row>
    <row r="118" ht="20" customHeight="1">
      <c r="A118"/>
      <c r="B118"/>
      <c r="C118" t="n">
        <v>0.7</v>
      </c>
      <c r="D118" s="119">
        <f>$D$45*(1-C118)</f>
      </c>
      <c r="E118" s="119">
        <f>$G$50/D118</f>
      </c>
      <c r="F118">
        <f>IF(OR(D118="",E118=""),"",E118/D118)</f>
      </c>
      <c r="G118">
        <f>IF(OR($D$33="",NOT(ISNUMBER(F118))),"",F118*$D$33)</f>
      </c>
      <c r="H118" s="119">
        <f>IF(NOT(ISNUMBER(F118)),"",F118*$D$45)</f>
      </c>
      <c r="I118" s="119">
        <f>IF(OR($D$33="",NOT(ISNUMBER(H118))),"",H118*$D$33)</f>
      </c>
      <c r="J118">
        <f>IF($H$117&gt;0,1-H118/$H$117,0)</f>
      </c>
      <c r="K118"/>
      <c r="L118"/>
    </row>
    <row r="119" ht="20" customHeight="1">
      <c r="A119"/>
      <c r="B119"/>
      <c r="C119" t="n">
        <v>0.6</v>
      </c>
      <c r="D119" s="119">
        <f>$D$45*(1-C119)</f>
      </c>
      <c r="E119" s="119">
        <f>$G$50/D119</f>
      </c>
      <c r="F119">
        <f>IF(OR(D119="",E119=""),"",E119/D119)</f>
      </c>
      <c r="G119">
        <f>IF(OR($D$33="",NOT(ISNUMBER(F119))),"",F119*$D$33)</f>
      </c>
      <c r="H119" s="119">
        <f>IF(NOT(ISNUMBER(F119)),"",F119*$D$45)</f>
      </c>
      <c r="I119" s="119">
        <f>IF(OR($D$33="",NOT(ISNUMBER(H119))),"",H119*$D$33)</f>
      </c>
      <c r="J119">
        <f>IF($H$117&gt;0,1-H119/$H$117,0)</f>
      </c>
      <c r="K119"/>
      <c r="L119"/>
    </row>
    <row r="120" ht="20" customHeight="1">
      <c r="A120"/>
      <c r="B120"/>
      <c r="C120" t="n">
        <v>0.5</v>
      </c>
      <c r="D120" s="119">
        <f>$D$45*(1-C120)</f>
      </c>
      <c r="E120" s="119">
        <f>$G$50/D120</f>
      </c>
      <c r="F120">
        <f>IF(OR(D120="",E120=""),"",E120/D120)</f>
      </c>
      <c r="G120">
        <f>IF(OR($D$33="",NOT(ISNUMBER(F120))),"",F120*$D$33)</f>
      </c>
      <c r="H120" s="119">
        <f>IF(NOT(ISNUMBER(F120)),"",F120*$D$45)</f>
      </c>
      <c r="I120" s="119">
        <f>IF(OR($D$33="",NOT(ISNUMBER(H120))),"",H120*$D$33)</f>
      </c>
      <c r="J120">
        <f>IF($H$117&gt;0,1-H120/$H$117,0)</f>
      </c>
      <c r="K120"/>
      <c r="L120"/>
    </row>
    <row r="121" ht="20" customHeight="1">
      <c r="A121"/>
      <c r="B121"/>
      <c r="C121" t="n">
        <v>0.4</v>
      </c>
      <c r="D121" s="119">
        <f>$D$45*(1-C121)</f>
      </c>
      <c r="E121" s="119">
        <f>$G$50/D121</f>
      </c>
      <c r="F121">
        <f>IF(OR(D121="",E121=""),"",E121/D121)</f>
      </c>
      <c r="G121">
        <f>IF(OR($D$33="",NOT(ISNUMBER(F121))),"",F121*$D$33)</f>
      </c>
      <c r="H121" s="119">
        <f>IF(NOT(ISNUMBER(F121)),"",F121*$D$45)</f>
      </c>
      <c r="I121" s="119">
        <f>IF(OR($D$33="",NOT(ISNUMBER(H121))),"",H121*$D$33)</f>
      </c>
      <c r="J121">
        <f>IF($H$117&gt;0,1-H121/$H$117,0)</f>
      </c>
      <c r="K121"/>
      <c r="L121"/>
    </row>
    <row r="122" ht="20" customHeight="1">
      <c r="A122"/>
      <c r="B122"/>
      <c r="C122" t="n">
        <v>0.3</v>
      </c>
      <c r="D122" s="119">
        <f>$D$45*(1-C122)</f>
      </c>
      <c r="E122" s="119">
        <f>$G$50/D122</f>
      </c>
      <c r="F122">
        <f>IF(OR(D122="",E122=""),"",E122/D122)</f>
      </c>
      <c r="G122">
        <f>IF(OR($D$33="",NOT(ISNUMBER(F122))),"",F122*$D$33)</f>
      </c>
      <c r="H122" s="119">
        <f>IF(NOT(ISNUMBER(F122)),"",F122*$D$45)</f>
      </c>
      <c r="I122" s="119">
        <f>IF(OR($D$33="",NOT(ISNUMBER(H122))),"",H122*$D$33)</f>
      </c>
      <c r="J122">
        <f>IF($H$117&gt;0,1-H122/$H$117,0)</f>
      </c>
      <c r="K122"/>
      <c r="L122"/>
    </row>
    <row r="123" ht="20" customHeight="1">
      <c r="A123"/>
      <c r="B123"/>
      <c r="C123" t="n">
        <v>0.2</v>
      </c>
      <c r="D123" s="119">
        <f>$D$45*(1-C123)</f>
      </c>
      <c r="E123" s="119">
        <f>$G$50/D123</f>
      </c>
      <c r="F123">
        <f>IF(OR(D123="",E123=""),"",E123/D123)</f>
      </c>
      <c r="G123">
        <f>IF(OR($D$33="",NOT(ISNUMBER(F123))),"",F123*$D$33)</f>
      </c>
      <c r="H123" s="119">
        <f>IF(NOT(ISNUMBER(F123)),"",F123*$D$45)</f>
      </c>
      <c r="I123" s="119">
        <f>IF(OR($D$33="",NOT(ISNUMBER(H123))),"",H123*$D$33)</f>
      </c>
      <c r="J123">
        <f>IF($H$117&gt;0,1-H123/$H$117,0)</f>
      </c>
      <c r="K123"/>
      <c r="L123"/>
    </row>
    <row r="124" ht="20" customHeight="1">
      <c r="A124"/>
      <c r="B124"/>
      <c r="C124" t="n">
        <v>0.1</v>
      </c>
      <c r="D124" s="119">
        <f>$D$45*(1-C124)</f>
      </c>
      <c r="E124" s="119">
        <f>$G$50/D124</f>
      </c>
      <c r="F124">
        <f>IF(OR(D124="",E124=""),"",E124/D124)</f>
      </c>
      <c r="G124">
        <f>IF(OR($D$33="",NOT(ISNUMBER(F124))),"",F124*$D$33)</f>
      </c>
      <c r="H124" s="119">
        <f>IF(NOT(ISNUMBER(F124)),"",F124*$D$45)</f>
      </c>
      <c r="I124" s="119">
        <f>IF(OR($D$33="",NOT(ISNUMBER(H124))),"",H124*$D$33)</f>
      </c>
      <c r="J124">
        <f>IF($H$117&gt;0,1-H124/$H$117,0)</f>
      </c>
      <c r="K124"/>
      <c r="L124"/>
    </row>
    <row r="125" ht="20" customHeight="1">
      <c r="A125"/>
      <c r="B125"/>
      <c r="C125" t="n">
        <v>0</v>
      </c>
      <c r="D125" s="119">
        <f>$D$45*(1-C125)</f>
      </c>
      <c r="E125" s="119">
        <f>$G$50/D125</f>
      </c>
      <c r="F125">
        <f>IF(OR(D125="",E125=""),"",E125/D125)</f>
      </c>
      <c r="G125">
        <f>IF(OR($D$33="",NOT(ISNUMBER(F125))),"",F125*$D$33)</f>
      </c>
      <c r="H125" s="119">
        <f>IF(NOT(ISNUMBER(F125)),"",F125*$D$45)</f>
      </c>
      <c r="I125" s="119">
        <f>IF(OR($D$33="",NOT(ISNUMBER(H125))),"",H125*$D$33)</f>
      </c>
      <c r="J125">
        <f>IF($H$117&gt;0,1-H125/$H$117,0)</f>
      </c>
      <c r="K125" t="str">
        <v>沉没成本 / Quote</v>
      </c>
      <c r="L125">
        <f>E125</f>
      </c>
    </row>
    <row r="126" ht="20" customHeight="1">
      <c r="A126"/>
      <c r="B126"/>
      <c r="C126"/>
      <c r="D126"/>
      <c r="E126"/>
      <c r="F126"/>
      <c r="G126"/>
      <c r="H126"/>
      <c r="I126"/>
      <c r="J126"/>
      <c r="K126"/>
      <c r="L126"/>
    </row>
    <row r="127" ht="20" customHeight="1">
      <c r="A127"/>
      <c r="B127"/>
      <c r="C127"/>
      <c r="D127"/>
      <c r="E127"/>
      <c r="F127"/>
      <c r="G127"/>
      <c r="H127"/>
      <c r="I127"/>
      <c r="J127"/>
      <c r="K127"/>
      <c r="L127"/>
    </row>
    <row r="128" ht="20" customHeight="1">
      <c r="A128"/>
      <c r="B128"/>
      <c r="C128"/>
      <c r="D128"/>
      <c r="E128"/>
      <c r="F128"/>
      <c r="G128"/>
      <c r="H128"/>
      <c r="I128"/>
      <c r="J128"/>
      <c r="K128"/>
      <c r="L128"/>
    </row>
    <row r="129" ht="20" customHeight="1">
      <c r="A129"/>
      <c r="B129"/>
      <c r="C129"/>
      <c r="D129"/>
      <c r="E129"/>
      <c r="F129"/>
      <c r="G129"/>
      <c r="H129"/>
      <c r="I129"/>
      <c r="J129"/>
      <c r="K129"/>
      <c r="L129"/>
    </row>
    <row r="130" ht="20" customHeight="1">
      <c r="A130"/>
      <c r="B130"/>
      <c r="C130"/>
      <c r="D130"/>
      <c r="E130"/>
      <c r="F130"/>
      <c r="G130"/>
      <c r="H130"/>
      <c r="I130"/>
      <c r="J130"/>
      <c r="K130"/>
      <c r="L130"/>
    </row>
    <row r="131" ht="20" customHeight="1">
      <c r="A131"/>
      <c r="B131"/>
      <c r="C131"/>
      <c r="D131"/>
      <c r="E131"/>
      <c r="F131"/>
      <c r="G131"/>
      <c r="H131"/>
      <c r="I131"/>
      <c r="J131"/>
      <c r="K131"/>
      <c r="L131"/>
    </row>
    <row r="132" ht="20" customHeight="1">
      <c r="A132"/>
      <c r="B132"/>
      <c r="C132"/>
      <c r="D132"/>
      <c r="E132"/>
      <c r="F132"/>
      <c r="G132"/>
      <c r="H132"/>
      <c r="I132"/>
      <c r="J132"/>
      <c r="K132"/>
      <c r="L132"/>
    </row>
    <row r="133" ht="20" customHeight="1">
      <c r="A133"/>
      <c r="B133"/>
      <c r="C133"/>
      <c r="D133"/>
      <c r="E133"/>
      <c r="F133"/>
      <c r="G133"/>
      <c r="H133"/>
      <c r="I133"/>
      <c r="J133"/>
      <c r="K133"/>
      <c r="L133"/>
    </row>
    <row r="134" ht="20" customHeight="1">
      <c r="A134"/>
      <c r="B134"/>
      <c r="C134"/>
      <c r="D134"/>
      <c r="E134"/>
      <c r="F134"/>
      <c r="G134"/>
      <c r="H134"/>
      <c r="I134"/>
      <c r="J134"/>
      <c r="K134"/>
      <c r="L134"/>
    </row>
    <row r="135" ht="20" customHeight="1">
      <c r="A135"/>
      <c r="B135"/>
      <c r="C135"/>
      <c r="D135"/>
      <c r="E135"/>
      <c r="F135"/>
      <c r="G135"/>
      <c r="H135"/>
      <c r="I135"/>
      <c r="J135"/>
      <c r="K135"/>
      <c r="L135"/>
    </row>
    <row r="136" ht="20" customHeight="1">
      <c r="A136"/>
      <c r="B136"/>
      <c r="C136"/>
      <c r="D136"/>
      <c r="E136"/>
      <c r="F136"/>
      <c r="G136"/>
      <c r="H136"/>
      <c r="I136"/>
      <c r="J136"/>
      <c r="K136"/>
      <c r="L136"/>
    </row>
    <row r="137" ht="20" customHeight="1">
      <c r="A137"/>
      <c r="B137"/>
      <c r="C137"/>
      <c r="D137"/>
      <c r="E137"/>
      <c r="F137"/>
      <c r="G137"/>
      <c r="H137"/>
      <c r="I137"/>
      <c r="J137"/>
      <c r="K137"/>
      <c r="L137"/>
    </row>
    <row r="138" ht="20" customHeight="1">
      <c r="A138"/>
      <c r="B138"/>
      <c r="C138"/>
      <c r="D138"/>
      <c r="E138"/>
      <c r="F138"/>
      <c r="G138"/>
      <c r="H138"/>
      <c r="I138"/>
      <c r="J138"/>
      <c r="K138"/>
      <c r="L138"/>
    </row>
    <row r="139" ht="20" customHeight="1">
      <c r="A139"/>
      <c r="B139"/>
      <c r="C139"/>
      <c r="D139"/>
      <c r="E139"/>
      <c r="F139"/>
      <c r="G139"/>
      <c r="H139"/>
      <c r="I139"/>
      <c r="J139"/>
      <c r="K139"/>
      <c r="L139"/>
    </row>
    <row r="140" ht="20" customHeight="1">
      <c r="A140"/>
      <c r="B140"/>
      <c r="C140"/>
      <c r="D140"/>
      <c r="E140"/>
      <c r="F140"/>
      <c r="G140"/>
      <c r="H140"/>
      <c r="I140"/>
      <c r="J140"/>
      <c r="K140"/>
      <c r="L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754.0686961856693</v>
      </c>
      <c r="Q7" s="45">
        <v>46283.34975868055</v>
      </c>
      <c r="R7" s="35" t="inlineStr">
        <is>
          <t>https://api.coingecko.com/api/v3/simple/price?ids=tether,ethereum,binancecoin&amp;vs_currencies=usd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155.8372</v>
      </c>
      <c r="Q14" s="29">
        <v>46283.3493256713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186.7124</v>
      </c>
      <c r="Q15" s="30">
        <v>46283.34933046296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764.4157</v>
      </c>
      <c r="Q16" s="30">
        <v>46283.34933644676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4391.7337</v>
      </c>
      <c r="Q17" s="30">
        <v>46283.349342326386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721.7453</v>
      </c>
      <c r="Q18" s="30">
        <v>46283.34934763889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221.7181</v>
      </c>
      <c r="Q19" s="30">
        <v>46283.3493534375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337.03562</v>
      </c>
      <c r="Q20" s="30">
        <v>46283.349359155094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369.434</v>
      </c>
      <c r="Q21" s="30">
        <v>46283.34936508102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498.6768</v>
      </c>
      <c r="Q22" s="30">
        <v>46283.349370324075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354.4693</v>
      </c>
      <c r="Q23" s="30">
        <v>46283.349375972226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112.8313</v>
      </c>
      <c r="Q24" s="30">
        <v>46283.34938252315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111.5313</v>
      </c>
      <c r="Q25" s="30">
        <v>46283.3493882176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22.8497</v>
      </c>
      <c r="Q26" s="30">
        <v>46283.34939391204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75.7422</v>
      </c>
      <c r="Q27" s="30">
        <v>46283.349399872684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136.1389</v>
      </c>
      <c r="Q28" s="30">
        <v>46283.34940596065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8.7341</v>
      </c>
      <c r="Q29" s="30">
        <v>46283.34941131945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43.4689</v>
      </c>
      <c r="Q30" s="30">
        <v>46283.34941725695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118.9817</v>
      </c>
      <c r="Q31" s="30">
        <v>46283.349422071755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161.5949</v>
      </c>
      <c r="Q32" s="30">
        <v>46283.34942886574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7.8747</v>
      </c>
      <c r="Q33" s="30">
        <v>46283.34943337963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34.5871</v>
      </c>
      <c r="Q34" s="30">
        <v>46283.349439502315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24.6759</v>
      </c>
      <c r="Q35" s="30">
        <v>46283.349445266205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46283.34945219907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