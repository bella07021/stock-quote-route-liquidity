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bc5ad42108453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b68aa64bfa934638"/>
    <sheet name="Quote参数" sheetId="2" r:id="R639d5daa445c4a97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625f7df7394143" /><Relationship Type="http://schemas.openxmlformats.org/officeDocument/2006/relationships/theme" Target="/xl/theme/theme1.xml" Id="R5195505ecc824d55" /><Relationship Type="http://schemas.openxmlformats.org/officeDocument/2006/relationships/sharedStrings" Target="/xl/sharedStrings.xml" Id="Rda468031160e41a6" /><Relationship Type="http://schemas.openxmlformats.org/officeDocument/2006/relationships/worksheet" Target="/xl/worksheets/sheet1.xml" Id="Rb68aa64bfa934638" /><Relationship Type="http://schemas.openxmlformats.org/officeDocument/2006/relationships/worksheet" Target="/xl/worksheets/sheet2.xml" Id="R639d5daa445c4a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</v>
      </c>
      <c r="E8" s="35" t="str">
        <v>预算沿用 +1%</v>
      </c>
      <c r="F8" s="35" t="str">
        <v>内盘地址 / 套</v>
      </c>
      <c r="G8" s="49" t="n">
        <v>10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51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手动价格只用于 USDT 换算，不改变 Quote 控筹预算。清空覆盖格后恢复自动取价。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IF(ISNUMBER($D$26),(IF(LEFT($D$30,2)&lt;&gt;"可达","",IF($D$22="","",SUM($D$22,$D$23,$D$24,$D$25))))+$D$26,"")</f>
      </c>
      <c r="E18" s="58">
        <f>$D$7</f>
      </c>
      <c r="F18" s="101" t="str">
        <v>原生币 Gas 储备</v>
      </c>
      <c r="G18" s="68">
        <f>$D$32*MAX(0,$G$11)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IF(ISNUMBER($D$18),IF($D$18=0,0,IF($D$33&gt;0,$D$18*$D$33,"")),"")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IF($D$7="BNB",$D$33,IF('Quote参数'!$P$7&gt;0,'Quote参数'!$P$7,""))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"&amp;TEXT($D$31,"0%")&amp;" 理论资金"</f>
      </c>
      <c r="D22" s="115">
        <f>IF(LEFT($D$30,2)&lt;&gt;"可达","",IF($J$45="","",$J$41+$J$45))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IF(LEFT($D$30,2)&lt;&gt;"可达","",$J$41*MAX(0,$G$7-1))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IF(LEFT($D$30,2)&lt;&gt;"可达","",IF($J$46="","",$J$46*$J$47))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IF(LEFT($D$30,2)&lt;&gt;"可达","",MAX(0,($G$50/$J$55-$G$50/$J$56)*(1+$G$42)))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 s="101" t="str">
        <v>目标是否可达</v>
      </c>
      <c r="D30" s="101">
        <f>IF($J$51&lt;&gt;"参数有效",$J$51,IF(OR($D$8&lt;80%,$D$8&gt;=100%),"目标控筹率无效",IF(OR($J$7&lt;0,$J$7&gt;10%,$J$8&lt;0,$J$8&gt;10%),"税率无效",IF($D$31&gt;=$G$32,"目标+1%不可达","可达"))))</f>
      </c>
      <c r="E30" s="100"/>
      <c r="F30" s="100"/>
      <c r="G30" s="100"/>
      <c r="H30" s="100"/>
      <c r="I30" s="101" t="str">
        <v>卖出含税费率</v>
      </c>
      <c r="J30" s="117">
        <f>$G$42+$J$8</f>
      </c>
      <c r="K30" s="100"/>
      <c r="L30" s="100"/>
    </row>
    <row r="31" ht="20" customHeight="1">
      <c r="A31" s="2"/>
      <c r="B31" s="2"/>
      <c r="C31" s="101" t="str">
        <v>预算使用控筹率</v>
      </c>
      <c r="D31" s="117">
        <f>$D$8+1%</f>
      </c>
      <c r="E31" s="100"/>
      <c r="F31" s="100"/>
      <c r="G31" s="100"/>
      <c r="H31" s="100"/>
      <c r="I31" s="100"/>
      <c r="J31" s="100"/>
      <c r="K31" s="100"/>
      <c r="L31" s="100"/>
    </row>
    <row r="32" ht="20" customHeight="1">
      <c r="A32" s="2"/>
      <c r="B32" s="2"/>
      <c r="C32" s="101" t="str">
        <v>地址总数</v>
      </c>
      <c r="D32" s="115">
        <f>MAX(0,$G$8)*MAX(0,$G$7)+MAX(0,$G$9)+MAX(0,$G$10)</f>
      </c>
      <c r="E32" s="100"/>
      <c r="F32" s="101" t="str">
        <v>当前控筹上限</v>
      </c>
      <c r="G32" s="117">
        <f>$G$43+(1-$J$7)*$G$48/1000000000</f>
      </c>
      <c r="H32" s="100"/>
      <c r="I32" s="100"/>
      <c r="J32" s="100"/>
      <c r="K32" s="100"/>
      <c r="L32" s="100"/>
    </row>
    <row r="33" ht="20" customHeight="1">
      <c r="A33" s="2"/>
      <c r="B33" s="2"/>
      <c r="C33" s="101" t="str">
        <v>Quote 价格 / USDT</v>
      </c>
      <c r="D33" s="116">
        <f>IF($D$9&lt;&gt;"",IF(AND(ISNUMBER($D$9),$D$9&gt;0),$D$9,""),IF(VLOOKUP($D$7,'Quote参数'!$E$14:$P$36,12,FALSE)&gt;0,VLOOKUP($D$7,'Quote参数'!$E$14:$P$36,12,FALSE),""))</f>
      </c>
      <c r="E33" s="100"/>
      <c r="F33" s="100"/>
      <c r="G33" s="100"/>
      <c r="H33" s="100"/>
      <c r="I33" s="100"/>
      <c r="J33" s="100"/>
      <c r="K33" s="100"/>
      <c r="L33" s="100"/>
    </row>
    <row r="34" ht="20" customHeight="1">
      <c r="A34" s="2"/>
      <c r="B34" s="2"/>
      <c r="C34" s="101" t="str">
        <v>行情时间 / UTC</v>
      </c>
      <c r="D34" s="119">
        <f>IF(VLOOKUP($D$7,'Quote参数'!$E$14:$Q$36,13,FALSE)=0,"",VLOOKUP($D$7,'Quote参数'!$E$14:$Q$36,13,FALSE))</f>
      </c>
      <c r="E34" s="100"/>
      <c r="F34" s="100"/>
      <c r="G34" s="100"/>
      <c r="H34" s="100"/>
      <c r="I34" s="100"/>
      <c r="J34" s="100"/>
      <c r="K34" s="100"/>
      <c r="L34" s="100"/>
    </row>
    <row r="35" ht="20" customHeight="1">
      <c r="A35" s="2"/>
      <c r="B35" s="2"/>
      <c r="C35" s="101" t="str">
        <v>价格采用方式</v>
      </c>
      <c r="D35" s="100">
        <f>IF($D$9&lt;&gt;"","手动覆盖","每日行情")</f>
      </c>
      <c r="E35" s="100"/>
      <c r="F35" s="101">
        <f>IF($D$9&lt;&gt;"",IF($D$33="","手动价格无效","手动价格"),IF($D$33="","缺少价格","每日行情"))</f>
      </c>
      <c r="G35" s="101"/>
      <c r="H35" s="101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IF($D$31&lt;$G$32,MAX(0,($D$31-$G$43)*1000000000),"")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/>
      <c r="D51" s="102"/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/>
      <c r="D52" s="102"/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/>
      <c r="D53" s="102"/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/>
      <c r="D54" s="102"/>
      <c r="E54" s="101"/>
      <c r="F54" s="101"/>
      <c r="G54" s="102"/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/>
      <c r="D55" s="102"/>
      <c r="E55" s="101"/>
      <c r="F55" s="101"/>
      <c r="G55" s="102"/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/>
      <c r="D56" s="102"/>
      <c r="E56" s="101"/>
      <c r="F56" s="101"/>
      <c r="G56" s="102"/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IF(OR($D$33="",NOT(ISNUMBER(F59))),"",F59*$D$33)</f>
      </c>
      <c r="H59" s="137">
        <f>IF(NOT(ISNUMBER(F59)),"",F59*$D$45)</f>
      </c>
      <c r="I59" s="137">
        <f>IF(OR($D$33="",NOT(ISNUMBER(H59))),"",H59*$D$33)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IF(OR($D$33="",NOT(ISNUMBER(F60))),"",F60*$D$33)</f>
      </c>
      <c r="H60" s="138">
        <f>IF(NOT(ISNUMBER(F60)),"",F60*$D$45)</f>
      </c>
      <c r="I60" s="138">
        <f>IF(OR($D$33="",NOT(ISNUMBER(H60))),"",H60*$D$33)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IF(OR($D$33="",NOT(ISNUMBER(F61))),"",F61*$D$33)</f>
      </c>
      <c r="H61" s="138">
        <f>IF(NOT(ISNUMBER(F61)),"",F61*$D$45)</f>
      </c>
      <c r="I61" s="138">
        <f>IF(OR($D$33="",NOT(ISNUMBER(H61))),"",H61*$D$33)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IF(OR($D$33="",NOT(ISNUMBER(F62))),"",F62*$D$33)</f>
      </c>
      <c r="H62" s="138">
        <f>IF(NOT(ISNUMBER(F62)),"",F62*$D$45)</f>
      </c>
      <c r="I62" s="138">
        <f>IF(OR($D$33="",NOT(ISNUMBER(H62))),"",H62*$D$33)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IF(OR($D$33="",NOT(ISNUMBER(F63))),"",F63*$D$33)</f>
      </c>
      <c r="H63" s="138">
        <f>IF(NOT(ISNUMBER(F63)),"",F63*$D$45)</f>
      </c>
      <c r="I63" s="138">
        <f>IF(OR($D$33="",NOT(ISNUMBER(H63))),"",H63*$D$33)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IF(OR($D$33="",NOT(ISNUMBER(F64))),"",F64*$D$33)</f>
      </c>
      <c r="H64" s="138">
        <f>IF(NOT(ISNUMBER(F64)),"",F64*$D$45)</f>
      </c>
      <c r="I64" s="138">
        <f>IF(OR($D$33="",NOT(ISNUMBER(H64))),"",H64*$D$33)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IF(OR($D$33="",NOT(ISNUMBER(F65))),"",F65*$D$33)</f>
      </c>
      <c r="H65" s="138">
        <f>IF(NOT(ISNUMBER(F65)),"",F65*$D$45)</f>
      </c>
      <c r="I65" s="138">
        <f>IF(OR($D$33="",NOT(ISNUMBER(H65))),"",H65*$D$33)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IF(OR($D$33="",NOT(ISNUMBER(F66))),"",F66*$D$33)</f>
      </c>
      <c r="H66" s="138">
        <f>IF(NOT(ISNUMBER(F66)),"",F66*$D$45)</f>
      </c>
      <c r="I66" s="138">
        <f>IF(OR($D$33="",NOT(ISNUMBER(H66))),"",H66*$D$33)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IF(OR($D$33="",NOT(ISNUMBER(F67))),"",F67*$D$33)</f>
      </c>
      <c r="H67" s="139">
        <f>IF(NOT(ISNUMBER(F67)),"",F67*$D$45)</f>
      </c>
      <c r="I67" s="139">
        <f>IF(OR($D$33="",NOT(ISNUMBER(H67))),"",H67*$D$33)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IF(OR($D$33="",NOT(ISNUMBER(F72))),"",F72*$D$33)</f>
      </c>
      <c r="H72" s="137">
        <f>IF(NOT(ISNUMBER(F72)),"",F72*$D$45)</f>
      </c>
      <c r="I72" s="137">
        <f>IF(OR($D$33="",NOT(ISNUMBER(H72))),"",H72*$D$33)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IF(C73&lt;$G$32,$G$48-MAX(0,(C73-$G$43)*$D$45)/(1-$J$7),"")</f>
      </c>
      <c r="E73" s="138">
        <f>IF(D73="","",$G$50/D73)</f>
      </c>
      <c r="F73" s="129">
        <f>IF(OR(D73="",E73=""),"",E73/D73)</f>
      </c>
      <c r="G73" s="129">
        <f>IF(OR($D$33="",NOT(ISNUMBER(F73))),"",F73*$D$33)</f>
      </c>
      <c r="H73" s="138">
        <f>IF(NOT(ISNUMBER(F73)),"",F73*$D$45)</f>
      </c>
      <c r="I73" s="138">
        <f>IF(OR($D$33="",NOT(ISNUMBER(H73))),"",H73*$D$33)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IF(C74&lt;$G$32,$G$48-MAX(0,(C74-$G$43)*$D$45)/(1-$J$7),"")</f>
      </c>
      <c r="E74" s="138">
        <f>IF(D74="","",$G$50/D74)</f>
      </c>
      <c r="F74" s="129">
        <f>IF(OR(D74="",E74=""),"",E74/D74)</f>
      </c>
      <c r="G74" s="129">
        <f>IF(OR($D$33="",NOT(ISNUMBER(F74))),"",F74*$D$33)</f>
      </c>
      <c r="H74" s="138">
        <f>IF(NOT(ISNUMBER(F74)),"",F74*$D$45)</f>
      </c>
      <c r="I74" s="138">
        <f>IF(OR($D$33="",NOT(ISNUMBER(H74))),"",H74*$D$33)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IF(C75&lt;$G$32,$G$48-MAX(0,(C75-$G$43)*$D$45)/(1-$J$7),"")</f>
      </c>
      <c r="E75" s="138">
        <f>IF(D75="","",$G$50/D75)</f>
      </c>
      <c r="F75" s="129">
        <f>IF(OR(D75="",E75=""),"",E75/D75)</f>
      </c>
      <c r="G75" s="129">
        <f>IF(OR($D$33="",NOT(ISNUMBER(F75))),"",F75*$D$33)</f>
      </c>
      <c r="H75" s="138">
        <f>IF(NOT(ISNUMBER(F75)),"",F75*$D$45)</f>
      </c>
      <c r="I75" s="138">
        <f>IF(OR($D$33="",NOT(ISNUMBER(H75))),"",H75*$D$33)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IF(C76&lt;$G$32,$G$48-MAX(0,(C76-$G$43)*$D$45)/(1-$J$7),"")</f>
      </c>
      <c r="E76" s="138">
        <f>IF(D76="","",$G$50/D76)</f>
      </c>
      <c r="F76" s="129">
        <f>IF(OR(D76="",E76=""),"",E76/D76)</f>
      </c>
      <c r="G76" s="129">
        <f>IF(OR($D$33="",NOT(ISNUMBER(F76))),"",F76*$D$33)</f>
      </c>
      <c r="H76" s="138">
        <f>IF(NOT(ISNUMBER(F76)),"",F76*$D$45)</f>
      </c>
      <c r="I76" s="138">
        <f>IF(OR($D$33="",NOT(ISNUMBER(H76))),"",H76*$D$33)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IF(C77&lt;$G$32,$G$48-MAX(0,(C77-$G$43)*$D$45)/(1-$J$7),"")</f>
      </c>
      <c r="E77" s="138">
        <f>IF(D77="","",$G$50/D77)</f>
      </c>
      <c r="F77" s="129">
        <f>IF(OR(D77="",E77=""),"",E77/D77)</f>
      </c>
      <c r="G77" s="129">
        <f>IF(OR($D$33="",NOT(ISNUMBER(F77))),"",F77*$D$33)</f>
      </c>
      <c r="H77" s="138">
        <f>IF(NOT(ISNUMBER(F77)),"",F77*$D$45)</f>
      </c>
      <c r="I77" s="138">
        <f>IF(OR($D$33="",NOT(ISNUMBER(H77))),"",H77*$D$33)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IF(C78&lt;$G$32,$G$48-MAX(0,(C78-$G$43)*$D$45)/(1-$J$7),"")</f>
      </c>
      <c r="E78" s="138">
        <f>IF(D78="","",$G$50/D78)</f>
      </c>
      <c r="F78" s="129">
        <f>IF(OR(D78="",E78=""),"",E78/D78)</f>
      </c>
      <c r="G78" s="129">
        <f>IF(OR($D$33="",NOT(ISNUMBER(F78))),"",F78*$D$33)</f>
      </c>
      <c r="H78" s="138">
        <f>IF(NOT(ISNUMBER(F78)),"",F78*$D$45)</f>
      </c>
      <c r="I78" s="138">
        <f>IF(OR($D$33="",NOT(ISNUMBER(H78))),"",H78*$D$33)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IF(C79&lt;$G$32,$G$48-MAX(0,(C79-$G$43)*$D$45)/(1-$J$7),"")</f>
      </c>
      <c r="E79" s="138">
        <f>IF(D79="","",$G$50/D79)</f>
      </c>
      <c r="F79" s="129">
        <f>IF(OR(D79="",E79=""),"",E79/D79)</f>
      </c>
      <c r="G79" s="129">
        <f>IF(OR($D$33="",NOT(ISNUMBER(F79))),"",F79*$D$33)</f>
      </c>
      <c r="H79" s="138">
        <f>IF(NOT(ISNUMBER(F79)),"",F79*$D$45)</f>
      </c>
      <c r="I79" s="138">
        <f>IF(OR($D$33="",NOT(ISNUMBER(H79))),"",H79*$D$33)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IF(C80&lt;$G$32,$G$48-MAX(0,(C80-$G$43)*$D$45)/(1-$J$7),"")</f>
      </c>
      <c r="E80" s="138">
        <f>IF(D80="","",$G$50/D80)</f>
      </c>
      <c r="F80" s="129">
        <f>IF(OR(D80="",E80=""),"",E80/D80)</f>
      </c>
      <c r="G80" s="129">
        <f>IF(OR($D$33="",NOT(ISNUMBER(F80))),"",F80*$D$33)</f>
      </c>
      <c r="H80" s="138">
        <f>IF(NOT(ISNUMBER(F80)),"",F80*$D$45)</f>
      </c>
      <c r="I80" s="138">
        <f>IF(OR($D$33="",NOT(ISNUMBER(H80))),"",H80*$D$33)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IF(C81&lt;$G$32,$G$48-MAX(0,(C81-$G$43)*$D$45)/(1-$J$7),"")</f>
      </c>
      <c r="E81" s="138">
        <f>IF(D81="","",$G$50/D81)</f>
      </c>
      <c r="F81" s="129">
        <f>IF(OR(D81="",E81=""),"",E81/D81)</f>
      </c>
      <c r="G81" s="129">
        <f>IF(OR($D$33="",NOT(ISNUMBER(F81))),"",F81*$D$33)</f>
      </c>
      <c r="H81" s="138">
        <f>IF(NOT(ISNUMBER(F81)),"",F81*$D$45)</f>
      </c>
      <c r="I81" s="138">
        <f>IF(OR($D$33="",NOT(ISNUMBER(H81))),"",H81*$D$33)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IF(C82&lt;$G$32,$G$48-MAX(0,(C82-$G$43)*$D$45)/(1-$J$7),"")</f>
      </c>
      <c r="E82" s="138">
        <f>IF(D82="","",$G$50/D82)</f>
      </c>
      <c r="F82" s="129">
        <f>IF(OR(D82="",E82=""),"",E82/D82)</f>
      </c>
      <c r="G82" s="129">
        <f>IF(OR($D$33="",NOT(ISNUMBER(F82))),"",F82*$D$33)</f>
      </c>
      <c r="H82" s="138">
        <f>IF(NOT(ISNUMBER(F82)),"",F82*$D$45)</f>
      </c>
      <c r="I82" s="138">
        <f>IF(OR($D$33="",NOT(ISNUMBER(H82))),"",H82*$D$33)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IF(C83&lt;$G$32,$G$48-MAX(0,(C83-$G$43)*$D$45)/(1-$J$7),"")</f>
      </c>
      <c r="E83" s="138">
        <f>IF(D83="","",$G$50/D83)</f>
      </c>
      <c r="F83" s="129">
        <f>IF(OR(D83="",E83=""),"",E83/D83)</f>
      </c>
      <c r="G83" s="129">
        <f>IF(OR($D$33="",NOT(ISNUMBER(F83))),"",F83*$D$33)</f>
      </c>
      <c r="H83" s="138">
        <f>IF(NOT(ISNUMBER(F83)),"",F83*$D$45)</f>
      </c>
      <c r="I83" s="138">
        <f>IF(OR($D$33="",NOT(ISNUMBER(H83))),"",H83*$D$33)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IF(C84&lt;$G$32,$G$48-MAX(0,(C84-$G$43)*$D$45)/(1-$J$7),"")</f>
      </c>
      <c r="E84" s="138">
        <f>IF(D84="","",$G$50/D84)</f>
      </c>
      <c r="F84" s="129">
        <f>IF(OR(D84="",E84=""),"",E84/D84)</f>
      </c>
      <c r="G84" s="129">
        <f>IF(OR($D$33="",NOT(ISNUMBER(F84))),"",F84*$D$33)</f>
      </c>
      <c r="H84" s="138">
        <f>IF(NOT(ISNUMBER(F84)),"",F84*$D$45)</f>
      </c>
      <c r="I84" s="138">
        <f>IF(OR($D$33="",NOT(ISNUMBER(H84))),"",H84*$D$33)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IF(C85&lt;$G$32,$G$48-MAX(0,(C85-$G$43)*$D$45)/(1-$J$7),"")</f>
      </c>
      <c r="E85" s="138">
        <f>IF(D85="","",$G$50/D85)</f>
      </c>
      <c r="F85" s="129">
        <f>IF(OR(D85="",E85=""),"",E85/D85)</f>
      </c>
      <c r="G85" s="129">
        <f>IF(OR($D$33="",NOT(ISNUMBER(F85))),"",F85*$D$33)</f>
      </c>
      <c r="H85" s="138">
        <f>IF(NOT(ISNUMBER(F85)),"",F85*$D$45)</f>
      </c>
      <c r="I85" s="138">
        <f>IF(OR($D$33="",NOT(ISNUMBER(H85))),"",H85*$D$33)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IF(C86&lt;$G$32,$G$48-MAX(0,(C86-$G$43)*$D$45)/(1-$J$7),"")</f>
      </c>
      <c r="E86" s="138">
        <f>IF(D86="","",$G$50/D86)</f>
      </c>
      <c r="F86" s="129">
        <f>IF(OR(D86="",E86=""),"",E86/D86)</f>
      </c>
      <c r="G86" s="129">
        <f>IF(OR($D$33="",NOT(ISNUMBER(F86))),"",F86*$D$33)</f>
      </c>
      <c r="H86" s="138">
        <f>IF(NOT(ISNUMBER(F86)),"",F86*$D$45)</f>
      </c>
      <c r="I86" s="138">
        <f>IF(OR($D$33="",NOT(ISNUMBER(H86))),"",H86*$D$33)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IF(C87&lt;$G$32,$G$48-MAX(0,(C87-$G$43)*$D$45)/(1-$J$7),"")</f>
      </c>
      <c r="E87" s="138">
        <f>IF(D87="","",$G$50/D87)</f>
      </c>
      <c r="F87" s="129">
        <f>IF(OR(D87="",E87=""),"",E87/D87)</f>
      </c>
      <c r="G87" s="129">
        <f>IF(OR($D$33="",NOT(ISNUMBER(F87))),"",F87*$D$33)</f>
      </c>
      <c r="H87" s="138">
        <f>IF(NOT(ISNUMBER(F87)),"",F87*$D$45)</f>
      </c>
      <c r="I87" s="138">
        <f>IF(OR($D$33="",NOT(ISNUMBER(H87))),"",H87*$D$33)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IF(C88&lt;$G$32,$G$48-MAX(0,(C88-$G$43)*$D$45)/(1-$J$7),"")</f>
      </c>
      <c r="E88" s="138">
        <f>IF(D88="","",$G$50/D88)</f>
      </c>
      <c r="F88" s="129">
        <f>IF(OR(D88="",E88=""),"",E88/D88)</f>
      </c>
      <c r="G88" s="129">
        <f>IF(OR($D$33="",NOT(ISNUMBER(F88))),"",F88*$D$33)</f>
      </c>
      <c r="H88" s="138">
        <f>IF(NOT(ISNUMBER(F88)),"",F88*$D$45)</f>
      </c>
      <c r="I88" s="138">
        <f>IF(OR($D$33="",NOT(ISNUMBER(H88))),"",H88*$D$33)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IF(C89&lt;$G$32,$G$48-MAX(0,(C89-$G$43)*$D$45)/(1-$J$7),"")</f>
      </c>
      <c r="E89" s="138">
        <f>IF(D89="","",$G$50/D89)</f>
      </c>
      <c r="F89" s="129">
        <f>IF(OR(D89="",E89=""),"",E89/D89)</f>
      </c>
      <c r="G89" s="129">
        <f>IF(OR($D$33="",NOT(ISNUMBER(F89))),"",F89*$D$33)</f>
      </c>
      <c r="H89" s="138">
        <f>IF(NOT(ISNUMBER(F89)),"",F89*$D$45)</f>
      </c>
      <c r="I89" s="138">
        <f>IF(OR($D$33="",NOT(ISNUMBER(H89))),"",H89*$D$33)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IF(C90&lt;$G$32,$G$48-MAX(0,(C90-$G$43)*$D$45)/(1-$J$7),"")</f>
      </c>
      <c r="E90" s="138">
        <f>IF(D90="","",$G$50/D90)</f>
      </c>
      <c r="F90" s="129">
        <f>IF(OR(D90="",E90=""),"",E90/D90)</f>
      </c>
      <c r="G90" s="129">
        <f>IF(OR($D$33="",NOT(ISNUMBER(F90))),"",F90*$D$33)</f>
      </c>
      <c r="H90" s="138">
        <f>IF(NOT(ISNUMBER(F90)),"",F90*$D$45)</f>
      </c>
      <c r="I90" s="138">
        <f>IF(OR($D$33="",NOT(ISNUMBER(H90))),"",H90*$D$33)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IF(C91&lt;$G$32,$G$48-MAX(0,(C91-$G$43)*$D$45)/(1-$J$7),"")</f>
      </c>
      <c r="E91" s="138">
        <f>IF(D91="","",$G$50/D91)</f>
      </c>
      <c r="F91" s="129">
        <f>IF(OR(D91="",E91=""),"",E91/D91)</f>
      </c>
      <c r="G91" s="129">
        <f>IF(OR($D$33="",NOT(ISNUMBER(F91))),"",F91*$D$33)</f>
      </c>
      <c r="H91" s="138">
        <f>IF(NOT(ISNUMBER(F91)),"",F91*$D$45)</f>
      </c>
      <c r="I91" s="138">
        <f>IF(OR($D$33="",NOT(ISNUMBER(H91))),"",H91*$D$33)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IF(C92&lt;$G$32,$G$48-MAX(0,(C92-$G$43)*$D$45)/(1-$J$7),"")</f>
      </c>
      <c r="E92" s="138">
        <f>IF(D92="","",$G$50/D92)</f>
      </c>
      <c r="F92" s="129">
        <f>IF(OR(D92="",E92=""),"",E92/D92)</f>
      </c>
      <c r="G92" s="129">
        <f>IF(OR($D$33="",NOT(ISNUMBER(F92))),"",F92*$D$33)</f>
      </c>
      <c r="H92" s="138">
        <f>IF(NOT(ISNUMBER(F92)),"",F92*$D$45)</f>
      </c>
      <c r="I92" s="138">
        <f>IF(OR($D$33="",NOT(ISNUMBER(H92))),"",H92*$D$33)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IF(C93&lt;$G$32,$G$48-MAX(0,(C93-$G$43)*$D$45)/(1-$J$7),"")</f>
      </c>
      <c r="E93" s="138">
        <f>IF(D93="","",$G$50/D93)</f>
      </c>
      <c r="F93" s="129">
        <f>IF(OR(D93="",E93=""),"",E93/D93)</f>
      </c>
      <c r="G93" s="129">
        <f>IF(OR($D$33="",NOT(ISNUMBER(F93))),"",F93*$D$33)</f>
      </c>
      <c r="H93" s="138">
        <f>IF(NOT(ISNUMBER(F93)),"",F93*$D$45)</f>
      </c>
      <c r="I93" s="138">
        <f>IF(OR($D$33="",NOT(ISNUMBER(H93))),"",H93*$D$33)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IF(C94&lt;$G$32,$G$48-MAX(0,(C94-$G$43)*$D$45)/(1-$J$7),"")</f>
      </c>
      <c r="E94" s="138">
        <f>IF(D94="","",$G$50/D94)</f>
      </c>
      <c r="F94" s="129">
        <f>IF(OR(D94="",E94=""),"",E94/D94)</f>
      </c>
      <c r="G94" s="129">
        <f>IF(OR($D$33="",NOT(ISNUMBER(F94))),"",F94*$D$33)</f>
      </c>
      <c r="H94" s="138">
        <f>IF(NOT(ISNUMBER(F94)),"",F94*$D$45)</f>
      </c>
      <c r="I94" s="138">
        <f>IF(OR($D$33="",NOT(ISNUMBER(H94))),"",H94*$D$33)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IF(C95&lt;$G$32,$G$48-MAX(0,(C95-$G$43)*$D$45)/(1-$J$7),"")</f>
      </c>
      <c r="E95" s="138">
        <f>IF(D95="","",$G$50/D95)</f>
      </c>
      <c r="F95" s="129">
        <f>IF(OR(D95="",E95=""),"",E95/D95)</f>
      </c>
      <c r="G95" s="129">
        <f>IF(OR($D$33="",NOT(ISNUMBER(F95))),"",F95*$D$33)</f>
      </c>
      <c r="H95" s="138">
        <f>IF(NOT(ISNUMBER(F95)),"",F95*$D$45)</f>
      </c>
      <c r="I95" s="138">
        <f>IF(OR($D$33="",NOT(ISNUMBER(H95))),"",H95*$D$33)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IF(C96&lt;$G$32,$G$48-MAX(0,(C96-$G$43)*$D$45)/(1-$J$7),"")</f>
      </c>
      <c r="E96" s="138">
        <f>IF(D96="","",$G$50/D96)</f>
      </c>
      <c r="F96" s="129">
        <f>IF(OR(D96="",E96=""),"",E96/D96)</f>
      </c>
      <c r="G96" s="129">
        <f>IF(OR($D$33="",NOT(ISNUMBER(F96))),"",F96*$D$33)</f>
      </c>
      <c r="H96" s="138">
        <f>IF(NOT(ISNUMBER(F96)),"",F96*$D$45)</f>
      </c>
      <c r="I96" s="138">
        <f>IF(OR($D$33="",NOT(ISNUMBER(H96))),"",H96*$D$33)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IF(C97&lt;$G$32,$G$48-MAX(0,(C97-$G$43)*$D$45)/(1-$J$7),"")</f>
      </c>
      <c r="E97" s="138">
        <f>IF(D97="","",$G$50/D97)</f>
      </c>
      <c r="F97" s="129">
        <f>IF(OR(D97="",E97=""),"",E97/D97)</f>
      </c>
      <c r="G97" s="129">
        <f>IF(OR($D$33="",NOT(ISNUMBER(F97))),"",F97*$D$33)</f>
      </c>
      <c r="H97" s="138">
        <f>IF(NOT(ISNUMBER(F97)),"",F97*$D$45)</f>
      </c>
      <c r="I97" s="138">
        <f>IF(OR($D$33="",NOT(ISNUMBER(H97))),"",H97*$D$33)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IF(C98&lt;$G$32,$G$48-MAX(0,(C98-$G$43)*$D$45)/(1-$J$7),"")</f>
      </c>
      <c r="E98" s="138">
        <f>IF(D98="","",$G$50/D98)</f>
      </c>
      <c r="F98" s="129">
        <f>IF(OR(D98="",E98=""),"",E98/D98)</f>
      </c>
      <c r="G98" s="129">
        <f>IF(OR($D$33="",NOT(ISNUMBER(F98))),"",F98*$D$33)</f>
      </c>
      <c r="H98" s="138">
        <f>IF(NOT(ISNUMBER(F98)),"",F98*$D$45)</f>
      </c>
      <c r="I98" s="138">
        <f>IF(OR($D$33="",NOT(ISNUMBER(H98))),"",H98*$D$33)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IF(C99&lt;$G$32,$G$48-MAX(0,(C99-$G$43)*$D$45)/(1-$J$7),"")</f>
      </c>
      <c r="E99" s="138">
        <f>IF(D99="","",$G$50/D99)</f>
      </c>
      <c r="F99" s="129">
        <f>IF(OR(D99="",E99=""),"",E99/D99)</f>
      </c>
      <c r="G99" s="129">
        <f>IF(OR($D$33="",NOT(ISNUMBER(F99))),"",F99*$D$33)</f>
      </c>
      <c r="H99" s="138">
        <f>IF(NOT(ISNUMBER(F99)),"",F99*$D$45)</f>
      </c>
      <c r="I99" s="138">
        <f>IF(OR($D$33="",NOT(ISNUMBER(H99))),"",H99*$D$33)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IF(C100&lt;$G$32,$G$48-MAX(0,(C100-$G$43)*$D$45)/(1-$J$7),"")</f>
      </c>
      <c r="E100" s="138">
        <f>IF(D100="","",$G$50/D100)</f>
      </c>
      <c r="F100" s="129">
        <f>IF(OR(D100="",E100=""),"",E100/D100)</f>
      </c>
      <c r="G100" s="129">
        <f>IF(OR($D$33="",NOT(ISNUMBER(F100))),"",F100*$D$33)</f>
      </c>
      <c r="H100" s="138">
        <f>IF(NOT(ISNUMBER(F100)),"",F100*$D$45)</f>
      </c>
      <c r="I100" s="138">
        <f>IF(OR($D$33="",NOT(ISNUMBER(H100))),"",H100*$D$33)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IF(C101&lt;$G$32,$G$48-MAX(0,(C101-$G$43)*$D$45)/(1-$J$7),"")</f>
      </c>
      <c r="E101" s="138">
        <f>IF(D101="","",$G$50/D101)</f>
      </c>
      <c r="F101" s="129">
        <f>IF(OR(D101="",E101=""),"",E101/D101)</f>
      </c>
      <c r="G101" s="129">
        <f>IF(OR($D$33="",NOT(ISNUMBER(F101))),"",F101*$D$33)</f>
      </c>
      <c r="H101" s="138">
        <f>IF(NOT(ISNUMBER(F101)),"",F101*$D$45)</f>
      </c>
      <c r="I101" s="138">
        <f>IF(OR($D$33="",NOT(ISNUMBER(H101))),"",H101*$D$33)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IF(C102&lt;$G$32,$G$48-MAX(0,(C102-$G$43)*$D$45)/(1-$J$7),"")</f>
      </c>
      <c r="E102" s="138">
        <f>IF(D102="","",$G$50/D102)</f>
      </c>
      <c r="F102" s="129">
        <f>IF(OR(D102="",E102=""),"",E102/D102)</f>
      </c>
      <c r="G102" s="129">
        <f>IF(OR($D$33="",NOT(ISNUMBER(F102))),"",F102*$D$33)</f>
      </c>
      <c r="H102" s="138">
        <f>IF(NOT(ISNUMBER(F102)),"",F102*$D$45)</f>
      </c>
      <c r="I102" s="138">
        <f>IF(OR($D$33="",NOT(ISNUMBER(H102))),"",H102*$D$33)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IF(C103&lt;$G$32,$G$48-MAX(0,(C103-$G$43)*$D$45)/(1-$J$7),"")</f>
      </c>
      <c r="E103" s="138">
        <f>IF(D103="","",$G$50/D103)</f>
      </c>
      <c r="F103" s="129">
        <f>IF(OR(D103="",E103=""),"",E103/D103)</f>
      </c>
      <c r="G103" s="129">
        <f>IF(OR($D$33="",NOT(ISNUMBER(F103))),"",F103*$D$33)</f>
      </c>
      <c r="H103" s="138">
        <f>IF(NOT(ISNUMBER(F103)),"",F103*$D$45)</f>
      </c>
      <c r="I103" s="138">
        <f>IF(OR($D$33="",NOT(ISNUMBER(H103))),"",H103*$D$33)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IF(C104&lt;$G$32,$G$48-MAX(0,(C104-$G$43)*$D$45)/(1-$J$7),"")</f>
      </c>
      <c r="E104" s="138">
        <f>IF(D104="","",$G$50/D104)</f>
      </c>
      <c r="F104" s="129">
        <f>IF(OR(D104="",E104=""),"",E104/D104)</f>
      </c>
      <c r="G104" s="129">
        <f>IF(OR($D$33="",NOT(ISNUMBER(F104))),"",F104*$D$33)</f>
      </c>
      <c r="H104" s="138">
        <f>IF(NOT(ISNUMBER(F104)),"",F104*$D$45)</f>
      </c>
      <c r="I104" s="138">
        <f>IF(OR($D$33="",NOT(ISNUMBER(H104))),"",H104*$D$33)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IF(C105&lt;$G$32,$G$48-MAX(0,(C105-$G$43)*$D$45)/(1-$J$7),"")</f>
      </c>
      <c r="E105" s="138">
        <f>IF(D105="","",$G$50/D105)</f>
      </c>
      <c r="F105" s="129">
        <f>IF(OR(D105="",E105=""),"",E105/D105)</f>
      </c>
      <c r="G105" s="129">
        <f>IF(OR($D$33="",NOT(ISNUMBER(F105))),"",F105*$D$33)</f>
      </c>
      <c r="H105" s="138">
        <f>IF(NOT(ISNUMBER(F105)),"",F105*$D$45)</f>
      </c>
      <c r="I105" s="138">
        <f>IF(OR($D$33="",NOT(ISNUMBER(H105))),"",H105*$D$33)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IF(C106&lt;$G$32,$G$48-MAX(0,(C106-$G$43)*$D$45)/(1-$J$7),"")</f>
      </c>
      <c r="E106" s="138">
        <f>IF(D106="","",$G$50/D106)</f>
      </c>
      <c r="F106" s="129">
        <f>IF(OR(D106="",E106=""),"",E106/D106)</f>
      </c>
      <c r="G106" s="129">
        <f>IF(OR($D$33="",NOT(ISNUMBER(F106))),"",F106*$D$33)</f>
      </c>
      <c r="H106" s="138">
        <f>IF(NOT(ISNUMBER(F106)),"",F106*$D$45)</f>
      </c>
      <c r="I106" s="138">
        <f>IF(OR($D$33="",NOT(ISNUMBER(H106))),"",H106*$D$33)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IF(C107&lt;$G$32,$G$48-MAX(0,(C107-$G$43)*$D$45)/(1-$J$7),"")</f>
      </c>
      <c r="E107" s="138">
        <f>IF(D107="","",$G$50/D107)</f>
      </c>
      <c r="F107" s="129">
        <f>IF(OR(D107="",E107=""),"",E107/D107)</f>
      </c>
      <c r="G107" s="129">
        <f>IF(OR($D$33="",NOT(ISNUMBER(F107))),"",F107*$D$33)</f>
      </c>
      <c r="H107" s="138">
        <f>IF(NOT(ISNUMBER(F107)),"",F107*$D$45)</f>
      </c>
      <c r="I107" s="138">
        <f>IF(OR($D$33="",NOT(ISNUMBER(H107))),"",H107*$D$33)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IF(C108&lt;$G$32,$G$48-MAX(0,(C108-$G$43)*$D$45)/(1-$J$7),"")</f>
      </c>
      <c r="E108" s="138">
        <f>IF(D108="","",$G$50/D108)</f>
      </c>
      <c r="F108" s="129">
        <f>IF(OR(D108="",E108=""),"",E108/D108)</f>
      </c>
      <c r="G108" s="129">
        <f>IF(OR($D$33="",NOT(ISNUMBER(F108))),"",F108*$D$33)</f>
      </c>
      <c r="H108" s="138">
        <f>IF(NOT(ISNUMBER(F108)),"",F108*$D$45)</f>
      </c>
      <c r="I108" s="138">
        <f>IF(OR($D$33="",NOT(ISNUMBER(H108))),"",H108*$D$33)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IF(C109&lt;$G$32,$G$48-MAX(0,(C109-$G$43)*$D$45)/(1-$J$7),"")</f>
      </c>
      <c r="E109" s="138">
        <f>IF(D109="","",$G$50/D109)</f>
      </c>
      <c r="F109" s="129">
        <f>IF(OR(D109="",E109=""),"",E109/D109)</f>
      </c>
      <c r="G109" s="129">
        <f>IF(OR($D$33="",NOT(ISNUMBER(F109))),"",F109*$D$33)</f>
      </c>
      <c r="H109" s="138">
        <f>IF(NOT(ISNUMBER(F109)),"",F109*$D$45)</f>
      </c>
      <c r="I109" s="138">
        <f>IF(OR($D$33="",NOT(ISNUMBER(H109))),"",H109*$D$33)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IF(C110&lt;$G$32,$G$48-MAX(0,(C110-$G$43)*$D$45)/(1-$J$7),"")</f>
      </c>
      <c r="E110" s="138">
        <f>IF(D110="","",$G$50/D110)</f>
      </c>
      <c r="F110" s="129">
        <f>IF(OR(D110="",E110=""),"",E110/D110)</f>
      </c>
      <c r="G110" s="129">
        <f>IF(OR($D$33="",NOT(ISNUMBER(F110))),"",F110*$D$33)</f>
      </c>
      <c r="H110" s="138">
        <f>IF(NOT(ISNUMBER(F110)),"",F110*$D$45)</f>
      </c>
      <c r="I110" s="138">
        <f>IF(OR($D$33="",NOT(ISNUMBER(H110))),"",H110*$D$33)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IF(C111&lt;$G$32,$G$48-MAX(0,(C111-$G$43)*$D$45)/(1-$J$7),"")</f>
      </c>
      <c r="E111" s="138">
        <f>IF(D111="","",$G$50/D111)</f>
      </c>
      <c r="F111" s="129">
        <f>IF(OR(D111="",E111=""),"",E111/D111)</f>
      </c>
      <c r="G111" s="129">
        <f>IF(OR($D$33="",NOT(ISNUMBER(F111))),"",F111*$D$33)</f>
      </c>
      <c r="H111" s="138">
        <f>IF(NOT(ISNUMBER(F111)),"",F111*$D$45)</f>
      </c>
      <c r="I111" s="138">
        <f>IF(OR($D$33="",NOT(ISNUMBER(H111))),"",H111*$D$33)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IF(C112&lt;$G$32,$G$48-MAX(0,(C112-$G$43)*$D$45)/(1-$J$7),"")</f>
      </c>
      <c r="E112" s="139">
        <f>IF(D112="","",$G$50/D112)</f>
      </c>
      <c r="F112" s="130">
        <f>IF(OR(D112="",E112=""),"",E112/D112)</f>
      </c>
      <c r="G112" s="130">
        <f>IF(OR($D$33="",NOT(ISNUMBER(F112))),"",F112*$D$33)</f>
      </c>
      <c r="H112" s="139">
        <f>IF(NOT(ISNUMBER(F112)),"",F112*$D$45)</f>
      </c>
      <c r="I112" s="139">
        <f>IF(OR($D$33="",NOT(ISNUMBER(H112))),"",H112*$D$33)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IF(OR($D$33="",NOT(ISNUMBER(F117))),"",F117*$D$33)</f>
      </c>
      <c r="H117" s="137">
        <f>IF(NOT(ISNUMBER(F117)),"",F117*$D$45)</f>
      </c>
      <c r="I117" s="137">
        <f>IF(OR($D$33="",NOT(ISNUMBER(H117))),"",H117*$D$33)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IF(OR($D$33="",NOT(ISNUMBER(F118))),"",F118*$D$33)</f>
      </c>
      <c r="H118" s="138">
        <f>IF(NOT(ISNUMBER(F118)),"",F118*$D$45)</f>
      </c>
      <c r="I118" s="138">
        <f>IF(OR($D$33="",NOT(ISNUMBER(H118))),"",H118*$D$33)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IF(OR($D$33="",NOT(ISNUMBER(F119))),"",F119*$D$33)</f>
      </c>
      <c r="H119" s="138">
        <f>IF(NOT(ISNUMBER(F119)),"",F119*$D$45)</f>
      </c>
      <c r="I119" s="138">
        <f>IF(OR($D$33="",NOT(ISNUMBER(H119))),"",H119*$D$33)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IF(OR($D$33="",NOT(ISNUMBER(F120))),"",F120*$D$33)</f>
      </c>
      <c r="H120" s="138">
        <f>IF(NOT(ISNUMBER(F120)),"",F120*$D$45)</f>
      </c>
      <c r="I120" s="138">
        <f>IF(OR($D$33="",NOT(ISNUMBER(H120))),"",H120*$D$33)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IF(OR($D$33="",NOT(ISNUMBER(F121))),"",F121*$D$33)</f>
      </c>
      <c r="H121" s="138">
        <f>IF(NOT(ISNUMBER(F121)),"",F121*$D$45)</f>
      </c>
      <c r="I121" s="138">
        <f>IF(OR($D$33="",NOT(ISNUMBER(H121))),"",H121*$D$33)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IF(OR($D$33="",NOT(ISNUMBER(F122))),"",F122*$D$33)</f>
      </c>
      <c r="H122" s="138">
        <f>IF(NOT(ISNUMBER(F122)),"",F122*$D$45)</f>
      </c>
      <c r="I122" s="138">
        <f>IF(OR($D$33="",NOT(ISNUMBER(H122))),"",H122*$D$33)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IF(OR($D$33="",NOT(ISNUMBER(F123))),"",F123*$D$33)</f>
      </c>
      <c r="H123" s="138">
        <f>IF(NOT(ISNUMBER(F123)),"",F123*$D$45)</f>
      </c>
      <c r="I123" s="138">
        <f>IF(OR($D$33="",NOT(ISNUMBER(H123))),"",H123*$D$33)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IF(OR($D$33="",NOT(ISNUMBER(F124))),"",F124*$D$33)</f>
      </c>
      <c r="H124" s="138">
        <f>IF(NOT(ISNUMBER(F124)),"",F124*$D$45)</f>
      </c>
      <c r="I124" s="138">
        <f>IF(OR($D$33="",NOT(ISNUMBER(H124))),"",H124*$D$33)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IF(OR($D$33="",NOT(ISNUMBER(F125))),"",F125*$D$33)</f>
      </c>
      <c r="H125" s="139">
        <f>IF(NOT(ISNUMBER(F125)),"",F125*$D$45)</f>
      </c>
      <c r="I125" s="139">
        <f>IF(OR($D$33="",NOT(ISNUMBER(H125))),"",H125*$D$33)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754.0686961856693</v>
      </c>
      <c r="Q7" s="45">
        <v>46283.34975868055</v>
      </c>
      <c r="R7" s="35" t="inlineStr">
        <is>
          <t>https://api.coingecko.com/api/v3/simple/price?ids=tether,ethereum,binancecoin&amp;vs_currencies=usd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155.8372</v>
      </c>
      <c r="Q14" s="29">
        <v>46283.3493256713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186.7124</v>
      </c>
      <c r="Q15" s="30">
        <v>46283.34933046296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764.4157</v>
      </c>
      <c r="Q16" s="30">
        <v>46283.34933644676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4391.7337</v>
      </c>
      <c r="Q17" s="30">
        <v>46283.349342326386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721.7453</v>
      </c>
      <c r="Q18" s="30">
        <v>46283.34934763889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221.7181</v>
      </c>
      <c r="Q19" s="30">
        <v>46283.3493534375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337.03562</v>
      </c>
      <c r="Q20" s="30">
        <v>46283.349359155094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369.434</v>
      </c>
      <c r="Q21" s="30">
        <v>46283.34936508102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498.6768</v>
      </c>
      <c r="Q22" s="30">
        <v>46283.349370324075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354.4693</v>
      </c>
      <c r="Q23" s="30">
        <v>46283.349375972226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112.8313</v>
      </c>
      <c r="Q24" s="30">
        <v>46283.34938252315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111.5313</v>
      </c>
      <c r="Q25" s="30">
        <v>46283.3493882176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22.8497</v>
      </c>
      <c r="Q26" s="30">
        <v>46283.34939391204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75.7422</v>
      </c>
      <c r="Q27" s="30">
        <v>46283.349399872684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136.1389</v>
      </c>
      <c r="Q28" s="30">
        <v>46283.34940596065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8.7341</v>
      </c>
      <c r="Q29" s="30">
        <v>46283.34941131945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43.4689</v>
      </c>
      <c r="Q30" s="30">
        <v>46283.34941725695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118.9817</v>
      </c>
      <c r="Q31" s="30">
        <v>46283.349422071755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161.5949</v>
      </c>
      <c r="Q32" s="30">
        <v>46283.34942886574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7.8747</v>
      </c>
      <c r="Q33" s="30">
        <v>46283.34943337963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34.5871</v>
      </c>
      <c r="Q34" s="30">
        <v>46283.349439502315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24.6759</v>
      </c>
      <c r="Q35" s="30">
        <v>46283.349445266205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46283.34945219907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