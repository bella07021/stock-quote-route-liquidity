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3bac27aa364546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dcc5bc14b1644b1"/>
    <sheet name="Quote参数" sheetId="2" r:id="R38df04059960489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4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7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ff70460e9c4f64" /><Relationship Type="http://schemas.openxmlformats.org/officeDocument/2006/relationships/theme" Target="/xl/theme/theme1.xml" Id="R7dc2cb79454c4146" /><Relationship Type="http://schemas.openxmlformats.org/officeDocument/2006/relationships/sharedStrings" Target="/xl/sharedStrings.xml" Id="R97592e7be83c4117" /><Relationship Type="http://schemas.openxmlformats.org/officeDocument/2006/relationships/worksheet" Target="/xl/worksheets/sheet1.xml" Id="R2dcc5bc14b1644b1" /><Relationship Type="http://schemas.openxmlformats.org/officeDocument/2006/relationships/worksheet" Target="/xl/worksheets/sheet2.xml" Id="R38df04059960489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</v>
      </c>
      <c r="E8" s="35" t="str">
        <v>预算沿用 +1%</v>
      </c>
      <c r="F8" s="35" t="str">
        <v>内盘地址 / 套</v>
      </c>
      <c r="G8" s="49" t="n">
        <v>10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2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100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51" t="n">
        <v>0</v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手动价格只用于 USDT 换算，不改变 Quote 控筹预算。清空覆盖格后恢复自动取价。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IF(ISNUMBER($D$26),(IF(LEFT($D$51,2)&lt;&gt;"可达","",IF($D$22="","",SUM($D$22,$D$23,$D$24,$D$25))))+$D$26,"")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t="20" customHeight="1">
      <c r="A24" s="2"/>
      <c r="B24" s="2"/>
      <c r="C24" s="101" t="str">
        <v>洗筹损耗</v>
      </c>
      <c r="D24" s="115">
        <f>IF(LEFT($D$51,2)&lt;&gt;"可达","",IF($J$46="","",$J$46*$J$47))</f>
      </c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恢复目标控筹资金</v>
      </c>
      <c r="D26" s="115">
        <f>IF(LEFT($D$51,2)&lt;&gt;"可达","",MAX(0,($G$50/$J$55-$G$50/$J$56)*(1+$G$42)))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补回目标控筹率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customHeight="1" hidden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customHeight="1" hidden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customHeight="1" hidden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customHeight="1" hidden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customHeight="1" hidden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0" customHeight="1">
      <c r="A36" s="2"/>
      <c r="B36" s="2"/>
      <c r="C36" s="108" t="str">
        <v>目标持仓直接 Quote 洗一轮，无额外路由费。控筹下降为小单固定价近似，补回资金为外盘曲线差额（含买税与 LP）。损耗仍按目标+1% FDV；补回是额外保守预留，非逐笔交易模拟。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customHeight="1" outlineLevel="1" hidden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customHeight="1" outlineLevel="1" hidden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customHeight="1" outlineLevel="1" hidden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customHeight="1" outlineLevel="1" hidden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customHeight="1" outlineLevel="1" hidden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customHeight="1" outlineLevel="1" hidden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customHeight="1" outlineLevel="1" hidden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customHeight="1" outlineLevel="1" hidden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customHeight="1" outlineLevel="1" hidden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customHeight="1" outlineLevel="1" hidden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customHeight="1" outlineLevel="1" hidden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customHeight="1" outlineLevel="1" hidden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customHeight="1" outlineLevel="1" hidden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customHeight="1" outlineLevel="1" hidden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customHeight="1" outlineLevel="1" hidden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(1-$J$7)*(1-$J$8)*(1-$G$42)^2</f>
      </c>
      <c r="K54" s="101"/>
      <c r="L54" s="101"/>
    </row>
    <row r="55" ht="30" customHeight="1" outlineLevel="1" hidden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customHeight="1" outlineLevel="1" hidden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/>
      <c r="G56" s="102"/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20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754.0686961856693</v>
      </c>
      <c r="Q7" s="45">
        <v>46283.34975868055</v>
      </c>
      <c r="R7" s="35" t="inlineStr">
        <is>
          <t>https://api.coingecko.com/api/v3/simple/price?ids=tether,ethereum,binancecoin&amp;vs_currencies=usd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/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30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155.8372</v>
      </c>
      <c r="Q14" s="29">
        <v>46283.3493256713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186.7124</v>
      </c>
      <c r="Q15" s="30">
        <v>46283.34933046296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764.4157</v>
      </c>
      <c r="Q16" s="30">
        <v>46283.34933644676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4391.7337</v>
      </c>
      <c r="Q17" s="30">
        <v>46283.349342326386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721.7453</v>
      </c>
      <c r="Q18" s="30">
        <v>46283.34934763889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221.7181</v>
      </c>
      <c r="Q19" s="30">
        <v>46283.3493534375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337.03562</v>
      </c>
      <c r="Q20" s="30">
        <v>46283.349359155094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369.434</v>
      </c>
      <c r="Q21" s="30">
        <v>46283.34936508102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498.6768</v>
      </c>
      <c r="Q22" s="30">
        <v>46283.349370324075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354.4693</v>
      </c>
      <c r="Q23" s="30">
        <v>46283.349375972226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112.8313</v>
      </c>
      <c r="Q24" s="30">
        <v>46283.34938252315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111.5313</v>
      </c>
      <c r="Q25" s="30">
        <v>46283.3493882176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22.8497</v>
      </c>
      <c r="Q26" s="30">
        <v>46283.34939391204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75.7422</v>
      </c>
      <c r="Q27" s="30">
        <v>46283.349399872684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136.1389</v>
      </c>
      <c r="Q28" s="30">
        <v>46283.34940596065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>
        <v>8.7341</v>
      </c>
      <c r="Q29" s="30">
        <v>46283.34941131945</v>
      </c>
      <c r="R29" s="33" t="inlineStr">
        <is>
          <t>https://dexscreener.com/bsc/0x9aadbd51515432dbb77c0a7f69c2b2c211f0c837</t>
        </is>
      </c>
      <c r="S29" s="33" t="inlineStr">
        <is>
          <t>每日 Quote 代币池价；本地可手动更新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>
        <v>43.4689</v>
      </c>
      <c r="Q30" s="30">
        <v>46283.34941725695</v>
      </c>
      <c r="R30" s="33" t="inlineStr">
        <is>
          <t>https://dexscreener.com/bsc/0xd5c0572126a707196aaba2b6952d67fc2a140651</t>
        </is>
      </c>
      <c r="S30" s="33" t="inlineStr">
        <is>
          <t>每日 Quote 代币池价；本地可手动更新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118.9817</v>
      </c>
      <c r="Q31" s="30">
        <v>46283.349422071755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161.5949</v>
      </c>
      <c r="Q32" s="30">
        <v>46283.34942886574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7.8747</v>
      </c>
      <c r="Q33" s="30">
        <v>46283.34943337963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34.5871</v>
      </c>
      <c r="Q34" s="30">
        <v>46283.349439502315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24.6759</v>
      </c>
      <c r="Q35" s="30">
        <v>46283.349445266205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46283.34945219907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