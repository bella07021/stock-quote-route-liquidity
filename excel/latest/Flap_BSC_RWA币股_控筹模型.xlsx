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c2b95b525e466c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245ec62e2bb4f70"/>
    <sheet name="Quote参数" sheetId="2" r:id="Rd65ad75769864cf4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e72546de0c4aa7" /><Relationship Type="http://schemas.openxmlformats.org/officeDocument/2006/relationships/theme" Target="/xl/theme/theme1.xml" Id="R8c6feb3e9f89492f" /><Relationship Type="http://schemas.openxmlformats.org/officeDocument/2006/relationships/sharedStrings" Target="/xl/sharedStrings.xml" Id="R88348d6dfade4332" /><Relationship Type="http://schemas.openxmlformats.org/officeDocument/2006/relationships/worksheet" Target="/xl/worksheets/sheet1.xml" Id="R7245ec62e2bb4f70" /><Relationship Type="http://schemas.openxmlformats.org/officeDocument/2006/relationships/worksheet" Target="/xl/worksheets/sheet2.xml" Id="Rd65ad75769864cf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IF(ISNUMBER($D$26),(IF(LEFT($D$51,2)&lt;&gt;"可达","",IF($D$22="","",SUM($D$22,$D$23,$D$24,$D$25))))+$D$26,"")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t="20" customHeight="1">
      <c r="A24" s="2"/>
      <c r="B24" s="2"/>
      <c r="C24" s="101" t="str">
        <v>洗筹损耗</v>
      </c>
      <c r="D24" s="115">
        <f>IF(LEFT($D$51,2)&lt;&gt;"可达","",IF($J$46="","",$J$46*$J$47))</f>
      </c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恢复目标控筹资金</v>
      </c>
      <c r="D26" s="115">
        <f>IF(LEFT($D$51,2)&lt;&gt;"可达","",MAX(0,($G$50/$J$55-$G$50/$J$56)*(1+$G$42)))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补回目标控筹率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customHeight="1" hidden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customHeight="1" hidden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customHeight="1" hidden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customHeight="1" hidden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customHeight="1" hidden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0" customHeight="1">
      <c r="A36" s="2"/>
      <c r="B36" s="2"/>
      <c r="C36" s="108" t="str">
        <v>目标持仓直接 Quote 洗一轮，无额外路由费。控筹下降为小单固定价近似，补回资金为外盘曲线差额（含买税与 LP）。损耗仍按目标+1% FDV；补回是额外保守预留，非逐笔交易模拟。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customHeight="1" outlineLevel="1" hidden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customHeight="1" outlineLevel="1" hidden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customHeight="1" outlineLevel="1" hidden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customHeight="1" outlineLevel="1" hidden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customHeight="1" outlineLevel="1" hidden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customHeight="1" outlineLevel="1" hidden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customHeight="1" outlineLevel="1" hidden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customHeight="1" outlineLevel="1" hidden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customHeight="1" outlineLevel="1" hidden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customHeight="1" outlineLevel="1" hidden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customHeight="1" outlineLevel="1" hidden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customHeight="1" outlineLevel="1" hidden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customHeight="1" outlineLevel="1" hidden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customHeight="1" outlineLevel="1" hidden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(1-$J$7)*(1-$J$8)*(1-$G$42)^2</f>
      </c>
      <c r="K54" s="101"/>
      <c r="L54" s="101"/>
    </row>
    <row r="55" ht="30" customHeight="1" outlineLevel="1" hidden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customHeight="1" outlineLevel="1" hidden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751.1396902444516</v>
      </c>
      <c r="Q7" s="45">
        <v>46283.42145649306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/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30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155.7214</v>
      </c>
      <c r="Q14" s="29">
        <v>46283.42101766204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186.02605</v>
      </c>
      <c r="Q15" s="30">
        <v>46283.421022372684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763.3106</v>
      </c>
      <c r="Q16" s="30">
        <v>46283.42102809028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4375.7792</v>
      </c>
      <c r="Q17" s="30">
        <v>46283.42103488426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720.06723</v>
      </c>
      <c r="Q18" s="30">
        <v>46283.4210396412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221.4638</v>
      </c>
      <c r="Q19" s="30">
        <v>46283.42104552084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337.03919</v>
      </c>
      <c r="Q20" s="30">
        <v>46283.42105128472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369.2128</v>
      </c>
      <c r="Q21" s="30">
        <v>46283.421057071755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498.6185</v>
      </c>
      <c r="Q22" s="30">
        <v>46283.421062939815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354.7334</v>
      </c>
      <c r="Q23" s="30">
        <v>46283.421068634256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113.5658</v>
      </c>
      <c r="Q24" s="30">
        <v>46283.42107444444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111.4353</v>
      </c>
      <c r="Q25" s="30">
        <v>46283.421080277774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22.7893</v>
      </c>
      <c r="Q26" s="30">
        <v>46283.42108605324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73.2039</v>
      </c>
      <c r="Q27" s="30">
        <v>46283.42109177083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137.5352</v>
      </c>
      <c r="Q28" s="30">
        <v>46283.42109753472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8.7001</v>
      </c>
      <c r="Q29" s="30">
        <v>46283.421103402776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43.9111</v>
      </c>
      <c r="Q30" s="30">
        <v>46283.42110921296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117.8346</v>
      </c>
      <c r="Q31" s="30">
        <v>46283.421115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161.4094</v>
      </c>
      <c r="Q32" s="30">
        <v>46283.42112435185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7.7072</v>
      </c>
      <c r="Q33" s="30">
        <v>46283.42112655093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34.596</v>
      </c>
      <c r="Q34" s="30">
        <v>46283.421132303236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24.759</v>
      </c>
      <c r="Q35" s="30">
        <v>46283.42113872685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46283.421145520835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