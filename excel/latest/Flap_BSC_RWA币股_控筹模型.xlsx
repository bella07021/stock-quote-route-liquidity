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c847e3dc9741d3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2719262e5d164f66"/>
    <sheet name="Quote参数" sheetId="2" r:id="R782263309ec44554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dc163bfc15a4660" /><Relationship Type="http://schemas.openxmlformats.org/officeDocument/2006/relationships/theme" Target="/xl/theme/theme1.xml" Id="Rd3507efe02d44743" /><Relationship Type="http://schemas.openxmlformats.org/officeDocument/2006/relationships/sharedStrings" Target="/xl/sharedStrings.xml" Id="R08992a2d02f54e2e" /><Relationship Type="http://schemas.openxmlformats.org/officeDocument/2006/relationships/worksheet" Target="/xl/worksheets/sheet1.xml" Id="R2719262e5d164f66" /><Relationship Type="http://schemas.openxmlformats.org/officeDocument/2006/relationships/worksheet" Target="/xl/worksheets/sheet2.xml" Id="R782263309ec4455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/ USDT 资金不含 Gas，Gas 单独以 BNB 计价。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2" t="str">
        <v>交易参数</v>
      </c>
      <c r="D6" s="2"/>
      <c r="E6" s="2"/>
      <c r="F6" s="42" t="str">
        <v>地址与 Gas</v>
      </c>
      <c r="G6" s="2"/>
      <c r="H6" s="2"/>
      <c r="I6" s="42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5" t="str">
        <v>SPCXB</v>
      </c>
      <c r="E7" s="2"/>
      <c r="F7" s="35" t="str">
        <v>内盘套数</v>
      </c>
      <c r="G7" s="45" t="n">
        <v>2</v>
      </c>
      <c r="H7" s="2"/>
      <c r="I7" s="35" t="str">
        <v>买入税率</v>
      </c>
      <c r="J7" s="46" t="n">
        <v>0</v>
      </c>
      <c r="K7" s="2"/>
      <c r="L7" s="2"/>
    </row>
    <row r="8" ht="20" customHeight="1">
      <c r="A8" s="2"/>
      <c r="B8" s="2"/>
      <c r="C8" s="35" t="str">
        <v>目标控筹率</v>
      </c>
      <c r="D8" s="46" t="n">
        <v>0.9</v>
      </c>
      <c r="E8" s="35" t="str">
        <v>预算沿用 +1%</v>
      </c>
      <c r="F8" s="35" t="str">
        <v>内盘地址 / 套</v>
      </c>
      <c r="G8" s="45" t="n">
        <v>10</v>
      </c>
      <c r="H8" s="2"/>
      <c r="I8" s="35" t="str">
        <v>卖出税率</v>
      </c>
      <c r="J8" s="46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47"/>
      <c r="E9" s="35" t="str">
        <v>留空用日更价</v>
      </c>
      <c r="F9" s="35" t="str">
        <v>外盘地址数</v>
      </c>
      <c r="G9" s="45" t="n">
        <v>2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5" t="n">
        <v>100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47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47" t="n">
        <v>0</v>
      </c>
      <c r="H12" s="2"/>
      <c r="I12" s="2"/>
      <c r="J12" s="2"/>
      <c r="K12" s="2"/>
      <c r="L12" s="2"/>
    </row>
    <row r="13" ht="20" customHeight="1">
      <c r="A13" s="2"/>
      <c r="B13" s="2"/>
      <c r="C13" s="48" t="str">
        <v>手动价格只用于 USDT 换算，不改变 Quote 控筹预算。清空覆盖格后恢复自动取价。</v>
      </c>
      <c r="D13" s="48"/>
      <c r="E13" s="48"/>
      <c r="F13" s="48"/>
      <c r="G13" s="48"/>
      <c r="H13" s="48"/>
      <c r="I13" s="48"/>
      <c r="J13" s="48"/>
      <c r="K13" s="48"/>
      <c r="L13" s="48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8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35" t="str">
        <v>建议总资金 / Quote</v>
      </c>
      <c r="D18" s="67">
        <f>IF(LEFT($D$23,2)&lt;&gt;"可达","",IF($D$21="","",SUM($D$21,$G$21,$J$21,$D$22)))</f>
      </c>
      <c r="E18" s="55">
        <f>$D$7</f>
      </c>
      <c r="F18" s="35" t="str">
        <v>折合 USDT（不含 Gas）</v>
      </c>
      <c r="G18" s="67">
        <f>IF(OR($D$18="",$D$24=""),"",$D$18*$D$24)</f>
      </c>
      <c r="H18" s="55" t="str">
        <v>USDT</v>
      </c>
      <c r="I18" s="35" t="str">
        <v>Gas 储备 / BNB</v>
      </c>
      <c r="J18" s="67">
        <f>$G$22*MAX(0,$G$11)</f>
      </c>
      <c r="K18" s="55" t="str">
        <v>BNB</v>
      </c>
      <c r="L18" s="55"/>
    </row>
    <row r="19" ht="18" customHeight="1">
      <c r="A19" s="2"/>
      <c r="B19" s="2"/>
      <c r="C19" s="50" t="str">
        <v>Quote 资金构成：预算控筹率理论资金 + 额外内盘资金 + 资金预留 + 洗筹损耗</v>
      </c>
      <c r="D19" s="50"/>
      <c r="E19" s="50"/>
      <c r="F19" s="50"/>
      <c r="G19" s="50"/>
      <c r="H19" s="50"/>
      <c r="I19" s="50"/>
      <c r="J19" s="50"/>
      <c r="K19" s="50"/>
      <c r="L19" s="50"/>
    </row>
    <row r="20" ht="6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ht="20" customHeight="1">
      <c r="A21" s="2"/>
      <c r="B21" s="2"/>
      <c r="C21" s="35">
        <f>"预算 "&amp;TEXT($J$22,"0%")&amp;" 理论资金 / Quote"</f>
      </c>
      <c r="D21" s="53">
        <f>IF(LEFT($D$23,2)&lt;&gt;"可达","",IF($J$35="","",$J$31+$J$35))</f>
      </c>
      <c r="E21" s="2"/>
      <c r="F21" s="35" t="str">
        <v>额外内盘资金 / Quote</v>
      </c>
      <c r="G21" s="53">
        <f>IF(LEFT($D$23,2)&lt;&gt;"可达","",$J$31*MAX(0,$G$7-1))</f>
      </c>
      <c r="H21" s="2"/>
      <c r="I21" s="35" t="str">
        <v>洗筹损耗 / Quote</v>
      </c>
      <c r="J21" s="53">
        <f>IF(LEFT($D$23,2)&lt;&gt;"可达","",IF($J$36="","",$J$36*$J$37))</f>
      </c>
      <c r="K21" s="2"/>
      <c r="L21" s="2"/>
    </row>
    <row r="22" ht="20" customHeight="1">
      <c r="A22" s="2"/>
      <c r="B22" s="2"/>
      <c r="C22" s="35" t="str">
        <v>资金预留 / Quote</v>
      </c>
      <c r="D22" s="53">
        <f>MAX(0,$G$12)</f>
      </c>
      <c r="E22" s="2"/>
      <c r="F22" s="35" t="str">
        <v>地址总数</v>
      </c>
      <c r="G22" s="57">
        <f>MAX(0,$G$8)*MAX(0,$G$7)+MAX(0,$G$9)+MAX(0,$G$10)</f>
      </c>
      <c r="H22" s="2"/>
      <c r="I22" s="35" t="str">
        <v>预算使用控筹率</v>
      </c>
      <c r="J22" s="52">
        <f>$D$8+1%</f>
      </c>
      <c r="K22" s="2"/>
      <c r="L22" s="2"/>
    </row>
    <row r="23" ht="24" customHeight="1">
      <c r="A23" s="2"/>
      <c r="B23" s="2"/>
      <c r="C23" s="35" t="str">
        <v>目标是否可达</v>
      </c>
      <c r="D23" s="59">
        <f>IF($J$41&lt;&gt;"参数有效",$J$41,IF(OR($D$8&lt;80%,$D$8&gt;=100%),"目标控筹率无效",IF(OR($J$7&lt;0,$J$7&gt;10%,$J$8&lt;0,$J$8&gt;10%),"税率无效",IF($J$22&gt;=$G$23,"目标+1%不可达","可达"))))</f>
      </c>
      <c r="E23" s="2"/>
      <c r="F23" s="35" t="str">
        <v>当前控筹上限</v>
      </c>
      <c r="G23" s="56">
        <f>$G$33+(1-$J$7)*$G$38/1000000000</f>
      </c>
      <c r="H23" s="2"/>
      <c r="I23" s="35" t="str">
        <v>资金口径</v>
      </c>
      <c r="J23" s="53" t="str">
        <v>Quote 预算 + 单独 Gas</v>
      </c>
      <c r="K23" s="2"/>
      <c r="L23" s="2"/>
    </row>
    <row r="24" ht="20" customHeight="1">
      <c r="A24" s="2"/>
      <c r="B24" s="2"/>
      <c r="C24" s="35" t="str">
        <v>使用价格 / USDT</v>
      </c>
      <c r="D24" s="53">
        <f>IF($D$9&lt;&gt;"",IF(AND(ISNUMBER($D$9),$D$9&gt;0),$D$9,""),IF(VLOOKUP($D$7,'Quote参数'!$E$14:$P$36,12,FALSE)&gt;0,VLOOKUP($D$7,'Quote参数'!$E$14:$P$36,12,FALSE),""))</f>
      </c>
      <c r="E24" s="2"/>
      <c r="F24" s="35" t="str">
        <v>行情时间 / UTC</v>
      </c>
      <c r="G24" s="58">
        <f>IF(VLOOKUP($D$7,'Quote参数'!$E$14:$Q$36,13,FALSE)=0,"",VLOOKUP($D$7,'Quote参数'!$E$14:$Q$36,13,FALSE))</f>
      </c>
      <c r="H24" s="2"/>
      <c r="I24" s="35" t="str">
        <v>价格状态</v>
      </c>
      <c r="J24" s="53">
        <f>IF($D$9&lt;&gt;"",IF($D$24="","手动价格无效","手动价格"),IF($D$24="","缺少价格","每日行情"))</f>
      </c>
      <c r="K24" s="2"/>
      <c r="L24" s="2"/>
    </row>
    <row r="25" ht="20" customHeight="1">
      <c r="A25" s="2"/>
      <c r="B25" s="2"/>
      <c r="C25" s="35" t="str">
        <v>价格采用方式</v>
      </c>
      <c r="D25" s="53">
        <f>IF($D$9&lt;&gt;"","手动覆盖","每日行情")</f>
      </c>
      <c r="E25" s="2"/>
      <c r="F25" s="2"/>
      <c r="G25" s="53"/>
      <c r="H25" s="2"/>
      <c r="I25" s="2" t="str">
        <v>价格缺失时 USDT 结果留空</v>
      </c>
      <c r="J25" s="53"/>
      <c r="K25" s="2"/>
      <c r="L25" s="2"/>
    </row>
    <row r="26" ht="20" customHeight="1">
      <c r="A26" s="2"/>
      <c r="B26" s="2"/>
      <c r="C26" s="35" t="str">
        <v>内盘基础手续费</v>
      </c>
      <c r="D26" s="52">
        <f>$G$31</f>
      </c>
      <c r="E26" s="2"/>
      <c r="F26" s="35" t="str">
        <v>外盘 LP 手续费</v>
      </c>
      <c r="G26" s="52">
        <f>$G$32</f>
      </c>
      <c r="H26" s="2"/>
      <c r="I26" s="35" t="str">
        <v>洗筹双边总费率</v>
      </c>
      <c r="J26" s="52">
        <f>SUM(G27,J27)</f>
      </c>
      <c r="K26" s="2"/>
      <c r="L26" s="2"/>
    </row>
    <row r="27" ht="20" customHeight="1">
      <c r="A27" s="2"/>
      <c r="B27" s="2"/>
      <c r="C27" s="35" t="str">
        <v>内盘买入含税费率</v>
      </c>
      <c r="D27" s="52">
        <f>$G$31+$J$7</f>
      </c>
      <c r="E27" s="2"/>
      <c r="F27" s="35" t="str">
        <v>外盘买入含税费率</v>
      </c>
      <c r="G27" s="52">
        <f>$G$32+$J$7</f>
      </c>
      <c r="H27" s="2"/>
      <c r="I27" s="35" t="str">
        <v>外盘卖出含税费率</v>
      </c>
      <c r="J27" s="52">
        <f>$G$32+$J$8</f>
      </c>
      <c r="K27" s="2"/>
      <c r="L27" s="2"/>
    </row>
    <row r="28" ht="32" customHeight="1">
      <c r="A28" s="2"/>
      <c r="B28" s="2"/>
      <c r="C28" s="35" t="str">
        <v>沉没成本 / Quote</v>
      </c>
      <c r="D28" s="53">
        <f>E115</f>
      </c>
      <c r="E28" s="2"/>
      <c r="F28" s="35" t="str">
        <v>一套内盘打满 / Quote</v>
      </c>
      <c r="G28" s="53">
        <f>$J$31</f>
      </c>
      <c r="H28" s="2"/>
      <c r="I28" s="51" t="str">
        <v>费率为预算加总口径；双边合计用于 FDV 洗筹预算。沉没成本与一套打满仅作参考，不重复计入总额。</v>
      </c>
      <c r="J28" s="51"/>
      <c r="K28" s="51"/>
      <c r="L28" s="51"/>
    </row>
    <row r="29" ht="24" customHeight="1" collapsed="1">
      <c r="A29" s="2"/>
      <c r="B29" s="2"/>
      <c r="C29" s="8" t="str">
        <v>三、模型信息与计算口径（默认折叠，点左侧 + 展开）</v>
      </c>
      <c r="D29" s="8"/>
      <c r="E29" s="8"/>
      <c r="F29" s="8"/>
      <c r="G29" s="8"/>
      <c r="H29" s="8"/>
      <c r="I29" s="8"/>
      <c r="J29" s="8"/>
      <c r="K29" s="8"/>
      <c r="L29" s="8"/>
    </row>
    <row r="30" ht="20" customHeight="1" outlineLevel="1" hidden="1">
      <c r="A30" s="2"/>
      <c r="B30" s="2"/>
      <c r="C30" s="42" t="str">
        <v>Quote 信息</v>
      </c>
      <c r="D30" s="2"/>
      <c r="E30" s="2"/>
      <c r="F30" s="42" t="str">
        <v>协议与曲线参数</v>
      </c>
      <c r="G30" s="2"/>
      <c r="H30" s="2"/>
      <c r="I30" s="42" t="str">
        <v>预算中间计算</v>
      </c>
      <c r="J30" s="2"/>
      <c r="K30" s="2"/>
      <c r="L30" s="2"/>
    </row>
    <row r="31" ht="36" customHeight="1" outlineLevel="1" hidden="1">
      <c r="A31" s="2"/>
      <c r="B31" s="2"/>
      <c r="C31" s="35" t="str">
        <v>Quote 名称</v>
      </c>
      <c r="D31" s="59">
        <f>VLOOKUP($D$7,'Quote参数'!$E$14:$M$36,2,FALSE)</f>
      </c>
      <c r="E31" s="35"/>
      <c r="F31" s="35" t="str">
        <v>内盘基础费</v>
      </c>
      <c r="G31" s="56">
        <f>0.01</f>
      </c>
      <c r="H31" s="2"/>
      <c r="I31" s="35" t="str">
        <v>一套内盘打满 / Quote</v>
      </c>
      <c r="J31" s="53">
        <f>$G$34*(1+$G$31+$J$7)</f>
      </c>
      <c r="K31" s="2"/>
      <c r="L31" s="2"/>
    </row>
    <row r="32" ht="36" customHeight="1" outlineLevel="1" hidden="1">
      <c r="A32" s="2"/>
      <c r="B32" s="2"/>
      <c r="C32" s="35" t="str">
        <v>Quote 合约</v>
      </c>
      <c r="D32" s="62">
        <f>VLOOKUP($D$7,'Quote参数'!$E$14:$M$36,3,FALSE)</f>
      </c>
      <c r="E32" s="35"/>
      <c r="F32" s="35" t="str">
        <v>外盘 LP 费</v>
      </c>
      <c r="G32" s="56">
        <f>0.0025</f>
      </c>
      <c r="H32" s="2"/>
      <c r="I32" s="35" t="str">
        <v>目标+1% Pool TOKEN</v>
      </c>
      <c r="J32" s="64">
        <f>IF($J$39="","",$G$38-$J$39)</f>
      </c>
      <c r="K32" s="2"/>
      <c r="L32" s="2"/>
    </row>
    <row r="33" ht="20" customHeight="1" outlineLevel="1" hidden="1">
      <c r="A33" s="2"/>
      <c r="B33" s="2"/>
      <c r="C33" s="2"/>
      <c r="D33" s="59"/>
      <c r="E33" s="35"/>
      <c r="F33" s="35" t="str">
        <v>毕业控筹率</v>
      </c>
      <c r="G33" s="56">
        <f>0.8</f>
      </c>
      <c r="H33" s="2"/>
      <c r="I33" s="35" t="str">
        <v>目标+1% Pool Quote</v>
      </c>
      <c r="J33" s="53">
        <f>IF($J$32="","",$G$40/$J$32)</f>
      </c>
      <c r="K33" s="2"/>
      <c r="L33" s="2"/>
    </row>
    <row r="34" ht="20" customHeight="1" outlineLevel="1" hidden="1">
      <c r="A34" s="2"/>
      <c r="B34" s="2"/>
      <c r="C34" s="35" t="str">
        <v>Decimals</v>
      </c>
      <c r="D34" s="60">
        <f>VLOOKUP($D$7,'Quote参数'!$E$14:$M$36,4,FALSE)</f>
      </c>
      <c r="E34" s="2"/>
      <c r="F34" s="35" t="str">
        <v>毕业真实 Quote</v>
      </c>
      <c r="G34" s="53">
        <f>VLOOKUP($D$7,'Quote参数'!$E$14:$M$36,8,FALSE)</f>
      </c>
      <c r="H34" s="2"/>
      <c r="I34" s="35" t="str">
        <v>外盘净增加 / Quote</v>
      </c>
      <c r="J34" s="53">
        <f>IF($J$33="","",MAX(0,$J$33-$G$34))</f>
      </c>
      <c r="K34" s="2"/>
      <c r="L34" s="2"/>
    </row>
    <row r="35" ht="20" customHeight="1" outlineLevel="1" hidden="1">
      <c r="A35" s="2"/>
      <c r="B35" s="2"/>
      <c r="C35" s="35" t="str">
        <v>总供应量</v>
      </c>
      <c r="D35" s="57" t="n">
        <v>1000000000</v>
      </c>
      <c r="E35" s="2"/>
      <c r="F35" s="35" t="str">
        <v>内盘初始 TOKEN</v>
      </c>
      <c r="G35" s="64">
        <f>$D$35+$G$42</f>
      </c>
      <c r="H35" s="2"/>
      <c r="I35" s="35" t="str">
        <v>外盘含费投入 / Quote</v>
      </c>
      <c r="J35" s="53">
        <f>IF($J$34="","",$J$34*(1+$G$32))</f>
      </c>
      <c r="K35" s="2"/>
      <c r="L35" s="2"/>
    </row>
    <row r="36" ht="36" customHeight="1" outlineLevel="1" hidden="1">
      <c r="A36" s="2"/>
      <c r="B36" s="2"/>
      <c r="C36" s="35" t="str">
        <v>协议参数时点</v>
      </c>
      <c r="D36" s="63" t="str">
        <v>2026-09-10 / block 121074671</v>
      </c>
      <c r="E36" s="35"/>
      <c r="F36" s="35" t="str">
        <v>虚拟 Quote r</v>
      </c>
      <c r="G36" s="53">
        <f>VLOOKUP($D$7,'Quote参数'!$E$14:$M$36,5,FALSE)</f>
      </c>
      <c r="H36" s="2"/>
      <c r="I36" s="35" t="str">
        <v>目标+1% FDV / Quote</v>
      </c>
      <c r="J36" s="53">
        <f>IF($J$33="","",$J$33/$J$32*1000000000)</f>
      </c>
      <c r="K36" s="2"/>
      <c r="L36" s="2"/>
    </row>
    <row r="37" ht="20" customHeight="1" outlineLevel="1" hidden="1">
      <c r="A37" s="2"/>
      <c r="B37" s="2"/>
      <c r="C37" s="35" t="str">
        <v>外盘机制</v>
      </c>
      <c r="D37" s="59" t="str">
        <v>Pancake V3</v>
      </c>
      <c r="E37" s="35"/>
      <c r="F37" s="35" t="str">
        <v>内盘 k</v>
      </c>
      <c r="G37" s="61">
        <f>VLOOKUP($D$7,'Quote参数'!$E$14:$M$36,7,FALSE)</f>
      </c>
      <c r="H37" s="2"/>
      <c r="I37" s="35" t="str">
        <v>洗筹总费率</v>
      </c>
      <c r="J37" s="56">
        <f>$G$32*2+$J$7+$J$8</f>
      </c>
      <c r="K37" s="2"/>
      <c r="L37" s="2"/>
    </row>
    <row r="38" ht="36" customHeight="1" outlineLevel="1" hidden="1">
      <c r="A38" s="2"/>
      <c r="B38" s="2"/>
      <c r="C38" s="35" t="str">
        <v>费用方向</v>
      </c>
      <c r="D38" s="59" t="str">
        <v>内盘买税加收 Quote；DEX 买税扣 TOKEN 输出</v>
      </c>
      <c r="E38" s="35"/>
      <c r="F38" s="35" t="str">
        <v>外盘初始 TOKEN</v>
      </c>
      <c r="G38" s="64">
        <f>1000000000*(1-0.8)</f>
      </c>
      <c r="H38" s="2"/>
      <c r="I38" s="35" t="str">
        <v>外盘净控筹 TOKEN</v>
      </c>
      <c r="J38" s="64">
        <f>IF($J$22&lt;$G$23,MAX(0,($J$22-$G$33)*1000000000),"")</f>
      </c>
      <c r="K38" s="2"/>
      <c r="L38" s="2"/>
    </row>
    <row r="39" ht="36" customHeight="1" outlineLevel="1" hidden="1">
      <c r="A39" s="2"/>
      <c r="B39" s="2"/>
      <c r="C39" s="35" t="str">
        <v>洗筹口径</v>
      </c>
      <c r="D39" s="59" t="str">
        <v>目标+1% FDV ×（2×LP费 + 买税 + 卖税）</v>
      </c>
      <c r="E39" s="35"/>
      <c r="F39" s="35" t="str">
        <v>外盘初始 Quote</v>
      </c>
      <c r="G39" s="53">
        <f>$G$34</f>
      </c>
      <c r="H39" s="2"/>
      <c r="I39" s="35" t="str">
        <v>外盘需扫 TOKEN</v>
      </c>
      <c r="J39" s="64">
        <f>IF($J$38="","",$J$38/(1-$J$7))</f>
      </c>
      <c r="K39" s="2"/>
      <c r="L39" s="2"/>
    </row>
    <row r="40" ht="20" customHeight="1" outlineLevel="1" hidden="1">
      <c r="A40" s="2"/>
      <c r="B40" s="2"/>
      <c r="C40" s="2"/>
      <c r="D40" s="59"/>
      <c r="E40" s="35"/>
      <c r="F40" s="35" t="str">
        <v>外盘 k</v>
      </c>
      <c r="G40" s="61">
        <f>VLOOKUP($D$7,'Quote参数'!$E$14:$N$36,10,FALSE)</f>
      </c>
      <c r="H40" s="2"/>
      <c r="I40" s="2"/>
      <c r="J40" s="53"/>
      <c r="K40" s="2"/>
      <c r="L40" s="2"/>
    </row>
    <row r="41" ht="36" customHeight="1" outlineLevel="1" hidden="1">
      <c r="A41" s="2"/>
      <c r="B41" s="2"/>
      <c r="C41" s="2"/>
      <c r="D41" s="53"/>
      <c r="E41" s="2"/>
      <c r="F41" s="35" t="str">
        <v>协议来源</v>
      </c>
      <c r="G41" s="65" t="str">
        <v>Quote参数页</v>
      </c>
      <c r="H41" s="2"/>
      <c r="I41" s="35" t="str">
        <v>输入检查</v>
      </c>
      <c r="J41" s="59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41" s="35"/>
      <c r="L41" s="35"/>
    </row>
    <row r="42" ht="36" customHeight="1" outlineLevel="1" hidden="1">
      <c r="A42" s="2"/>
      <c r="B42" s="2"/>
      <c r="C42" s="2"/>
      <c r="D42" s="53"/>
      <c r="E42" s="2"/>
      <c r="F42" s="35" t="str">
        <v>虚拟 TOKEN h</v>
      </c>
      <c r="G42" s="65">
        <f>VLOOKUP($D$7,'Quote参数'!$E$14:$M$36,6,FALSE)</f>
      </c>
      <c r="H42" s="2"/>
      <c r="I42" s="2"/>
      <c r="J42" s="53"/>
      <c r="K42" s="2"/>
      <c r="L42" s="2"/>
    </row>
    <row r="43" ht="36" customHeight="1" outlineLevel="1" hidden="1">
      <c r="A43" s="2"/>
      <c r="B43" s="2"/>
      <c r="C43" s="2"/>
      <c r="D43" s="53"/>
      <c r="E43" s="2"/>
      <c r="F43" s="35" t="str">
        <v>买税方向</v>
      </c>
      <c r="G43" s="66" t="str">
        <v>TOKEN 输出端</v>
      </c>
      <c r="H43" s="2"/>
      <c r="I43" s="2"/>
      <c r="J43" s="53"/>
      <c r="K43" s="2"/>
      <c r="L43" s="2"/>
    </row>
    <row r="44" ht="6" customHeight="1" outlineLevel="1" hidden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ht="6" customHeight="1" outlineLevel="1" hidden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ht="6" customHeight="1" outlineLevel="1" hidden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ht="24" customHeight="1">
      <c r="A47" s="2"/>
      <c r="B47" s="2"/>
      <c r="C47" s="8" t="str">
        <v>内盘曲线</v>
      </c>
      <c r="D47" s="8"/>
      <c r="E47" s="8"/>
      <c r="F47" s="8"/>
      <c r="G47" s="8"/>
      <c r="H47" s="8"/>
      <c r="I47" s="8"/>
      <c r="J47" s="8"/>
      <c r="K47" s="8"/>
      <c r="L47" s="8"/>
    </row>
    <row r="48" ht="30" customHeight="1">
      <c r="A48" s="2"/>
      <c r="B48" s="2"/>
      <c r="C48" s="70" t="str">
        <v>控筹率</v>
      </c>
      <c r="D48" s="70" t="str">
        <v>pooled TOKEN</v>
      </c>
      <c r="E48" s="70" t="str">
        <v>pooled Quote</v>
      </c>
      <c r="F48" s="70" t="str">
        <v>价格 / Quote</v>
      </c>
      <c r="G48" s="70" t="str">
        <v>价格 / USDT</v>
      </c>
      <c r="H48" s="70" t="str">
        <v>市值 / Quote</v>
      </c>
      <c r="I48" s="70" t="str">
        <v>市值 / USDT</v>
      </c>
      <c r="J48" s="70" t="str">
        <v>区间净投入
/ Quote</v>
      </c>
      <c r="K48" s="70" t="str">
        <v>区间含费
/ Quote</v>
      </c>
      <c r="L48" s="70" t="str">
        <v>理论累计所需
/ Quote</v>
      </c>
    </row>
    <row r="49" ht="20" customHeight="1">
      <c r="A49" s="2"/>
      <c r="B49" s="2"/>
      <c r="C49" s="71" t="n">
        <v>0</v>
      </c>
      <c r="D49" s="74">
        <f>$D$35+$G$42-$D$35*C49</f>
      </c>
      <c r="E49" s="26">
        <f>$G$37/D49</f>
      </c>
      <c r="F49" s="77">
        <f>IF(OR(D49="",E49=""),"",E49/D49)</f>
      </c>
      <c r="G49" s="77">
        <f>IF(OR($D$24="",NOT(ISNUMBER(F49))),"",F49*$D$24)</f>
      </c>
      <c r="H49" s="26">
        <f>IF(NOT(ISNUMBER(F49)),"",F49*$D$35)</f>
      </c>
      <c r="I49" s="26">
        <f>IF(OR($D$24="",NOT(ISNUMBER(H49))),"",H49*$D$24)</f>
      </c>
      <c r="J49" s="26">
        <f>0</f>
      </c>
      <c r="K49" s="26">
        <f>J49*(1+$G$31+$J$7)</f>
      </c>
      <c r="L49" s="83">
        <f>(E49-$G$36)*(1+$G$31+$J$7)</f>
      </c>
    </row>
    <row r="50" ht="20" customHeight="1">
      <c r="A50" s="2"/>
      <c r="B50" s="2"/>
      <c r="C50" s="72" t="n">
        <v>0.1</v>
      </c>
      <c r="D50" s="75">
        <f>$D$35+$G$42-$D$35*C50</f>
      </c>
      <c r="E50" s="27">
        <f>$G$37/D50</f>
      </c>
      <c r="F50" s="78">
        <f>IF(OR(D50="",E50=""),"",E50/D50)</f>
      </c>
      <c r="G50" s="78">
        <f>IF(OR($D$24="",NOT(ISNUMBER(F50))),"",F50*$D$24)</f>
      </c>
      <c r="H50" s="27">
        <f>IF(NOT(ISNUMBER(F50)),"",F50*$D$35)</f>
      </c>
      <c r="I50" s="27">
        <f>IF(OR($D$24="",NOT(ISNUMBER(H50))),"",H50*$D$24)</f>
      </c>
      <c r="J50" s="27">
        <f>E50-E49</f>
      </c>
      <c r="K50" s="27">
        <f>J50*(1+$G$31+$J$7)</f>
      </c>
      <c r="L50" s="84">
        <f>(E50-$G$36)*(1+$G$31+$J$7)</f>
      </c>
    </row>
    <row r="51" ht="20" customHeight="1">
      <c r="A51" s="2"/>
      <c r="B51" s="2"/>
      <c r="C51" s="72" t="n">
        <v>0.2</v>
      </c>
      <c r="D51" s="75">
        <f>$D$35+$G$42-$D$35*C51</f>
      </c>
      <c r="E51" s="27">
        <f>$G$37/D51</f>
      </c>
      <c r="F51" s="78">
        <f>IF(OR(D51="",E51=""),"",E51/D51)</f>
      </c>
      <c r="G51" s="78">
        <f>IF(OR($D$24="",NOT(ISNUMBER(F51))),"",F51*$D$24)</f>
      </c>
      <c r="H51" s="27">
        <f>IF(NOT(ISNUMBER(F51)),"",F51*$D$35)</f>
      </c>
      <c r="I51" s="27">
        <f>IF(OR($D$24="",NOT(ISNUMBER(H51))),"",H51*$D$24)</f>
      </c>
      <c r="J51" s="27">
        <f>E51-E50</f>
      </c>
      <c r="K51" s="27">
        <f>J51*(1+$G$31+$J$7)</f>
      </c>
      <c r="L51" s="84">
        <f>(E51-$G$36)*(1+$G$31+$J$7)</f>
      </c>
    </row>
    <row r="52" ht="20" customHeight="1">
      <c r="A52" s="2"/>
      <c r="B52" s="2"/>
      <c r="C52" s="72" t="n">
        <v>0.3</v>
      </c>
      <c r="D52" s="75">
        <f>$D$35+$G$42-$D$35*C52</f>
      </c>
      <c r="E52" s="27">
        <f>$G$37/D52</f>
      </c>
      <c r="F52" s="78">
        <f>IF(OR(D52="",E52=""),"",E52/D52)</f>
      </c>
      <c r="G52" s="78">
        <f>IF(OR($D$24="",NOT(ISNUMBER(F52))),"",F52*$D$24)</f>
      </c>
      <c r="H52" s="27">
        <f>IF(NOT(ISNUMBER(F52)),"",F52*$D$35)</f>
      </c>
      <c r="I52" s="27">
        <f>IF(OR($D$24="",NOT(ISNUMBER(H52))),"",H52*$D$24)</f>
      </c>
      <c r="J52" s="27">
        <f>E52-E51</f>
      </c>
      <c r="K52" s="27">
        <f>J52*(1+$G$31+$J$7)</f>
      </c>
      <c r="L52" s="84">
        <f>(E52-$G$36)*(1+$G$31+$J$7)</f>
      </c>
    </row>
    <row r="53" ht="20" customHeight="1">
      <c r="A53" s="2"/>
      <c r="B53" s="2"/>
      <c r="C53" s="72" t="n">
        <v>0.4</v>
      </c>
      <c r="D53" s="75">
        <f>$D$35+$G$42-$D$35*C53</f>
      </c>
      <c r="E53" s="27">
        <f>$G$37/D53</f>
      </c>
      <c r="F53" s="78">
        <f>IF(OR(D53="",E53=""),"",E53/D53)</f>
      </c>
      <c r="G53" s="78">
        <f>IF(OR($D$24="",NOT(ISNUMBER(F53))),"",F53*$D$24)</f>
      </c>
      <c r="H53" s="27">
        <f>IF(NOT(ISNUMBER(F53)),"",F53*$D$35)</f>
      </c>
      <c r="I53" s="27">
        <f>IF(OR($D$24="",NOT(ISNUMBER(H53))),"",H53*$D$24)</f>
      </c>
      <c r="J53" s="27">
        <f>E53-E52</f>
      </c>
      <c r="K53" s="27">
        <f>J53*(1+$G$31+$J$7)</f>
      </c>
      <c r="L53" s="84">
        <f>(E53-$G$36)*(1+$G$31+$J$7)</f>
      </c>
    </row>
    <row r="54" ht="20" customHeight="1">
      <c r="A54" s="2"/>
      <c r="B54" s="2"/>
      <c r="C54" s="72" t="n">
        <v>0.5</v>
      </c>
      <c r="D54" s="75">
        <f>$D$35+$G$42-$D$35*C54</f>
      </c>
      <c r="E54" s="27">
        <f>$G$37/D54</f>
      </c>
      <c r="F54" s="78">
        <f>IF(OR(D54="",E54=""),"",E54/D54)</f>
      </c>
      <c r="G54" s="78">
        <f>IF(OR($D$24="",NOT(ISNUMBER(F54))),"",F54*$D$24)</f>
      </c>
      <c r="H54" s="27">
        <f>IF(NOT(ISNUMBER(F54)),"",F54*$D$35)</f>
      </c>
      <c r="I54" s="27">
        <f>IF(OR($D$24="",NOT(ISNUMBER(H54))),"",H54*$D$24)</f>
      </c>
      <c r="J54" s="27">
        <f>E54-E53</f>
      </c>
      <c r="K54" s="27">
        <f>J54*(1+$G$31+$J$7)</f>
      </c>
      <c r="L54" s="84">
        <f>(E54-$G$36)*(1+$G$31+$J$7)</f>
      </c>
    </row>
    <row r="55" ht="20" customHeight="1">
      <c r="A55" s="2"/>
      <c r="B55" s="2"/>
      <c r="C55" s="72" t="n">
        <v>0.6</v>
      </c>
      <c r="D55" s="75">
        <f>$D$35+$G$42-$D$35*C55</f>
      </c>
      <c r="E55" s="27">
        <f>$G$37/D55</f>
      </c>
      <c r="F55" s="78">
        <f>IF(OR(D55="",E55=""),"",E55/D55)</f>
      </c>
      <c r="G55" s="78">
        <f>IF(OR($D$24="",NOT(ISNUMBER(F55))),"",F55*$D$24)</f>
      </c>
      <c r="H55" s="27">
        <f>IF(NOT(ISNUMBER(F55)),"",F55*$D$35)</f>
      </c>
      <c r="I55" s="27">
        <f>IF(OR($D$24="",NOT(ISNUMBER(H55))),"",H55*$D$24)</f>
      </c>
      <c r="J55" s="27">
        <f>E55-E54</f>
      </c>
      <c r="K55" s="27">
        <f>J55*(1+$G$31+$J$7)</f>
      </c>
      <c r="L55" s="84">
        <f>(E55-$G$36)*(1+$G$31+$J$7)</f>
      </c>
    </row>
    <row r="56" ht="20" customHeight="1">
      <c r="A56" s="2"/>
      <c r="B56" s="2"/>
      <c r="C56" s="72" t="n">
        <v>0.7</v>
      </c>
      <c r="D56" s="75">
        <f>$D$35+$G$42-$D$35*C56</f>
      </c>
      <c r="E56" s="27">
        <f>$G$37/D56</f>
      </c>
      <c r="F56" s="78">
        <f>IF(OR(D56="",E56=""),"",E56/D56)</f>
      </c>
      <c r="G56" s="78">
        <f>IF(OR($D$24="",NOT(ISNUMBER(F56))),"",F56*$D$24)</f>
      </c>
      <c r="H56" s="27">
        <f>IF(NOT(ISNUMBER(F56)),"",F56*$D$35)</f>
      </c>
      <c r="I56" s="27">
        <f>IF(OR($D$24="",NOT(ISNUMBER(H56))),"",H56*$D$24)</f>
      </c>
      <c r="J56" s="27">
        <f>E56-E55</f>
      </c>
      <c r="K56" s="27">
        <f>J56*(1+$G$31+$J$7)</f>
      </c>
      <c r="L56" s="84">
        <f>(E56-$G$36)*(1+$G$31+$J$7)</f>
      </c>
    </row>
    <row r="57" ht="20" customHeight="1">
      <c r="A57" s="2"/>
      <c r="B57" s="2"/>
      <c r="C57" s="86">
        <f>$G$33</f>
      </c>
      <c r="D57" s="87">
        <f>$D$35+$G$42-$D$35*C57</f>
      </c>
      <c r="E57" s="88">
        <f>$G$37/D57</f>
      </c>
      <c r="F57" s="89">
        <f>IF(OR(D57="",E57=""),"",E57/D57)</f>
      </c>
      <c r="G57" s="89">
        <f>IF(OR($D$24="",NOT(ISNUMBER(F57))),"",F57*$D$24)</f>
      </c>
      <c r="H57" s="88">
        <f>IF(NOT(ISNUMBER(F57)),"",F57*$D$35)</f>
      </c>
      <c r="I57" s="88">
        <f>IF(OR($D$24="",NOT(ISNUMBER(H57))),"",H57*$D$24)</f>
      </c>
      <c r="J57" s="88">
        <f>E57-E56</f>
      </c>
      <c r="K57" s="88">
        <f>J57*(1+$G$31+$J$7)</f>
      </c>
      <c r="L57" s="85">
        <f>(E57-$G$36)*(1+$G$31+$J$7)</f>
      </c>
    </row>
    <row r="58" ht="20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ht="20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ht="24" customHeight="1">
      <c r="A60" s="2"/>
      <c r="B60" s="2"/>
      <c r="C60" s="8" t="str">
        <v>外盘曲线</v>
      </c>
      <c r="D60" s="8"/>
      <c r="E60" s="8"/>
      <c r="F60" s="8"/>
      <c r="G60" s="8"/>
      <c r="H60" s="8"/>
      <c r="I60" s="8"/>
      <c r="J60" s="8"/>
      <c r="K60" s="8"/>
      <c r="L60" s="8"/>
    </row>
    <row r="61" ht="30" customHeight="1">
      <c r="A61" s="2"/>
      <c r="B61" s="2"/>
      <c r="C61" s="70" t="str">
        <v>控筹率</v>
      </c>
      <c r="D61" s="70" t="str">
        <v>pooled TOKEN</v>
      </c>
      <c r="E61" s="70" t="str">
        <v>pooled Quote</v>
      </c>
      <c r="F61" s="70" t="str">
        <v>价格 / Quote</v>
      </c>
      <c r="G61" s="70" t="str">
        <v>价格 / USDT</v>
      </c>
      <c r="H61" s="70" t="str">
        <v>市值 / Quote</v>
      </c>
      <c r="I61" s="70" t="str">
        <v>市值 / USDT</v>
      </c>
      <c r="J61" s="70" t="str">
        <v>外盘净投入
/ Quote</v>
      </c>
      <c r="K61" s="70" t="str">
        <v>外盘含费
/ Quote</v>
      </c>
      <c r="L61" s="70" t="str">
        <v>理论累计所需
/ Quote</v>
      </c>
    </row>
    <row r="62" ht="20" customHeight="1">
      <c r="A62" s="2"/>
      <c r="B62" s="2"/>
      <c r="C62" s="90">
        <f>$G$33</f>
      </c>
      <c r="D62" s="91">
        <f>$G$38</f>
      </c>
      <c r="E62" s="92">
        <f>$G$34</f>
      </c>
      <c r="F62" s="93">
        <f>IF(OR(D62="",E62=""),"",E62/D62)</f>
      </c>
      <c r="G62" s="93">
        <f>IF(OR($D$24="",NOT(ISNUMBER(F62))),"",F62*$D$24)</f>
      </c>
      <c r="H62" s="92">
        <f>IF(NOT(ISNUMBER(F62)),"",F62*$D$35)</f>
      </c>
      <c r="I62" s="92">
        <f>IF(OR($D$24="",NOT(ISNUMBER(H62))),"",H62*$D$24)</f>
      </c>
      <c r="J62" s="92">
        <f>0</f>
      </c>
      <c r="K62" s="92">
        <f>0</f>
      </c>
      <c r="L62" s="83">
        <f>$J$31</f>
      </c>
    </row>
    <row r="63" ht="20" customHeight="1">
      <c r="A63" s="2"/>
      <c r="B63" s="2"/>
      <c r="C63" s="72" t="n">
        <v>0.805</v>
      </c>
      <c r="D63" s="75">
        <f>IF(C63&lt;$G$23,$G$38-MAX(0,(C63-$G$33)*$D$35)/(1-$J$7),"")</f>
      </c>
      <c r="E63" s="27">
        <f>IF(D63="","",$G$40/D63)</f>
      </c>
      <c r="F63" s="78">
        <f>IF(OR(D63="",E63=""),"",E63/D63)</f>
      </c>
      <c r="G63" s="78">
        <f>IF(OR($D$24="",NOT(ISNUMBER(F63))),"",F63*$D$24)</f>
      </c>
      <c r="H63" s="27">
        <f>IF(NOT(ISNUMBER(F63)),"",F63*$D$35)</f>
      </c>
      <c r="I63" s="27">
        <f>IF(OR($D$24="",NOT(ISNUMBER(H63))),"",H63*$D$24)</f>
      </c>
      <c r="J63" s="27">
        <f>IF(E63="","",MAX(0,E63-$G$34))</f>
      </c>
      <c r="K63" s="27">
        <f>IF(J63="","",J63*(1+$G$32))</f>
      </c>
      <c r="L63" s="84">
        <f>IF(K63="","",$J$31+K63)</f>
      </c>
    </row>
    <row r="64" ht="20" customHeight="1">
      <c r="A64" s="2"/>
      <c r="B64" s="2"/>
      <c r="C64" s="72" t="n">
        <v>0.81</v>
      </c>
      <c r="D64" s="75">
        <f>IF(C64&lt;$G$23,$G$38-MAX(0,(C64-$G$33)*$D$35)/(1-$J$7),"")</f>
      </c>
      <c r="E64" s="27">
        <f>IF(D64="","",$G$40/D64)</f>
      </c>
      <c r="F64" s="78">
        <f>IF(OR(D64="",E64=""),"",E64/D64)</f>
      </c>
      <c r="G64" s="78">
        <f>IF(OR($D$24="",NOT(ISNUMBER(F64))),"",F64*$D$24)</f>
      </c>
      <c r="H64" s="27">
        <f>IF(NOT(ISNUMBER(F64)),"",F64*$D$35)</f>
      </c>
      <c r="I64" s="27">
        <f>IF(OR($D$24="",NOT(ISNUMBER(H64))),"",H64*$D$24)</f>
      </c>
      <c r="J64" s="27">
        <f>IF(E64="","",MAX(0,E64-$G$34))</f>
      </c>
      <c r="K64" s="27">
        <f>IF(J64="","",J64*(1+$G$32))</f>
      </c>
      <c r="L64" s="84">
        <f>IF(K64="","",$J$31+K64)</f>
      </c>
    </row>
    <row r="65" ht="20" customHeight="1">
      <c r="A65" s="2"/>
      <c r="B65" s="2"/>
      <c r="C65" s="72" t="n">
        <v>0.8150000000000001</v>
      </c>
      <c r="D65" s="75">
        <f>IF(C65&lt;$G$23,$G$38-MAX(0,(C65-$G$33)*$D$35)/(1-$J$7),"")</f>
      </c>
      <c r="E65" s="27">
        <f>IF(D65="","",$G$40/D65)</f>
      </c>
      <c r="F65" s="78">
        <f>IF(OR(D65="",E65=""),"",E65/D65)</f>
      </c>
      <c r="G65" s="78">
        <f>IF(OR($D$24="",NOT(ISNUMBER(F65))),"",F65*$D$24)</f>
      </c>
      <c r="H65" s="27">
        <f>IF(NOT(ISNUMBER(F65)),"",F65*$D$35)</f>
      </c>
      <c r="I65" s="27">
        <f>IF(OR($D$24="",NOT(ISNUMBER(H65))),"",H65*$D$24)</f>
      </c>
      <c r="J65" s="27">
        <f>IF(E65="","",MAX(0,E65-$G$34))</f>
      </c>
      <c r="K65" s="27">
        <f>IF(J65="","",J65*(1+$G$32))</f>
      </c>
      <c r="L65" s="84">
        <f>IF(K65="","",$J$31+K65)</f>
      </c>
    </row>
    <row r="66" ht="20" customHeight="1">
      <c r="A66" s="2"/>
      <c r="B66" s="2"/>
      <c r="C66" s="72" t="n">
        <v>0.8200000000000001</v>
      </c>
      <c r="D66" s="75">
        <f>IF(C66&lt;$G$23,$G$38-MAX(0,(C66-$G$33)*$D$35)/(1-$J$7),"")</f>
      </c>
      <c r="E66" s="27">
        <f>IF(D66="","",$G$40/D66)</f>
      </c>
      <c r="F66" s="78">
        <f>IF(OR(D66="",E66=""),"",E66/D66)</f>
      </c>
      <c r="G66" s="78">
        <f>IF(OR($D$24="",NOT(ISNUMBER(F66))),"",F66*$D$24)</f>
      </c>
      <c r="H66" s="27">
        <f>IF(NOT(ISNUMBER(F66)),"",F66*$D$35)</f>
      </c>
      <c r="I66" s="27">
        <f>IF(OR($D$24="",NOT(ISNUMBER(H66))),"",H66*$D$24)</f>
      </c>
      <c r="J66" s="27">
        <f>IF(E66="","",MAX(0,E66-$G$34))</f>
      </c>
      <c r="K66" s="27">
        <f>IF(J66="","",J66*(1+$G$32))</f>
      </c>
      <c r="L66" s="84">
        <f>IF(K66="","",$J$31+K66)</f>
      </c>
    </row>
    <row r="67" ht="20" customHeight="1">
      <c r="A67" s="2"/>
      <c r="B67" s="2"/>
      <c r="C67" s="72" t="n">
        <v>0.8250000000000001</v>
      </c>
      <c r="D67" s="75">
        <f>IF(C67&lt;$G$23,$G$38-MAX(0,(C67-$G$33)*$D$35)/(1-$J$7),"")</f>
      </c>
      <c r="E67" s="27">
        <f>IF(D67="","",$G$40/D67)</f>
      </c>
      <c r="F67" s="78">
        <f>IF(OR(D67="",E67=""),"",E67/D67)</f>
      </c>
      <c r="G67" s="78">
        <f>IF(OR($D$24="",NOT(ISNUMBER(F67))),"",F67*$D$24)</f>
      </c>
      <c r="H67" s="27">
        <f>IF(NOT(ISNUMBER(F67)),"",F67*$D$35)</f>
      </c>
      <c r="I67" s="27">
        <f>IF(OR($D$24="",NOT(ISNUMBER(H67))),"",H67*$D$24)</f>
      </c>
      <c r="J67" s="27">
        <f>IF(E67="","",MAX(0,E67-$G$34))</f>
      </c>
      <c r="K67" s="27">
        <f>IF(J67="","",J67*(1+$G$32))</f>
      </c>
      <c r="L67" s="84">
        <f>IF(K67="","",$J$31+K67)</f>
      </c>
    </row>
    <row r="68" ht="20" customHeight="1">
      <c r="A68" s="2"/>
      <c r="B68" s="2"/>
      <c r="C68" s="72" t="n">
        <v>0.8300000000000001</v>
      </c>
      <c r="D68" s="75">
        <f>IF(C68&lt;$G$23,$G$38-MAX(0,(C68-$G$33)*$D$35)/(1-$J$7),"")</f>
      </c>
      <c r="E68" s="27">
        <f>IF(D68="","",$G$40/D68)</f>
      </c>
      <c r="F68" s="78">
        <f>IF(OR(D68="",E68=""),"",E68/D68)</f>
      </c>
      <c r="G68" s="78">
        <f>IF(OR($D$24="",NOT(ISNUMBER(F68))),"",F68*$D$24)</f>
      </c>
      <c r="H68" s="27">
        <f>IF(NOT(ISNUMBER(F68)),"",F68*$D$35)</f>
      </c>
      <c r="I68" s="27">
        <f>IF(OR($D$24="",NOT(ISNUMBER(H68))),"",H68*$D$24)</f>
      </c>
      <c r="J68" s="27">
        <f>IF(E68="","",MAX(0,E68-$G$34))</f>
      </c>
      <c r="K68" s="27">
        <f>IF(J68="","",J68*(1+$G$32))</f>
      </c>
      <c r="L68" s="84">
        <f>IF(K68="","",$J$31+K68)</f>
      </c>
    </row>
    <row r="69" ht="20" customHeight="1">
      <c r="A69" s="2"/>
      <c r="B69" s="2"/>
      <c r="C69" s="72" t="n">
        <v>0.8350000000000001</v>
      </c>
      <c r="D69" s="75">
        <f>IF(C69&lt;$G$23,$G$38-MAX(0,(C69-$G$33)*$D$35)/(1-$J$7),"")</f>
      </c>
      <c r="E69" s="27">
        <f>IF(D69="","",$G$40/D69)</f>
      </c>
      <c r="F69" s="78">
        <f>IF(OR(D69="",E69=""),"",E69/D69)</f>
      </c>
      <c r="G69" s="78">
        <f>IF(OR($D$24="",NOT(ISNUMBER(F69))),"",F69*$D$24)</f>
      </c>
      <c r="H69" s="27">
        <f>IF(NOT(ISNUMBER(F69)),"",F69*$D$35)</f>
      </c>
      <c r="I69" s="27">
        <f>IF(OR($D$24="",NOT(ISNUMBER(H69))),"",H69*$D$24)</f>
      </c>
      <c r="J69" s="27">
        <f>IF(E69="","",MAX(0,E69-$G$34))</f>
      </c>
      <c r="K69" s="27">
        <f>IF(J69="","",J69*(1+$G$32))</f>
      </c>
      <c r="L69" s="84">
        <f>IF(K69="","",$J$31+K69)</f>
      </c>
    </row>
    <row r="70" ht="20" customHeight="1">
      <c r="A70" s="2"/>
      <c r="B70" s="2"/>
      <c r="C70" s="72" t="n">
        <v>0.8400000000000001</v>
      </c>
      <c r="D70" s="75">
        <f>IF(C70&lt;$G$23,$G$38-MAX(0,(C70-$G$33)*$D$35)/(1-$J$7),"")</f>
      </c>
      <c r="E70" s="27">
        <f>IF(D70="","",$G$40/D70)</f>
      </c>
      <c r="F70" s="78">
        <f>IF(OR(D70="",E70=""),"",E70/D70)</f>
      </c>
      <c r="G70" s="78">
        <f>IF(OR($D$24="",NOT(ISNUMBER(F70))),"",F70*$D$24)</f>
      </c>
      <c r="H70" s="27">
        <f>IF(NOT(ISNUMBER(F70)),"",F70*$D$35)</f>
      </c>
      <c r="I70" s="27">
        <f>IF(OR($D$24="",NOT(ISNUMBER(H70))),"",H70*$D$24)</f>
      </c>
      <c r="J70" s="27">
        <f>IF(E70="","",MAX(0,E70-$G$34))</f>
      </c>
      <c r="K70" s="27">
        <f>IF(J70="","",J70*(1+$G$32))</f>
      </c>
      <c r="L70" s="84">
        <f>IF(K70="","",$J$31+K70)</f>
      </c>
    </row>
    <row r="71" ht="20" customHeight="1">
      <c r="A71" s="2"/>
      <c r="B71" s="2"/>
      <c r="C71" s="72" t="n">
        <v>0.8450000000000001</v>
      </c>
      <c r="D71" s="75">
        <f>IF(C71&lt;$G$23,$G$38-MAX(0,(C71-$G$33)*$D$35)/(1-$J$7),"")</f>
      </c>
      <c r="E71" s="27">
        <f>IF(D71="","",$G$40/D71)</f>
      </c>
      <c r="F71" s="78">
        <f>IF(OR(D71="",E71=""),"",E71/D71)</f>
      </c>
      <c r="G71" s="78">
        <f>IF(OR($D$24="",NOT(ISNUMBER(F71))),"",F71*$D$24)</f>
      </c>
      <c r="H71" s="27">
        <f>IF(NOT(ISNUMBER(F71)),"",F71*$D$35)</f>
      </c>
      <c r="I71" s="27">
        <f>IF(OR($D$24="",NOT(ISNUMBER(H71))),"",H71*$D$24)</f>
      </c>
      <c r="J71" s="27">
        <f>IF(E71="","",MAX(0,E71-$G$34))</f>
      </c>
      <c r="K71" s="27">
        <f>IF(J71="","",J71*(1+$G$32))</f>
      </c>
      <c r="L71" s="84">
        <f>IF(K71="","",$J$31+K71)</f>
      </c>
    </row>
    <row r="72" ht="20" customHeight="1">
      <c r="A72" s="2"/>
      <c r="B72" s="2"/>
      <c r="C72" s="72" t="n">
        <v>0.8500000000000001</v>
      </c>
      <c r="D72" s="75">
        <f>IF(C72&lt;$G$23,$G$38-MAX(0,(C72-$G$33)*$D$35)/(1-$J$7),"")</f>
      </c>
      <c r="E72" s="27">
        <f>IF(D72="","",$G$40/D72)</f>
      </c>
      <c r="F72" s="78">
        <f>IF(OR(D72="",E72=""),"",E72/D72)</f>
      </c>
      <c r="G72" s="78">
        <f>IF(OR($D$24="",NOT(ISNUMBER(F72))),"",F72*$D$24)</f>
      </c>
      <c r="H72" s="27">
        <f>IF(NOT(ISNUMBER(F72)),"",F72*$D$35)</f>
      </c>
      <c r="I72" s="27">
        <f>IF(OR($D$24="",NOT(ISNUMBER(H72))),"",H72*$D$24)</f>
      </c>
      <c r="J72" s="27">
        <f>IF(E72="","",MAX(0,E72-$G$34))</f>
      </c>
      <c r="K72" s="27">
        <f>IF(J72="","",J72*(1+$G$32))</f>
      </c>
      <c r="L72" s="84">
        <f>IF(K72="","",$J$31+K72)</f>
      </c>
    </row>
    <row r="73" ht="20" customHeight="1">
      <c r="A73" s="2"/>
      <c r="B73" s="2"/>
      <c r="C73" s="72" t="n">
        <v>0.8550000000000001</v>
      </c>
      <c r="D73" s="75">
        <f>IF(C73&lt;$G$23,$G$38-MAX(0,(C73-$G$33)*$D$35)/(1-$J$7),"")</f>
      </c>
      <c r="E73" s="27">
        <f>IF(D73="","",$G$40/D73)</f>
      </c>
      <c r="F73" s="78">
        <f>IF(OR(D73="",E73=""),"",E73/D73)</f>
      </c>
      <c r="G73" s="78">
        <f>IF(OR($D$24="",NOT(ISNUMBER(F73))),"",F73*$D$24)</f>
      </c>
      <c r="H73" s="27">
        <f>IF(NOT(ISNUMBER(F73)),"",F73*$D$35)</f>
      </c>
      <c r="I73" s="27">
        <f>IF(OR($D$24="",NOT(ISNUMBER(H73))),"",H73*$D$24)</f>
      </c>
      <c r="J73" s="27">
        <f>IF(E73="","",MAX(0,E73-$G$34))</f>
      </c>
      <c r="K73" s="27">
        <f>IF(J73="","",J73*(1+$G$32))</f>
      </c>
      <c r="L73" s="84">
        <f>IF(K73="","",$J$31+K73)</f>
      </c>
    </row>
    <row r="74" ht="20" customHeight="1">
      <c r="A74" s="2"/>
      <c r="B74" s="2"/>
      <c r="C74" s="72" t="n">
        <v>0.8600000000000001</v>
      </c>
      <c r="D74" s="75">
        <f>IF(C74&lt;$G$23,$G$38-MAX(0,(C74-$G$33)*$D$35)/(1-$J$7),"")</f>
      </c>
      <c r="E74" s="27">
        <f>IF(D74="","",$G$40/D74)</f>
      </c>
      <c r="F74" s="78">
        <f>IF(OR(D74="",E74=""),"",E74/D74)</f>
      </c>
      <c r="G74" s="78">
        <f>IF(OR($D$24="",NOT(ISNUMBER(F74))),"",F74*$D$24)</f>
      </c>
      <c r="H74" s="27">
        <f>IF(NOT(ISNUMBER(F74)),"",F74*$D$35)</f>
      </c>
      <c r="I74" s="27">
        <f>IF(OR($D$24="",NOT(ISNUMBER(H74))),"",H74*$D$24)</f>
      </c>
      <c r="J74" s="27">
        <f>IF(E74="","",MAX(0,E74-$G$34))</f>
      </c>
      <c r="K74" s="27">
        <f>IF(J74="","",J74*(1+$G$32))</f>
      </c>
      <c r="L74" s="84">
        <f>IF(K74="","",$J$31+K74)</f>
      </c>
    </row>
    <row r="75" ht="20" customHeight="1">
      <c r="A75" s="2"/>
      <c r="B75" s="2"/>
      <c r="C75" s="72" t="n">
        <v>0.865</v>
      </c>
      <c r="D75" s="75">
        <f>IF(C75&lt;$G$23,$G$38-MAX(0,(C75-$G$33)*$D$35)/(1-$J$7),"")</f>
      </c>
      <c r="E75" s="27">
        <f>IF(D75="","",$G$40/D75)</f>
      </c>
      <c r="F75" s="78">
        <f>IF(OR(D75="",E75=""),"",E75/D75)</f>
      </c>
      <c r="G75" s="78">
        <f>IF(OR($D$24="",NOT(ISNUMBER(F75))),"",F75*$D$24)</f>
      </c>
      <c r="H75" s="27">
        <f>IF(NOT(ISNUMBER(F75)),"",F75*$D$35)</f>
      </c>
      <c r="I75" s="27">
        <f>IF(OR($D$24="",NOT(ISNUMBER(H75))),"",H75*$D$24)</f>
      </c>
      <c r="J75" s="27">
        <f>IF(E75="","",MAX(0,E75-$G$34))</f>
      </c>
      <c r="K75" s="27">
        <f>IF(J75="","",J75*(1+$G$32))</f>
      </c>
      <c r="L75" s="84">
        <f>IF(K75="","",$J$31+K75)</f>
      </c>
    </row>
    <row r="76" ht="20" customHeight="1">
      <c r="A76" s="2"/>
      <c r="B76" s="2"/>
      <c r="C76" s="72" t="n">
        <v>0.8700000000000001</v>
      </c>
      <c r="D76" s="75">
        <f>IF(C76&lt;$G$23,$G$38-MAX(0,(C76-$G$33)*$D$35)/(1-$J$7),"")</f>
      </c>
      <c r="E76" s="27">
        <f>IF(D76="","",$G$40/D76)</f>
      </c>
      <c r="F76" s="78">
        <f>IF(OR(D76="",E76=""),"",E76/D76)</f>
      </c>
      <c r="G76" s="78">
        <f>IF(OR($D$24="",NOT(ISNUMBER(F76))),"",F76*$D$24)</f>
      </c>
      <c r="H76" s="27">
        <f>IF(NOT(ISNUMBER(F76)),"",F76*$D$35)</f>
      </c>
      <c r="I76" s="27">
        <f>IF(OR($D$24="",NOT(ISNUMBER(H76))),"",H76*$D$24)</f>
      </c>
      <c r="J76" s="27">
        <f>IF(E76="","",MAX(0,E76-$G$34))</f>
      </c>
      <c r="K76" s="27">
        <f>IF(J76="","",J76*(1+$G$32))</f>
      </c>
      <c r="L76" s="84">
        <f>IF(K76="","",$J$31+K76)</f>
      </c>
    </row>
    <row r="77" ht="20" customHeight="1">
      <c r="A77" s="2"/>
      <c r="B77" s="2"/>
      <c r="C77" s="72" t="n">
        <v>0.875</v>
      </c>
      <c r="D77" s="75">
        <f>IF(C77&lt;$G$23,$G$38-MAX(0,(C77-$G$33)*$D$35)/(1-$J$7),"")</f>
      </c>
      <c r="E77" s="27">
        <f>IF(D77="","",$G$40/D77)</f>
      </c>
      <c r="F77" s="78">
        <f>IF(OR(D77="",E77=""),"",E77/D77)</f>
      </c>
      <c r="G77" s="78">
        <f>IF(OR($D$24="",NOT(ISNUMBER(F77))),"",F77*$D$24)</f>
      </c>
      <c r="H77" s="27">
        <f>IF(NOT(ISNUMBER(F77)),"",F77*$D$35)</f>
      </c>
      <c r="I77" s="27">
        <f>IF(OR($D$24="",NOT(ISNUMBER(H77))),"",H77*$D$24)</f>
      </c>
      <c r="J77" s="27">
        <f>IF(E77="","",MAX(0,E77-$G$34))</f>
      </c>
      <c r="K77" s="27">
        <f>IF(J77="","",J77*(1+$G$32))</f>
      </c>
      <c r="L77" s="84">
        <f>IF(K77="","",$J$31+K77)</f>
      </c>
    </row>
    <row r="78" ht="20" customHeight="1">
      <c r="A78" s="2"/>
      <c r="B78" s="2"/>
      <c r="C78" s="72" t="n">
        <v>0.88</v>
      </c>
      <c r="D78" s="75">
        <f>IF(C78&lt;$G$23,$G$38-MAX(0,(C78-$G$33)*$D$35)/(1-$J$7),"")</f>
      </c>
      <c r="E78" s="27">
        <f>IF(D78="","",$G$40/D78)</f>
      </c>
      <c r="F78" s="78">
        <f>IF(OR(D78="",E78=""),"",E78/D78)</f>
      </c>
      <c r="G78" s="78">
        <f>IF(OR($D$24="",NOT(ISNUMBER(F78))),"",F78*$D$24)</f>
      </c>
      <c r="H78" s="27">
        <f>IF(NOT(ISNUMBER(F78)),"",F78*$D$35)</f>
      </c>
      <c r="I78" s="27">
        <f>IF(OR($D$24="",NOT(ISNUMBER(H78))),"",H78*$D$24)</f>
      </c>
      <c r="J78" s="27">
        <f>IF(E78="","",MAX(0,E78-$G$34))</f>
      </c>
      <c r="K78" s="27">
        <f>IF(J78="","",J78*(1+$G$32))</f>
      </c>
      <c r="L78" s="84">
        <f>IF(K78="","",$J$31+K78)</f>
      </c>
    </row>
    <row r="79" ht="20" customHeight="1">
      <c r="A79" s="2"/>
      <c r="B79" s="2"/>
      <c r="C79" s="72" t="n">
        <v>0.885</v>
      </c>
      <c r="D79" s="75">
        <f>IF(C79&lt;$G$23,$G$38-MAX(0,(C79-$G$33)*$D$35)/(1-$J$7),"")</f>
      </c>
      <c r="E79" s="27">
        <f>IF(D79="","",$G$40/D79)</f>
      </c>
      <c r="F79" s="78">
        <f>IF(OR(D79="",E79=""),"",E79/D79)</f>
      </c>
      <c r="G79" s="78">
        <f>IF(OR($D$24="",NOT(ISNUMBER(F79))),"",F79*$D$24)</f>
      </c>
      <c r="H79" s="27">
        <f>IF(NOT(ISNUMBER(F79)),"",F79*$D$35)</f>
      </c>
      <c r="I79" s="27">
        <f>IF(OR($D$24="",NOT(ISNUMBER(H79))),"",H79*$D$24)</f>
      </c>
      <c r="J79" s="27">
        <f>IF(E79="","",MAX(0,E79-$G$34))</f>
      </c>
      <c r="K79" s="27">
        <f>IF(J79="","",J79*(1+$G$32))</f>
      </c>
      <c r="L79" s="84">
        <f>IF(K79="","",$J$31+K79)</f>
      </c>
    </row>
    <row r="80" ht="20" customHeight="1">
      <c r="A80" s="2"/>
      <c r="B80" s="2"/>
      <c r="C80" s="72" t="n">
        <v>0.89</v>
      </c>
      <c r="D80" s="75">
        <f>IF(C80&lt;$G$23,$G$38-MAX(0,(C80-$G$33)*$D$35)/(1-$J$7),"")</f>
      </c>
      <c r="E80" s="27">
        <f>IF(D80="","",$G$40/D80)</f>
      </c>
      <c r="F80" s="78">
        <f>IF(OR(D80="",E80=""),"",E80/D80)</f>
      </c>
      <c r="G80" s="78">
        <f>IF(OR($D$24="",NOT(ISNUMBER(F80))),"",F80*$D$24)</f>
      </c>
      <c r="H80" s="27">
        <f>IF(NOT(ISNUMBER(F80)),"",F80*$D$35)</f>
      </c>
      <c r="I80" s="27">
        <f>IF(OR($D$24="",NOT(ISNUMBER(H80))),"",H80*$D$24)</f>
      </c>
      <c r="J80" s="27">
        <f>IF(E80="","",MAX(0,E80-$G$34))</f>
      </c>
      <c r="K80" s="27">
        <f>IF(J80="","",J80*(1+$G$32))</f>
      </c>
      <c r="L80" s="84">
        <f>IF(K80="","",$J$31+K80)</f>
      </c>
    </row>
    <row r="81" ht="20" customHeight="1">
      <c r="A81" s="2"/>
      <c r="B81" s="2"/>
      <c r="C81" s="72" t="n">
        <v>0.895</v>
      </c>
      <c r="D81" s="75">
        <f>IF(C81&lt;$G$23,$G$38-MAX(0,(C81-$G$33)*$D$35)/(1-$J$7),"")</f>
      </c>
      <c r="E81" s="27">
        <f>IF(D81="","",$G$40/D81)</f>
      </c>
      <c r="F81" s="78">
        <f>IF(OR(D81="",E81=""),"",E81/D81)</f>
      </c>
      <c r="G81" s="78">
        <f>IF(OR($D$24="",NOT(ISNUMBER(F81))),"",F81*$D$24)</f>
      </c>
      <c r="H81" s="27">
        <f>IF(NOT(ISNUMBER(F81)),"",F81*$D$35)</f>
      </c>
      <c r="I81" s="27">
        <f>IF(OR($D$24="",NOT(ISNUMBER(H81))),"",H81*$D$24)</f>
      </c>
      <c r="J81" s="27">
        <f>IF(E81="","",MAX(0,E81-$G$34))</f>
      </c>
      <c r="K81" s="27">
        <f>IF(J81="","",J81*(1+$G$32))</f>
      </c>
      <c r="L81" s="84">
        <f>IF(K81="","",$J$31+K81)</f>
      </c>
    </row>
    <row r="82" ht="20" customHeight="1">
      <c r="A82" s="2"/>
      <c r="B82" s="2"/>
      <c r="C82" s="72" t="n">
        <v>0.9</v>
      </c>
      <c r="D82" s="75">
        <f>IF(C82&lt;$G$23,$G$38-MAX(0,(C82-$G$33)*$D$35)/(1-$J$7),"")</f>
      </c>
      <c r="E82" s="27">
        <f>IF(D82="","",$G$40/D82)</f>
      </c>
      <c r="F82" s="78">
        <f>IF(OR(D82="",E82=""),"",E82/D82)</f>
      </c>
      <c r="G82" s="78">
        <f>IF(OR($D$24="",NOT(ISNUMBER(F82))),"",F82*$D$24)</f>
      </c>
      <c r="H82" s="27">
        <f>IF(NOT(ISNUMBER(F82)),"",F82*$D$35)</f>
      </c>
      <c r="I82" s="27">
        <f>IF(OR($D$24="",NOT(ISNUMBER(H82))),"",H82*$D$24)</f>
      </c>
      <c r="J82" s="27">
        <f>IF(E82="","",MAX(0,E82-$G$34))</f>
      </c>
      <c r="K82" s="27">
        <f>IF(J82="","",J82*(1+$G$32))</f>
      </c>
      <c r="L82" s="84">
        <f>IF(K82="","",$J$31+K82)</f>
      </c>
    </row>
    <row r="83" ht="20" customHeight="1">
      <c r="A83" s="2"/>
      <c r="B83" s="2"/>
      <c r="C83" s="72" t="n">
        <v>0.905</v>
      </c>
      <c r="D83" s="75">
        <f>IF(C83&lt;$G$23,$G$38-MAX(0,(C83-$G$33)*$D$35)/(1-$J$7),"")</f>
      </c>
      <c r="E83" s="27">
        <f>IF(D83="","",$G$40/D83)</f>
      </c>
      <c r="F83" s="78">
        <f>IF(OR(D83="",E83=""),"",E83/D83)</f>
      </c>
      <c r="G83" s="78">
        <f>IF(OR($D$24="",NOT(ISNUMBER(F83))),"",F83*$D$24)</f>
      </c>
      <c r="H83" s="27">
        <f>IF(NOT(ISNUMBER(F83)),"",F83*$D$35)</f>
      </c>
      <c r="I83" s="27">
        <f>IF(OR($D$24="",NOT(ISNUMBER(H83))),"",H83*$D$24)</f>
      </c>
      <c r="J83" s="27">
        <f>IF(E83="","",MAX(0,E83-$G$34))</f>
      </c>
      <c r="K83" s="27">
        <f>IF(J83="","",J83*(1+$G$32))</f>
      </c>
      <c r="L83" s="84">
        <f>IF(K83="","",$J$31+K83)</f>
      </c>
    </row>
    <row r="84" ht="20" customHeight="1">
      <c r="A84" s="2"/>
      <c r="B84" s="2"/>
      <c r="C84" s="72" t="n">
        <v>0.91</v>
      </c>
      <c r="D84" s="75">
        <f>IF(C84&lt;$G$23,$G$38-MAX(0,(C84-$G$33)*$D$35)/(1-$J$7),"")</f>
      </c>
      <c r="E84" s="27">
        <f>IF(D84="","",$G$40/D84)</f>
      </c>
      <c r="F84" s="78">
        <f>IF(OR(D84="",E84=""),"",E84/D84)</f>
      </c>
      <c r="G84" s="78">
        <f>IF(OR($D$24="",NOT(ISNUMBER(F84))),"",F84*$D$24)</f>
      </c>
      <c r="H84" s="27">
        <f>IF(NOT(ISNUMBER(F84)),"",F84*$D$35)</f>
      </c>
      <c r="I84" s="27">
        <f>IF(OR($D$24="",NOT(ISNUMBER(H84))),"",H84*$D$24)</f>
      </c>
      <c r="J84" s="27">
        <f>IF(E84="","",MAX(0,E84-$G$34))</f>
      </c>
      <c r="K84" s="27">
        <f>IF(J84="","",J84*(1+$G$32))</f>
      </c>
      <c r="L84" s="84">
        <f>IF(K84="","",$J$31+K84)</f>
      </c>
    </row>
    <row r="85" ht="20" customHeight="1">
      <c r="A85" s="2"/>
      <c r="B85" s="2"/>
      <c r="C85" s="72" t="n">
        <v>0.915</v>
      </c>
      <c r="D85" s="75">
        <f>IF(C85&lt;$G$23,$G$38-MAX(0,(C85-$G$33)*$D$35)/(1-$J$7),"")</f>
      </c>
      <c r="E85" s="27">
        <f>IF(D85="","",$G$40/D85)</f>
      </c>
      <c r="F85" s="78">
        <f>IF(OR(D85="",E85=""),"",E85/D85)</f>
      </c>
      <c r="G85" s="78">
        <f>IF(OR($D$24="",NOT(ISNUMBER(F85))),"",F85*$D$24)</f>
      </c>
      <c r="H85" s="27">
        <f>IF(NOT(ISNUMBER(F85)),"",F85*$D$35)</f>
      </c>
      <c r="I85" s="27">
        <f>IF(OR($D$24="",NOT(ISNUMBER(H85))),"",H85*$D$24)</f>
      </c>
      <c r="J85" s="27">
        <f>IF(E85="","",MAX(0,E85-$G$34))</f>
      </c>
      <c r="K85" s="27">
        <f>IF(J85="","",J85*(1+$G$32))</f>
      </c>
      <c r="L85" s="84">
        <f>IF(K85="","",$J$31+K85)</f>
      </c>
    </row>
    <row r="86" ht="20" customHeight="1">
      <c r="A86" s="2"/>
      <c r="B86" s="2"/>
      <c r="C86" s="72" t="n">
        <v>0.92</v>
      </c>
      <c r="D86" s="75">
        <f>IF(C86&lt;$G$23,$G$38-MAX(0,(C86-$G$33)*$D$35)/(1-$J$7),"")</f>
      </c>
      <c r="E86" s="27">
        <f>IF(D86="","",$G$40/D86)</f>
      </c>
      <c r="F86" s="78">
        <f>IF(OR(D86="",E86=""),"",E86/D86)</f>
      </c>
      <c r="G86" s="78">
        <f>IF(OR($D$24="",NOT(ISNUMBER(F86))),"",F86*$D$24)</f>
      </c>
      <c r="H86" s="27">
        <f>IF(NOT(ISNUMBER(F86)),"",F86*$D$35)</f>
      </c>
      <c r="I86" s="27">
        <f>IF(OR($D$24="",NOT(ISNUMBER(H86))),"",H86*$D$24)</f>
      </c>
      <c r="J86" s="27">
        <f>IF(E86="","",MAX(0,E86-$G$34))</f>
      </c>
      <c r="K86" s="27">
        <f>IF(J86="","",J86*(1+$G$32))</f>
      </c>
      <c r="L86" s="84">
        <f>IF(K86="","",$J$31+K86)</f>
      </c>
    </row>
    <row r="87" ht="20" customHeight="1">
      <c r="A87" s="2"/>
      <c r="B87" s="2"/>
      <c r="C87" s="72" t="n">
        <v>0.925</v>
      </c>
      <c r="D87" s="75">
        <f>IF(C87&lt;$G$23,$G$38-MAX(0,(C87-$G$33)*$D$35)/(1-$J$7),"")</f>
      </c>
      <c r="E87" s="27">
        <f>IF(D87="","",$G$40/D87)</f>
      </c>
      <c r="F87" s="78">
        <f>IF(OR(D87="",E87=""),"",E87/D87)</f>
      </c>
      <c r="G87" s="78">
        <f>IF(OR($D$24="",NOT(ISNUMBER(F87))),"",F87*$D$24)</f>
      </c>
      <c r="H87" s="27">
        <f>IF(NOT(ISNUMBER(F87)),"",F87*$D$35)</f>
      </c>
      <c r="I87" s="27">
        <f>IF(OR($D$24="",NOT(ISNUMBER(H87))),"",H87*$D$24)</f>
      </c>
      <c r="J87" s="27">
        <f>IF(E87="","",MAX(0,E87-$G$34))</f>
      </c>
      <c r="K87" s="27">
        <f>IF(J87="","",J87*(1+$G$32))</f>
      </c>
      <c r="L87" s="84">
        <f>IF(K87="","",$J$31+K87)</f>
      </c>
    </row>
    <row r="88" ht="20" customHeight="1">
      <c r="A88" s="2"/>
      <c r="B88" s="2"/>
      <c r="C88" s="72" t="n">
        <v>0.93</v>
      </c>
      <c r="D88" s="75">
        <f>IF(C88&lt;$G$23,$G$38-MAX(0,(C88-$G$33)*$D$35)/(1-$J$7),"")</f>
      </c>
      <c r="E88" s="27">
        <f>IF(D88="","",$G$40/D88)</f>
      </c>
      <c r="F88" s="78">
        <f>IF(OR(D88="",E88=""),"",E88/D88)</f>
      </c>
      <c r="G88" s="78">
        <f>IF(OR($D$24="",NOT(ISNUMBER(F88))),"",F88*$D$24)</f>
      </c>
      <c r="H88" s="27">
        <f>IF(NOT(ISNUMBER(F88)),"",F88*$D$35)</f>
      </c>
      <c r="I88" s="27">
        <f>IF(OR($D$24="",NOT(ISNUMBER(H88))),"",H88*$D$24)</f>
      </c>
      <c r="J88" s="27">
        <f>IF(E88="","",MAX(0,E88-$G$34))</f>
      </c>
      <c r="K88" s="27">
        <f>IF(J88="","",J88*(1+$G$32))</f>
      </c>
      <c r="L88" s="84">
        <f>IF(K88="","",$J$31+K88)</f>
      </c>
    </row>
    <row r="89" ht="20" customHeight="1">
      <c r="A89" s="2"/>
      <c r="B89" s="2"/>
      <c r="C89" s="72" t="n">
        <v>0.935</v>
      </c>
      <c r="D89" s="75">
        <f>IF(C89&lt;$G$23,$G$38-MAX(0,(C89-$G$33)*$D$35)/(1-$J$7),"")</f>
      </c>
      <c r="E89" s="27">
        <f>IF(D89="","",$G$40/D89)</f>
      </c>
      <c r="F89" s="78">
        <f>IF(OR(D89="",E89=""),"",E89/D89)</f>
      </c>
      <c r="G89" s="78">
        <f>IF(OR($D$24="",NOT(ISNUMBER(F89))),"",F89*$D$24)</f>
      </c>
      <c r="H89" s="27">
        <f>IF(NOT(ISNUMBER(F89)),"",F89*$D$35)</f>
      </c>
      <c r="I89" s="27">
        <f>IF(OR($D$24="",NOT(ISNUMBER(H89))),"",H89*$D$24)</f>
      </c>
      <c r="J89" s="27">
        <f>IF(E89="","",MAX(0,E89-$G$34))</f>
      </c>
      <c r="K89" s="27">
        <f>IF(J89="","",J89*(1+$G$32))</f>
      </c>
      <c r="L89" s="84">
        <f>IF(K89="","",$J$31+K89)</f>
      </c>
    </row>
    <row r="90" ht="20" customHeight="1">
      <c r="A90" s="2"/>
      <c r="B90" s="2"/>
      <c r="C90" s="72" t="n">
        <v>0.9400000000000001</v>
      </c>
      <c r="D90" s="75">
        <f>IF(C90&lt;$G$23,$G$38-MAX(0,(C90-$G$33)*$D$35)/(1-$J$7),"")</f>
      </c>
      <c r="E90" s="27">
        <f>IF(D90="","",$G$40/D90)</f>
      </c>
      <c r="F90" s="78">
        <f>IF(OR(D90="",E90=""),"",E90/D90)</f>
      </c>
      <c r="G90" s="78">
        <f>IF(OR($D$24="",NOT(ISNUMBER(F90))),"",F90*$D$24)</f>
      </c>
      <c r="H90" s="27">
        <f>IF(NOT(ISNUMBER(F90)),"",F90*$D$35)</f>
      </c>
      <c r="I90" s="27">
        <f>IF(OR($D$24="",NOT(ISNUMBER(H90))),"",H90*$D$24)</f>
      </c>
      <c r="J90" s="27">
        <f>IF(E90="","",MAX(0,E90-$G$34))</f>
      </c>
      <c r="K90" s="27">
        <f>IF(J90="","",J90*(1+$G$32))</f>
      </c>
      <c r="L90" s="84">
        <f>IF(K90="","",$J$31+K90)</f>
      </c>
    </row>
    <row r="91" ht="20" customHeight="1">
      <c r="A91" s="2"/>
      <c r="B91" s="2"/>
      <c r="C91" s="72" t="n">
        <v>0.9450000000000001</v>
      </c>
      <c r="D91" s="75">
        <f>IF(C91&lt;$G$23,$G$38-MAX(0,(C91-$G$33)*$D$35)/(1-$J$7),"")</f>
      </c>
      <c r="E91" s="27">
        <f>IF(D91="","",$G$40/D91)</f>
      </c>
      <c r="F91" s="78">
        <f>IF(OR(D91="",E91=""),"",E91/D91)</f>
      </c>
      <c r="G91" s="78">
        <f>IF(OR($D$24="",NOT(ISNUMBER(F91))),"",F91*$D$24)</f>
      </c>
      <c r="H91" s="27">
        <f>IF(NOT(ISNUMBER(F91)),"",F91*$D$35)</f>
      </c>
      <c r="I91" s="27">
        <f>IF(OR($D$24="",NOT(ISNUMBER(H91))),"",H91*$D$24)</f>
      </c>
      <c r="J91" s="27">
        <f>IF(E91="","",MAX(0,E91-$G$34))</f>
      </c>
      <c r="K91" s="27">
        <f>IF(J91="","",J91*(1+$G$32))</f>
      </c>
      <c r="L91" s="84">
        <f>IF(K91="","",$J$31+K91)</f>
      </c>
    </row>
    <row r="92" ht="20" customHeight="1">
      <c r="A92" s="2"/>
      <c r="B92" s="2"/>
      <c r="C92" s="72" t="n">
        <v>0.9500000000000001</v>
      </c>
      <c r="D92" s="75">
        <f>IF(C92&lt;$G$23,$G$38-MAX(0,(C92-$G$33)*$D$35)/(1-$J$7),"")</f>
      </c>
      <c r="E92" s="27">
        <f>IF(D92="","",$G$40/D92)</f>
      </c>
      <c r="F92" s="78">
        <f>IF(OR(D92="",E92=""),"",E92/D92)</f>
      </c>
      <c r="G92" s="78">
        <f>IF(OR($D$24="",NOT(ISNUMBER(F92))),"",F92*$D$24)</f>
      </c>
      <c r="H92" s="27">
        <f>IF(NOT(ISNUMBER(F92)),"",F92*$D$35)</f>
      </c>
      <c r="I92" s="27">
        <f>IF(OR($D$24="",NOT(ISNUMBER(H92))),"",H92*$D$24)</f>
      </c>
      <c r="J92" s="27">
        <f>IF(E92="","",MAX(0,E92-$G$34))</f>
      </c>
      <c r="K92" s="27">
        <f>IF(J92="","",J92*(1+$G$32))</f>
      </c>
      <c r="L92" s="84">
        <f>IF(K92="","",$J$31+K92)</f>
      </c>
    </row>
    <row r="93" ht="20" customHeight="1">
      <c r="A93" s="2"/>
      <c r="B93" s="2"/>
      <c r="C93" s="72" t="n">
        <v>0.9550000000000001</v>
      </c>
      <c r="D93" s="75">
        <f>IF(C93&lt;$G$23,$G$38-MAX(0,(C93-$G$33)*$D$35)/(1-$J$7),"")</f>
      </c>
      <c r="E93" s="27">
        <f>IF(D93="","",$G$40/D93)</f>
      </c>
      <c r="F93" s="78">
        <f>IF(OR(D93="",E93=""),"",E93/D93)</f>
      </c>
      <c r="G93" s="78">
        <f>IF(OR($D$24="",NOT(ISNUMBER(F93))),"",F93*$D$24)</f>
      </c>
      <c r="H93" s="27">
        <f>IF(NOT(ISNUMBER(F93)),"",F93*$D$35)</f>
      </c>
      <c r="I93" s="27">
        <f>IF(OR($D$24="",NOT(ISNUMBER(H93))),"",H93*$D$24)</f>
      </c>
      <c r="J93" s="27">
        <f>IF(E93="","",MAX(0,E93-$G$34))</f>
      </c>
      <c r="K93" s="27">
        <f>IF(J93="","",J93*(1+$G$32))</f>
      </c>
      <c r="L93" s="84">
        <f>IF(K93="","",$J$31+K93)</f>
      </c>
    </row>
    <row r="94" ht="20" customHeight="1">
      <c r="A94" s="2"/>
      <c r="B94" s="2"/>
      <c r="C94" s="72" t="n">
        <v>0.9600000000000001</v>
      </c>
      <c r="D94" s="75">
        <f>IF(C94&lt;$G$23,$G$38-MAX(0,(C94-$G$33)*$D$35)/(1-$J$7),"")</f>
      </c>
      <c r="E94" s="27">
        <f>IF(D94="","",$G$40/D94)</f>
      </c>
      <c r="F94" s="78">
        <f>IF(OR(D94="",E94=""),"",E94/D94)</f>
      </c>
      <c r="G94" s="78">
        <f>IF(OR($D$24="",NOT(ISNUMBER(F94))),"",F94*$D$24)</f>
      </c>
      <c r="H94" s="27">
        <f>IF(NOT(ISNUMBER(F94)),"",F94*$D$35)</f>
      </c>
      <c r="I94" s="27">
        <f>IF(OR($D$24="",NOT(ISNUMBER(H94))),"",H94*$D$24)</f>
      </c>
      <c r="J94" s="27">
        <f>IF(E94="","",MAX(0,E94-$G$34))</f>
      </c>
      <c r="K94" s="27">
        <f>IF(J94="","",J94*(1+$G$32))</f>
      </c>
      <c r="L94" s="84">
        <f>IF(K94="","",$J$31+K94)</f>
      </c>
    </row>
    <row r="95" ht="20" customHeight="1">
      <c r="A95" s="2"/>
      <c r="B95" s="2"/>
      <c r="C95" s="72" t="n">
        <v>0.9650000000000001</v>
      </c>
      <c r="D95" s="75">
        <f>IF(C95&lt;$G$23,$G$38-MAX(0,(C95-$G$33)*$D$35)/(1-$J$7),"")</f>
      </c>
      <c r="E95" s="27">
        <f>IF(D95="","",$G$40/D95)</f>
      </c>
      <c r="F95" s="78">
        <f>IF(OR(D95="",E95=""),"",E95/D95)</f>
      </c>
      <c r="G95" s="78">
        <f>IF(OR($D$24="",NOT(ISNUMBER(F95))),"",F95*$D$24)</f>
      </c>
      <c r="H95" s="27">
        <f>IF(NOT(ISNUMBER(F95)),"",F95*$D$35)</f>
      </c>
      <c r="I95" s="27">
        <f>IF(OR($D$24="",NOT(ISNUMBER(H95))),"",H95*$D$24)</f>
      </c>
      <c r="J95" s="27">
        <f>IF(E95="","",MAX(0,E95-$G$34))</f>
      </c>
      <c r="K95" s="27">
        <f>IF(J95="","",J95*(1+$G$32))</f>
      </c>
      <c r="L95" s="84">
        <f>IF(K95="","",$J$31+K95)</f>
      </c>
    </row>
    <row r="96" ht="20" customHeight="1">
      <c r="A96" s="2"/>
      <c r="B96" s="2"/>
      <c r="C96" s="72" t="n">
        <v>0.9700000000000001</v>
      </c>
      <c r="D96" s="75">
        <f>IF(C96&lt;$G$23,$G$38-MAX(0,(C96-$G$33)*$D$35)/(1-$J$7),"")</f>
      </c>
      <c r="E96" s="27">
        <f>IF(D96="","",$G$40/D96)</f>
      </c>
      <c r="F96" s="78">
        <f>IF(OR(D96="",E96=""),"",E96/D96)</f>
      </c>
      <c r="G96" s="78">
        <f>IF(OR($D$24="",NOT(ISNUMBER(F96))),"",F96*$D$24)</f>
      </c>
      <c r="H96" s="27">
        <f>IF(NOT(ISNUMBER(F96)),"",F96*$D$35)</f>
      </c>
      <c r="I96" s="27">
        <f>IF(OR($D$24="",NOT(ISNUMBER(H96))),"",H96*$D$24)</f>
      </c>
      <c r="J96" s="27">
        <f>IF(E96="","",MAX(0,E96-$G$34))</f>
      </c>
      <c r="K96" s="27">
        <f>IF(J96="","",J96*(1+$G$32))</f>
      </c>
      <c r="L96" s="84">
        <f>IF(K96="","",$J$31+K96)</f>
      </c>
    </row>
    <row r="97" ht="20" customHeight="1">
      <c r="A97" s="2"/>
      <c r="B97" s="2"/>
      <c r="C97" s="72" t="n">
        <v>0.9750000000000001</v>
      </c>
      <c r="D97" s="75">
        <f>IF(C97&lt;$G$23,$G$38-MAX(0,(C97-$G$33)*$D$35)/(1-$J$7),"")</f>
      </c>
      <c r="E97" s="27">
        <f>IF(D97="","",$G$40/D97)</f>
      </c>
      <c r="F97" s="78">
        <f>IF(OR(D97="",E97=""),"",E97/D97)</f>
      </c>
      <c r="G97" s="78">
        <f>IF(OR($D$24="",NOT(ISNUMBER(F97))),"",F97*$D$24)</f>
      </c>
      <c r="H97" s="27">
        <f>IF(NOT(ISNUMBER(F97)),"",F97*$D$35)</f>
      </c>
      <c r="I97" s="27">
        <f>IF(OR($D$24="",NOT(ISNUMBER(H97))),"",H97*$D$24)</f>
      </c>
      <c r="J97" s="27">
        <f>IF(E97="","",MAX(0,E97-$G$34))</f>
      </c>
      <c r="K97" s="27">
        <f>IF(J97="","",J97*(1+$G$32))</f>
      </c>
      <c r="L97" s="84">
        <f>IF(K97="","",$J$31+K97)</f>
      </c>
    </row>
    <row r="98" ht="20" customHeight="1">
      <c r="A98" s="2"/>
      <c r="B98" s="2"/>
      <c r="C98" s="72" t="n">
        <v>0.98</v>
      </c>
      <c r="D98" s="75">
        <f>IF(C98&lt;$G$23,$G$38-MAX(0,(C98-$G$33)*$D$35)/(1-$J$7),"")</f>
      </c>
      <c r="E98" s="27">
        <f>IF(D98="","",$G$40/D98)</f>
      </c>
      <c r="F98" s="78">
        <f>IF(OR(D98="",E98=""),"",E98/D98)</f>
      </c>
      <c r="G98" s="78">
        <f>IF(OR($D$24="",NOT(ISNUMBER(F98))),"",F98*$D$24)</f>
      </c>
      <c r="H98" s="27">
        <f>IF(NOT(ISNUMBER(F98)),"",F98*$D$35)</f>
      </c>
      <c r="I98" s="27">
        <f>IF(OR($D$24="",NOT(ISNUMBER(H98))),"",H98*$D$24)</f>
      </c>
      <c r="J98" s="27">
        <f>IF(E98="","",MAX(0,E98-$G$34))</f>
      </c>
      <c r="K98" s="27">
        <f>IF(J98="","",J98*(1+$G$32))</f>
      </c>
      <c r="L98" s="84">
        <f>IF(K98="","",$J$31+K98)</f>
      </c>
    </row>
    <row r="99" ht="20" customHeight="1">
      <c r="A99" s="2"/>
      <c r="B99" s="2"/>
      <c r="C99" s="72" t="n">
        <v>0.9850000000000001</v>
      </c>
      <c r="D99" s="75">
        <f>IF(C99&lt;$G$23,$G$38-MAX(0,(C99-$G$33)*$D$35)/(1-$J$7),"")</f>
      </c>
      <c r="E99" s="27">
        <f>IF(D99="","",$G$40/D99)</f>
      </c>
      <c r="F99" s="78">
        <f>IF(OR(D99="",E99=""),"",E99/D99)</f>
      </c>
      <c r="G99" s="78">
        <f>IF(OR($D$24="",NOT(ISNUMBER(F99))),"",F99*$D$24)</f>
      </c>
      <c r="H99" s="27">
        <f>IF(NOT(ISNUMBER(F99)),"",F99*$D$35)</f>
      </c>
      <c r="I99" s="27">
        <f>IF(OR($D$24="",NOT(ISNUMBER(H99))),"",H99*$D$24)</f>
      </c>
      <c r="J99" s="27">
        <f>IF(E99="","",MAX(0,E99-$G$34))</f>
      </c>
      <c r="K99" s="27">
        <f>IF(J99="","",J99*(1+$G$32))</f>
      </c>
      <c r="L99" s="84">
        <f>IF(K99="","",$J$31+K99)</f>
      </c>
    </row>
    <row r="100" ht="20" customHeight="1">
      <c r="A100" s="2"/>
      <c r="B100" s="2"/>
      <c r="C100" s="72" t="n">
        <v>0.99</v>
      </c>
      <c r="D100" s="75">
        <f>IF(C100&lt;$G$23,$G$38-MAX(0,(C100-$G$33)*$D$35)/(1-$J$7),"")</f>
      </c>
      <c r="E100" s="27">
        <f>IF(D100="","",$G$40/D100)</f>
      </c>
      <c r="F100" s="78">
        <f>IF(OR(D100="",E100=""),"",E100/D100)</f>
      </c>
      <c r="G100" s="78">
        <f>IF(OR($D$24="",NOT(ISNUMBER(F100))),"",F100*$D$24)</f>
      </c>
      <c r="H100" s="27">
        <f>IF(NOT(ISNUMBER(F100)),"",F100*$D$35)</f>
      </c>
      <c r="I100" s="27">
        <f>IF(OR($D$24="",NOT(ISNUMBER(H100))),"",H100*$D$24)</f>
      </c>
      <c r="J100" s="27">
        <f>IF(E100="","",MAX(0,E100-$G$34))</f>
      </c>
      <c r="K100" s="27">
        <f>IF(J100="","",J100*(1+$G$32))</f>
      </c>
      <c r="L100" s="84">
        <f>IF(K100="","",$J$31+K100)</f>
      </c>
    </row>
    <row r="101" ht="20" customHeight="1">
      <c r="A101" s="2"/>
      <c r="B101" s="2"/>
      <c r="C101" s="72" t="n">
        <v>0.9950000000000001</v>
      </c>
      <c r="D101" s="75">
        <f>IF(C101&lt;$G$23,$G$38-MAX(0,(C101-$G$33)*$D$35)/(1-$J$7),"")</f>
      </c>
      <c r="E101" s="27">
        <f>IF(D101="","",$G$40/D101)</f>
      </c>
      <c r="F101" s="78">
        <f>IF(OR(D101="",E101=""),"",E101/D101)</f>
      </c>
      <c r="G101" s="78">
        <f>IF(OR($D$24="",NOT(ISNUMBER(F101))),"",F101*$D$24)</f>
      </c>
      <c r="H101" s="27">
        <f>IF(NOT(ISNUMBER(F101)),"",F101*$D$35)</f>
      </c>
      <c r="I101" s="27">
        <f>IF(OR($D$24="",NOT(ISNUMBER(H101))),"",H101*$D$24)</f>
      </c>
      <c r="J101" s="27">
        <f>IF(E101="","",MAX(0,E101-$G$34))</f>
      </c>
      <c r="K101" s="27">
        <f>IF(J101="","",J101*(1+$G$32))</f>
      </c>
      <c r="L101" s="84">
        <f>IF(K101="","",$J$31+K101)</f>
      </c>
    </row>
    <row r="102" ht="20" customHeight="1">
      <c r="A102" s="2"/>
      <c r="B102" s="2"/>
      <c r="C102" s="73" t="n">
        <v>1</v>
      </c>
      <c r="D102" s="76">
        <f>IF(C102&lt;$G$23,$G$38-MAX(0,(C102-$G$33)*$D$35)/(1-$J$7),"")</f>
      </c>
      <c r="E102" s="28">
        <f>IF(D102="","",$G$40/D102)</f>
      </c>
      <c r="F102" s="79">
        <f>IF(OR(D102="",E102=""),"",E102/D102)</f>
      </c>
      <c r="G102" s="79">
        <f>IF(OR($D$24="",NOT(ISNUMBER(F102))),"",F102*$D$24)</f>
      </c>
      <c r="H102" s="28">
        <f>IF(NOT(ISNUMBER(F102)),"",F102*$D$35)</f>
      </c>
      <c r="I102" s="28">
        <f>IF(OR($D$24="",NOT(ISNUMBER(H102))),"",H102*$D$24)</f>
      </c>
      <c r="J102" s="28">
        <f>IF(E102="","",MAX(0,E102-$G$34))</f>
      </c>
      <c r="K102" s="28">
        <f>IF(J102="","",J102*(1+$G$32))</f>
      </c>
      <c r="L102" s="85">
        <f>IF(K102="","",$J$31+K102)</f>
      </c>
    </row>
    <row r="103" ht="20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ht="20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ht="24" customHeight="1">
      <c r="A105" s="2"/>
      <c r="B105" s="2"/>
      <c r="C105" s="95" t="str">
        <v>外盘回落参考</v>
      </c>
      <c r="D105" s="95"/>
      <c r="E105" s="95"/>
      <c r="F105" s="95"/>
      <c r="G105" s="95"/>
      <c r="H105" s="95"/>
      <c r="I105" s="95"/>
      <c r="J105" s="95"/>
      <c r="K105" s="95"/>
      <c r="L105" s="95"/>
    </row>
    <row r="106" ht="30" customHeight="1">
      <c r="A106" s="2"/>
      <c r="B106" s="2"/>
      <c r="C106" s="70" t="str">
        <v>控筹率</v>
      </c>
      <c r="D106" s="70" t="str">
        <v>pooled TOKEN</v>
      </c>
      <c r="E106" s="70" t="str">
        <v>pooled Quote</v>
      </c>
      <c r="F106" s="70" t="str">
        <v>价格 / Quote</v>
      </c>
      <c r="G106" s="70" t="str">
        <v>价格 / USDT</v>
      </c>
      <c r="H106" s="70" t="str">
        <v>市值 / Quote</v>
      </c>
      <c r="I106" s="70" t="str">
        <v>市值 / USDT</v>
      </c>
      <c r="J106" s="70" t="str">
        <v>较毕业点回撤</v>
      </c>
      <c r="K106" s="70" t="str"/>
      <c r="L106" s="70" t="str"/>
    </row>
    <row r="107" ht="20" customHeight="1">
      <c r="A107" s="2"/>
      <c r="B107" s="2"/>
      <c r="C107" s="90" t="n">
        <v>0.8</v>
      </c>
      <c r="D107" s="91">
        <f>$D$35*(1-C107)</f>
      </c>
      <c r="E107" s="92">
        <f>$G$40/D107</f>
      </c>
      <c r="F107" s="93">
        <f>IF(OR(D107="",E107=""),"",E107/D107)</f>
      </c>
      <c r="G107" s="93">
        <f>IF(OR($D$24="",NOT(ISNUMBER(F107))),"",F107*$D$24)</f>
      </c>
      <c r="H107" s="92">
        <f>IF(NOT(ISNUMBER(F107)),"",F107*$D$35)</f>
      </c>
      <c r="I107" s="92">
        <f>IF(OR($D$24="",NOT(ISNUMBER(H107))),"",H107*$D$24)</f>
      </c>
      <c r="J107" s="90">
        <f>IF($H$107&gt;0,1-H107/$H$107,0)</f>
      </c>
      <c r="K107" s="92"/>
      <c r="L107" s="92"/>
    </row>
    <row r="108" ht="20" customHeight="1">
      <c r="A108" s="2"/>
      <c r="B108" s="2"/>
      <c r="C108" s="72" t="n">
        <v>0.7</v>
      </c>
      <c r="D108" s="75">
        <f>$D$35*(1-C108)</f>
      </c>
      <c r="E108" s="27">
        <f>$G$40/D108</f>
      </c>
      <c r="F108" s="78">
        <f>IF(OR(D108="",E108=""),"",E108/D108)</f>
      </c>
      <c r="G108" s="78">
        <f>IF(OR($D$24="",NOT(ISNUMBER(F108))),"",F108*$D$24)</f>
      </c>
      <c r="H108" s="27">
        <f>IF(NOT(ISNUMBER(F108)),"",F108*$D$35)</f>
      </c>
      <c r="I108" s="27">
        <f>IF(OR($D$24="",NOT(ISNUMBER(H108))),"",H108*$D$24)</f>
      </c>
      <c r="J108" s="72">
        <f>IF($H$107&gt;0,1-H108/$H$107,0)</f>
      </c>
      <c r="K108" s="27"/>
      <c r="L108" s="27"/>
    </row>
    <row r="109" ht="20" customHeight="1">
      <c r="A109" s="2"/>
      <c r="B109" s="2"/>
      <c r="C109" s="72" t="n">
        <v>0.6</v>
      </c>
      <c r="D109" s="75">
        <f>$D$35*(1-C109)</f>
      </c>
      <c r="E109" s="27">
        <f>$G$40/D109</f>
      </c>
      <c r="F109" s="78">
        <f>IF(OR(D109="",E109=""),"",E109/D109)</f>
      </c>
      <c r="G109" s="78">
        <f>IF(OR($D$24="",NOT(ISNUMBER(F109))),"",F109*$D$24)</f>
      </c>
      <c r="H109" s="27">
        <f>IF(NOT(ISNUMBER(F109)),"",F109*$D$35)</f>
      </c>
      <c r="I109" s="27">
        <f>IF(OR($D$24="",NOT(ISNUMBER(H109))),"",H109*$D$24)</f>
      </c>
      <c r="J109" s="72">
        <f>IF($H$107&gt;0,1-H109/$H$107,0)</f>
      </c>
      <c r="K109" s="27"/>
      <c r="L109" s="27"/>
    </row>
    <row r="110" ht="20" customHeight="1">
      <c r="A110" s="2"/>
      <c r="B110" s="2"/>
      <c r="C110" s="72" t="n">
        <v>0.5</v>
      </c>
      <c r="D110" s="75">
        <f>$D$35*(1-C110)</f>
      </c>
      <c r="E110" s="27">
        <f>$G$40/D110</f>
      </c>
      <c r="F110" s="78">
        <f>IF(OR(D110="",E110=""),"",E110/D110)</f>
      </c>
      <c r="G110" s="78">
        <f>IF(OR($D$24="",NOT(ISNUMBER(F110))),"",F110*$D$24)</f>
      </c>
      <c r="H110" s="27">
        <f>IF(NOT(ISNUMBER(F110)),"",F110*$D$35)</f>
      </c>
      <c r="I110" s="27">
        <f>IF(OR($D$24="",NOT(ISNUMBER(H110))),"",H110*$D$24)</f>
      </c>
      <c r="J110" s="72">
        <f>IF($H$107&gt;0,1-H110/$H$107,0)</f>
      </c>
      <c r="K110" s="27"/>
      <c r="L110" s="27"/>
    </row>
    <row r="111" ht="20" customHeight="1">
      <c r="A111" s="2"/>
      <c r="B111" s="2"/>
      <c r="C111" s="72" t="n">
        <v>0.4</v>
      </c>
      <c r="D111" s="75">
        <f>$D$35*(1-C111)</f>
      </c>
      <c r="E111" s="27">
        <f>$G$40/D111</f>
      </c>
      <c r="F111" s="78">
        <f>IF(OR(D111="",E111=""),"",E111/D111)</f>
      </c>
      <c r="G111" s="78">
        <f>IF(OR($D$24="",NOT(ISNUMBER(F111))),"",F111*$D$24)</f>
      </c>
      <c r="H111" s="27">
        <f>IF(NOT(ISNUMBER(F111)),"",F111*$D$35)</f>
      </c>
      <c r="I111" s="27">
        <f>IF(OR($D$24="",NOT(ISNUMBER(H111))),"",H111*$D$24)</f>
      </c>
      <c r="J111" s="72">
        <f>IF($H$107&gt;0,1-H111/$H$107,0)</f>
      </c>
      <c r="K111" s="27"/>
      <c r="L111" s="27"/>
    </row>
    <row r="112" ht="20" customHeight="1">
      <c r="A112" s="2"/>
      <c r="B112" s="2"/>
      <c r="C112" s="72" t="n">
        <v>0.3</v>
      </c>
      <c r="D112" s="75">
        <f>$D$35*(1-C112)</f>
      </c>
      <c r="E112" s="27">
        <f>$G$40/D112</f>
      </c>
      <c r="F112" s="78">
        <f>IF(OR(D112="",E112=""),"",E112/D112)</f>
      </c>
      <c r="G112" s="78">
        <f>IF(OR($D$24="",NOT(ISNUMBER(F112))),"",F112*$D$24)</f>
      </c>
      <c r="H112" s="27">
        <f>IF(NOT(ISNUMBER(F112)),"",F112*$D$35)</f>
      </c>
      <c r="I112" s="27">
        <f>IF(OR($D$24="",NOT(ISNUMBER(H112))),"",H112*$D$24)</f>
      </c>
      <c r="J112" s="72">
        <f>IF($H$107&gt;0,1-H112/$H$107,0)</f>
      </c>
      <c r="K112" s="27"/>
      <c r="L112" s="27"/>
    </row>
    <row r="113" ht="20" customHeight="1">
      <c r="A113" s="2"/>
      <c r="B113" s="2"/>
      <c r="C113" s="72" t="n">
        <v>0.2</v>
      </c>
      <c r="D113" s="75">
        <f>$D$35*(1-C113)</f>
      </c>
      <c r="E113" s="27">
        <f>$G$40/D113</f>
      </c>
      <c r="F113" s="78">
        <f>IF(OR(D113="",E113=""),"",E113/D113)</f>
      </c>
      <c r="G113" s="78">
        <f>IF(OR($D$24="",NOT(ISNUMBER(F113))),"",F113*$D$24)</f>
      </c>
      <c r="H113" s="27">
        <f>IF(NOT(ISNUMBER(F113)),"",F113*$D$35)</f>
      </c>
      <c r="I113" s="27">
        <f>IF(OR($D$24="",NOT(ISNUMBER(H113))),"",H113*$D$24)</f>
      </c>
      <c r="J113" s="72">
        <f>IF($H$107&gt;0,1-H113/$H$107,0)</f>
      </c>
      <c r="K113" s="27"/>
      <c r="L113" s="27"/>
    </row>
    <row r="114" ht="20" customHeight="1">
      <c r="A114" s="2"/>
      <c r="B114" s="2"/>
      <c r="C114" s="72" t="n">
        <v>0.1</v>
      </c>
      <c r="D114" s="75">
        <f>$D$35*(1-C114)</f>
      </c>
      <c r="E114" s="27">
        <f>$G$40/D114</f>
      </c>
      <c r="F114" s="78">
        <f>IF(OR(D114="",E114=""),"",E114/D114)</f>
      </c>
      <c r="G114" s="78">
        <f>IF(OR($D$24="",NOT(ISNUMBER(F114))),"",F114*$D$24)</f>
      </c>
      <c r="H114" s="27">
        <f>IF(NOT(ISNUMBER(F114)),"",F114*$D$35)</f>
      </c>
      <c r="I114" s="27">
        <f>IF(OR($D$24="",NOT(ISNUMBER(H114))),"",H114*$D$24)</f>
      </c>
      <c r="J114" s="72">
        <f>IF($H$107&gt;0,1-H114/$H$107,0)</f>
      </c>
      <c r="K114" s="27"/>
      <c r="L114" s="27"/>
    </row>
    <row r="115" ht="20" customHeight="1">
      <c r="A115" s="2"/>
      <c r="B115" s="2"/>
      <c r="C115" s="73" t="n">
        <v>0</v>
      </c>
      <c r="D115" s="76">
        <f>$D$35*(1-C115)</f>
      </c>
      <c r="E115" s="28">
        <f>$G$40/D115</f>
      </c>
      <c r="F115" s="79">
        <f>IF(OR(D115="",E115=""),"",E115/D115)</f>
      </c>
      <c r="G115" s="79">
        <f>IF(OR($D$24="",NOT(ISNUMBER(F115))),"",F115*$D$24)</f>
      </c>
      <c r="H115" s="28">
        <f>IF(NOT(ISNUMBER(F115)),"",F115*$D$35)</f>
      </c>
      <c r="I115" s="28">
        <f>IF(OR($D$24="",NOT(ISNUMBER(H115))),"",H115*$D$24)</f>
      </c>
      <c r="J115" s="73">
        <f>IF($H$107&gt;0,1-H115/$H$107,0)</f>
      </c>
      <c r="K115" s="96" t="str">
        <v>沉没成本 / Quote</v>
      </c>
      <c r="L115" s="28">
        <f>E115</f>
      </c>
    </row>
    <row r="116" ht="20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ht="20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ht="20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ht="20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ht="20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ht="20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ht="20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ht="20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ht="20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ht="20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ht="20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ht="20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ht="20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ht="20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ht="20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ht="20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ht="20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ht="20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ht="20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ht="20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ht="20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ht="20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ht="20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ht="20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ht="20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</sheetData>
  <mergeCells>
    <mergeCell ref="C3:L3"/>
    <mergeCell ref="C13:L13"/>
    <mergeCell ref="C19:L19"/>
    <mergeCell ref="I28:L28"/>
    <mergeCell ref="I25:L25"/>
    <mergeCell ref="J23:L23"/>
    <mergeCell ref="G24:H24"/>
    <mergeCell ref="D32:E33"/>
    <mergeCell ref="D31:E31"/>
    <mergeCell ref="D36:E36"/>
    <mergeCell ref="D37:E37"/>
    <mergeCell ref="D38:E38"/>
    <mergeCell ref="D39:E40"/>
    <mergeCell ref="J24:L24"/>
    <mergeCell ref="J41:L41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20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2"/>
      <c r="Q6" s="2"/>
      <c r="R6" s="2"/>
      <c r="S6" s="2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2"/>
      <c r="Q7" s="2"/>
      <c r="R7" s="2"/>
      <c r="S7" s="2"/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/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30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155.5681</v>
      </c>
      <c r="Q14" s="29">
        <v>46283.31876925926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186.2216</v>
      </c>
      <c r="Q15" s="30">
        <v>46283.318774363426</v>
      </c>
      <c r="R15" s="33" t="inlineStr">
        <is>
          <t>https://dexscreener.com/bsc/0xd7d30f434b12f7ed9b0ae11ff1c754745a10ad52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765.3328</v>
      </c>
      <c r="Q16" s="30">
        <v>46283.318780104164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4390.9466</v>
      </c>
      <c r="Q17" s="30">
        <v>46283.31878587963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722.373</v>
      </c>
      <c r="Q18" s="30">
        <v>46283.31879167824</v>
      </c>
      <c r="R18" s="33" t="inlineStr">
        <is>
          <t>https://dexscreener.com/bsc/0xe531fcb1f5a195de7608b9f4f9518544c2cdb693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221.7035</v>
      </c>
      <c r="Q19" s="30">
        <v>46283.31879748843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336.9981</v>
      </c>
      <c r="Q20" s="30">
        <v>46283.31880325231</v>
      </c>
      <c r="R20" s="33" t="inlineStr">
        <is>
          <t>https://dexscreener.com/bsc/0xe9b9998b2ec5430d2246c7f1f8d9f298c97d7365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369.4488</v>
      </c>
      <c r="Q21" s="30">
        <v>46283.31880944445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498.6742</v>
      </c>
      <c r="Q22" s="30">
        <v>46283.318815150466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354.5122</v>
      </c>
      <c r="Q23" s="30">
        <v>46283.318820659726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113.08639</v>
      </c>
      <c r="Q24" s="30">
        <v>46283.318826435185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111.6631</v>
      </c>
      <c r="Q25" s="30">
        <v>46283.31883222223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22.8599</v>
      </c>
      <c r="Q26" s="30">
        <v>46283.31883804398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75.65</v>
      </c>
      <c r="Q27" s="30">
        <v>46283.318843865745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135.8244</v>
      </c>
      <c r="Q28" s="30">
        <v>46283.31884959491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>
        <v>8.7495</v>
      </c>
      <c r="Q29" s="30">
        <v>46283.31885538194</v>
      </c>
      <c r="R29" s="33" t="inlineStr">
        <is>
          <t>https://dexscreener.com/bsc/0x9aadbd51515432dbb77c0a7f69c2b2c211f0c837</t>
        </is>
      </c>
      <c r="S29" s="33" t="inlineStr">
        <is>
          <t>每日 Quote 代币池价；本地可手动更新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>
        <v>43.2819</v>
      </c>
      <c r="Q30" s="30">
        <v>46283.31886118055</v>
      </c>
      <c r="R30" s="33" t="inlineStr">
        <is>
          <t>https://dexscreener.com/bsc/0xd5c0572126a707196aaba2b6952d67fc2a140651</t>
        </is>
      </c>
      <c r="S30" s="33" t="inlineStr">
        <is>
          <t>每日 Quote 代币池价；本地可手动更新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>
        <v>119.4268</v>
      </c>
      <c r="Q31" s="30">
        <v>46283.31886697916</v>
      </c>
      <c r="R31" s="33" t="inlineStr">
        <is>
          <t>https://dexscreener.com/bsc/0x3d7d950377eca7b4af7233716ff17def00ab2045</t>
        </is>
      </c>
      <c r="S31" s="33" t="inlineStr">
        <is>
          <t>每日 Quote 代币池价；本地可手动更新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>
        <v>160.9239</v>
      </c>
      <c r="Q32" s="30">
        <v>46283.318872766205</v>
      </c>
      <c r="R32" s="33" t="inlineStr">
        <is>
          <t>https://dexscreener.com/bsc/0xcc992887e9cee37a698541e2f6d1675453fbcfcc</t>
        </is>
      </c>
      <c r="S32" s="33" t="inlineStr">
        <is>
          <t>每日 Quote 代币池价；本地可手动更新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>
        <v>7.8774</v>
      </c>
      <c r="Q33" s="30">
        <v>46283.31887913195</v>
      </c>
      <c r="R33" s="33" t="inlineStr">
        <is>
          <t>https://dexscreener.com/bsc/0x1f7083a138f980b60eb1582f01ca3b1d6c46ad10</t>
        </is>
      </c>
      <c r="S33" s="33" t="inlineStr">
        <is>
          <t>每日 Quote 代币池价；本地可手动更新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34.5922</v>
      </c>
      <c r="Q34" s="30">
        <v>46283.318884375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>
        <v>24.5544</v>
      </c>
      <c r="Q35" s="30">
        <v>46283.31889065972</v>
      </c>
      <c r="R35" s="33" t="inlineStr">
        <is>
          <t>https://dexscreener.com/bsc/0x52a427db0b2d9154a5f4ad09d22f3792f754b6fc</t>
        </is>
      </c>
      <c r="S35" s="33" t="inlineStr">
        <is>
          <t>每日 Quote 代币池价；本地可手动更新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46283.31889616898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R3:S3"/>
  </mergeCells>
  <pageMargins left="0.7" right="0.7" top="0.75" bottom="0.75" header="0.3" footer="0.3"/>
</worksheet>
</file>