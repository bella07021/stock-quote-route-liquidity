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633aaee2ed4416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07960734c4244702"/>
    <sheet name="单币测算" sheetId="2" r:id="R790cfe9196f04fe7"/>
    <sheet name="全RWA预算" sheetId="3" r:id="Rd4c0c5c45eae4e9c"/>
    <sheet name="选中Quote曲线" sheetId="4" r:id="R86f2a228e9f9400c"/>
    <sheet name="Quote参数" sheetId="5" r:id="R1cc01e53c52e4152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#,##0.00000000"/>
    <x:numFmt numFmtId="201" formatCode="0.00%"/>
    <x:numFmt numFmtId="202" formatCode="#,##0.000000"/>
    <x:numFmt numFmtId="203" formatCode="@"/>
    <x:numFmt numFmtId="204" formatCode="0.0000%"/>
    <x:numFmt numFmtId="205" formatCode="#,##0"/>
    <x:numFmt numFmtId="206" formatCode="0"/>
    <x:numFmt numFmtId="207" formatCode="0.0%"/>
    <x:numFmt numFmtId="208" formatCode="0.0000000000"/>
    <x:numFmt numFmtId="209" formatCode="General"/>
    <x:numFmt numFmtId="210" formatCode="0.000000"/>
    <x:numFmt numFmtId="211" formatCode="yyyy-mm-dd hh:mm:ss"/>
  </x:numFmts>
  <x:fonts count="28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sz val="9"/>
      <x:color rgb="FF008000"/>
      <x:name val="Arial"/>
    </x:font>
    <x:font>
      <x:b/>
      <x:sz val="9"/>
      <x:color rgb="FF172033"/>
      <x:name val="Arial"/>
    </x:font>
    <x:font>
      <x:b/>
      <x:sz val="9"/>
      <x:color rgb="FFFFFFFF"/>
      <x:name val="Arial"/>
    </x:font>
    <x:font>
      <x:sz val="9"/>
      <x:color rgb="FF111827"/>
      <x:name val="Arial"/>
    </x:font>
    <x:font>
      <x:b/>
      <x:sz val="10"/>
      <x:color rgb="FFFFFFFF"/>
      <x:name val="Arial"/>
    </x:font>
    <x:font>
      <x:b/>
      <x:sz val="10"/>
      <x:color rgb="FF172033"/>
      <x:name val="Arial"/>
    </x:font>
    <x:font>
      <x:sz val="10"/>
      <x:color rgb="FF0000FF"/>
      <x:name val="Arial"/>
    </x:font>
    <x:font>
      <x:i/>
      <x:sz val="9"/>
      <x:color rgb="FF667085"/>
      <x:name val="Arial"/>
    </x:font>
    <x:font>
      <x:i/>
      <x:sz val="8"/>
      <x:color rgb="FF667085"/>
      <x:name val="Arial"/>
    </x:font>
    <x:font>
      <x:b/>
      <x:sz val="10"/>
      <x:color rgb="FF111827"/>
      <x:name val="Arial"/>
    </x:font>
    <x:font>
      <x:b/>
      <x:i/>
      <x:sz val="10"/>
      <x:color rgb="FF111827"/>
      <x:name val="Arial"/>
    </x:font>
    <x:font>
      <x:sz val="8"/>
      <x:color rgb="FF008000"/>
      <x:name val="Arial"/>
    </x:font>
    <x:font>
      <x:b/>
      <x:sz val="9"/>
      <x:color rgb="FF111827"/>
      <x:name val="Arial"/>
    </x:font>
    <x:font>
      <x:b/>
      <x:sz val="17"/>
      <x:color rgb="FFFFFFFF"/>
      <x:name val="Arial"/>
    </x:font>
    <x:font>
      <x:i/>
      <x:sz val="9"/>
      <x:color rgb="FF111827"/>
      <x:name val="Arial"/>
    </x:font>
    <x:font>
      <x:b/>
      <x:sz val="9"/>
      <x:color rgb="FF20557D"/>
      <x:name val="Arial"/>
    </x:font>
    <x:font>
      <x:sz val="9"/>
      <x:color rgb="FF365F20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FFFFFF"/>
      <x:name val="Arial"/>
    </x:font>
    <x:font>
      <x:sz val="9"/>
      <x:color rgb="FF0000FF"/>
      <x:name val="Arial"/>
    </x:font>
  </x:fonts>
  <x:fills count="21">
    <x:fill>
      <x:patternFill patternType="none"/>
    </x:fill>
    <x:fill>
      <x:patternFill patternType="gray125"/>
    </x:fill>
    <x:fill>
      <x:patternFill patternType="solid">
        <x:fgColor rgb="FF26344D"/>
      </x:patternFill>
    </x:fill>
    <x:fill>
      <x:patternFill patternType="solid">
        <x:fgColor rgb="FF172033"/>
      </x:patternFill>
    </x:fill>
    <x:fill>
      <x:patternFill patternType="solid">
        <x:fgColor rgb="FFFFF4CC"/>
      </x:patternFill>
    </x:fill>
    <x:fill>
      <x:patternFill patternType="solid">
        <x:fgColor rgb="FFF1FBD9"/>
      </x:patternFill>
    </x:fill>
    <x:fill>
      <x:patternFill patternType="solid">
        <x:fgColor rgb="FFEAF1F8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D8E7F5"/>
      </x:patternFill>
    </x:fill>
    <x:fill>
      <x:patternFill patternType="solid">
        <x:fgColor rgb="FFA9C9E4"/>
      </x:patternFill>
    </x:fill>
    <x:fill>
      <x:patternFill patternType="solid">
        <x:fgColor rgb="FF7D2638"/>
      </x:patternFill>
    </x:fill>
    <x:fill>
      <x:patternFill patternType="solid">
        <x:fgColor rgb="FFF5CCAD"/>
      </x:patternFill>
    </x:fill>
    <x:fill>
      <x:patternFill patternType="solid">
        <x:fgColor rgb="FFD8E7F5"/>
      </x:patternFill>
    </x:fill>
    <x:fill>
      <x:patternFill patternType="solid">
        <x:fgColor rgb="FFFFFFFF"/>
      </x:patternFill>
    </x:fill>
    <x:fill>
      <x:patternFill patternType="solid">
        <x:fgColor rgb="FFE8F3DD"/>
      </x:patternFill>
    </x:fill>
    <x:fill>
      <x:patternFill patternType="solid">
        <x:fgColor rgb="FFA9C9E4"/>
      </x:patternFill>
    </x:fill>
    <x:fill>
      <x:patternFill patternType="solid">
        <x:fgColor rgb="FFF5CCAD"/>
      </x:patternFill>
    </x:fill>
    <x:fill>
      <x:patternFill patternType="solid">
        <x:fgColor rgb="FF26344D"/>
      </x:patternFill>
    </x:fill>
  </x:fills>
  <x:borders count="35">
    <x:border/>
    <x:border>
      <x:bottom style="thin">
        <x:color rgb="FF26344D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top style="double">
        <x:color rgb="FF172033"/>
      </x:top>
      <x:bottom style="thin">
        <x:color rgb="FFE6EAF0"/>
      </x:bottom>
    </x:border>
    <x:border>
      <x:left style="thin">
        <x:color rgb="FF7A9DB7"/>
      </x:left>
      <x:top style="thin">
        <x:color rgb="FF7A9DB7"/>
      </x:top>
      <x:bottom style="thin">
        <x:color rgb="FF7A9DB7"/>
      </x:bottom>
    </x:border>
    <x:border>
      <x:top style="thin">
        <x:color rgb="FF7A9DB7"/>
      </x:top>
      <x:bottom style="thin">
        <x:color rgb="FF7A9DB7"/>
      </x:bottom>
    </x:border>
    <x:border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bottom style="thin">
        <x:color rgb="FFD4E0E8"/>
      </x:bottom>
    </x:border>
    <x:border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top style="thin">
        <x:color rgb="FFD4E0E8"/>
      </x:top>
      <x:bottom style="thin">
        <x:color rgb="FFD4E0E8"/>
      </x:bottom>
    </x:border>
    <x:border>
      <x:right style="thin">
        <x:color rgb="FFD4E0E8"/>
      </x:right>
      <x:top style="thin">
        <x:color rgb="FFD4E0E8"/>
      </x:top>
    </x:border>
    <x:border>
      <x:left style="thin">
        <x:color rgb="FFD4E0E8"/>
      </x:left>
      <x:top style="thin">
        <x:color rgb="FFD4E0E8"/>
      </x:top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7A9DB7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7A9DB7"/>
      </x:right>
    </x:border>
    <x:border>
      <x:left style="thin">
        <x:color rgb="FF7A9DB7"/>
      </x:left>
      <x:right style="thin">
        <x:color rgb="FF7A9DB7"/>
      </x:right>
    </x:border>
    <x:border>
      <x:left style="thin">
        <x:color rgb="FF7A9DB7"/>
      </x:left>
    </x:border>
    <x:border>
      <x:left style="thin">
        <x:color rgb="FFD4E0E8"/>
      </x:left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</x:border>
    <x:border>
      <x:left style="thin">
        <x:color rgb="FFC38B63"/>
      </x:left>
      <x:right style="thin">
        <x:color rgb="FFC38B63"/>
      </x:right>
      <x:top style="thin">
        <x:color rgb="FFC38B63"/>
      </x:top>
      <x:bottom style="thin">
        <x:color rgb="FFC38B63"/>
      </x:bottom>
    </x:border>
  </x:borders>
  <x:cellStyleXfs count="1">
    <x:xf numFmtId="0" fontId="0" fillId="0" borderId="0"/>
  </x:cellStyleXfs>
  <x:cellXfs count="475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0" fontId="6" fillId="0" borderId="6" xfId="0" applyNumberFormat="1" applyFont="1" applyFill="1" applyBorder="1" applyAlignment="1">
      <x:alignment vertical="center"/>
    </x:xf>
    <x:xf numFmtId="200" fontId="6" fillId="0" borderId="7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200" fontId="3" fillId="0" borderId="6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 applyAlignment="1">
      <x:alignment vertical="center"/>
    </x:xf>
    <x:xf numFmtId="200" fontId="3" fillId="0" borderId="7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8" xfId="0" applyNumberFormat="1" applyFont="1" applyFill="1" applyBorder="1"/>
    <x:xf numFmtId="0" fontId="7" fillId="3" borderId="9" xfId="0" applyNumberFormat="1" applyFont="1" applyFill="1" applyBorder="1"/>
    <x:xf numFmtId="0" fontId="7" fillId="3" borderId="10" xfId="0" applyNumberFormat="1" applyFont="1" applyFill="1" applyBorder="1"/>
    <x:xf numFmtId="0" fontId="7" fillId="3" borderId="8" xfId="0" applyNumberFormat="1" applyFont="1" applyFill="1" applyBorder="1" applyAlignment="1">
      <x:alignment vertical="center"/>
    </x:xf>
    <x:xf numFmtId="0" fontId="7" fillId="3" borderId="9" xfId="0" applyNumberFormat="1" applyFont="1" applyFill="1" applyBorder="1" applyAlignment="1">
      <x:alignment vertical="center"/>
    </x:xf>
    <x:xf numFmtId="0" fontId="7" fillId="3" borderId="1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0" fillId="4" borderId="0" xfId="0" applyNumberFormat="1" applyFont="1" applyFill="1" applyBorder="1"/>
    <x:xf numFmtId="0" fontId="9" fillId="4" borderId="0" xfId="0" applyNumberFormat="1" applyFont="1" applyFill="1" applyBorder="1"/>
    <x:xf numFmtId="0" fontId="9" fillId="4" borderId="11" xfId="0" applyNumberFormat="1" applyFont="1" applyFill="1" applyBorder="1"/>
    <x:xf numFmtId="0" fontId="9" fillId="4" borderId="12" xfId="0" applyNumberFormat="1" applyFont="1" applyFill="1" applyBorder="1"/>
    <x:xf numFmtId="0" fontId="9" fillId="4" borderId="13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201" fontId="9" fillId="4" borderId="12" xfId="0" applyNumberFormat="1" applyFont="1" applyFill="1" applyBorder="1"/>
    <x:xf numFmtId="202" fontId="9" fillId="4" borderId="12" xfId="0" applyNumberFormat="1" applyFont="1" applyFill="1" applyBorder="1"/>
    <x:xf numFmtId="202" fontId="9" fillId="4" borderId="13" xfId="0" applyNumberFormat="1" applyFont="1" applyFill="1" applyBorder="1"/>
    <x:xf numFmtId="203" fontId="3" fillId="0" borderId="0" xfId="0" applyNumberFormat="1" applyFont="1" applyFill="1" applyBorder="1"/>
    <x:xf numFmtId="200" fontId="3" fillId="0" borderId="0" xfId="0" applyNumberFormat="1" applyFont="1" applyFill="1" applyBorder="1"/>
    <x:xf numFmtId="204" fontId="3" fillId="0" borderId="0" xfId="0" applyNumberFormat="1" applyFont="1" applyFill="1" applyBorder="1"/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0" fontId="11" fillId="0" borderId="7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 wrapText="1"/>
    </x:xf>
    <x:xf numFmtId="0" fontId="11" fillId="0" borderId="6" xfId="0" applyNumberFormat="1" applyFont="1" applyFill="1" applyBorder="1" applyAlignment="1">
      <x:alignment vertical="center" wrapText="1"/>
    </x:xf>
    <x:xf numFmtId="0" fontId="11" fillId="0" borderId="7" xfId="0" applyNumberFormat="1" applyFont="1" applyFill="1" applyBorder="1" applyAlignment="1">
      <x:alignment vertical="center" wrapText="1"/>
    </x:xf>
    <x:xf numFmtId="201" fontId="6" fillId="0" borderId="5" xfId="0" applyNumberFormat="1" applyFont="1" applyFill="1" applyBorder="1" applyAlignment="1">
      <x:alignment vertical="center"/>
    </x:xf>
    <x:xf numFmtId="202" fontId="6" fillId="0" borderId="6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205" fontId="6" fillId="0" borderId="6" xfId="0" applyNumberFormat="1" applyFont="1" applyFill="1" applyBorder="1" applyAlignment="1">
      <x:alignment vertical="center"/>
    </x:xf>
    <x:xf numFmtId="202" fontId="6" fillId="0" borderId="7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202" fontId="6" fillId="5" borderId="6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11" fillId="5" borderId="6" xfId="0" applyNumberFormat="1" applyFont="1" applyFill="1" applyBorder="1" applyAlignment="1">
      <x:alignment vertical="center" wrapText="1"/>
    </x:xf>
    <x:xf numFmtId="0" fontId="12" fillId="5" borderId="6" xfId="0" applyNumberFormat="1" applyFont="1" applyFill="1" applyBorder="1" applyAlignment="1">
      <x:alignment vertical="center"/>
    </x:xf>
    <x:xf numFmtId="202" fontId="12" fillId="5" borderId="6" xfId="0" applyNumberFormat="1" applyFont="1" applyFill="1" applyBorder="1" applyAlignment="1">
      <x:alignment vertical="center"/>
    </x:xf>
    <x:xf numFmtId="0" fontId="13" fillId="5" borderId="6" xfId="0" applyNumberFormat="1" applyFont="1" applyFill="1" applyBorder="1" applyAlignment="1">
      <x:alignment vertical="center" wrapText="1"/>
    </x:xf>
    <x:xf numFmtId="0" fontId="12" fillId="5" borderId="14" xfId="0" applyNumberFormat="1" applyFont="1" applyFill="1" applyBorder="1" applyAlignment="1">
      <x:alignment vertical="center"/>
    </x:xf>
    <x:xf numFmtId="202" fontId="12" fillId="5" borderId="14" xfId="0" applyNumberFormat="1" applyFont="1" applyFill="1" applyBorder="1" applyAlignment="1">
      <x:alignment vertical="center"/>
    </x:xf>
    <x:xf numFmtId="0" fontId="13" fillId="5" borderId="14" xfId="0" applyNumberFormat="1" applyFont="1" applyFill="1" applyBorder="1" applyAlignment="1">
      <x:alignment vertical="center" wrapText="1"/>
    </x:xf>
    <x:xf numFmtId="0" fontId="14" fillId="0" borderId="5" xfId="0" applyNumberFormat="1" applyFont="1" applyFill="1" applyBorder="1" applyAlignment="1">
      <x:alignment vertical="center"/>
    </x:xf>
    <x:xf numFmtId="0" fontId="14" fillId="0" borderId="6" xfId="0" applyNumberFormat="1" applyFont="1" applyFill="1" applyBorder="1" applyAlignment="1">
      <x:alignment vertical="center"/>
    </x:xf>
    <x:xf numFmtId="0" fontId="14" fillId="0" borderId="7" xfId="0" applyNumberFormat="1" applyFont="1" applyFill="1" applyBorder="1" applyAlignment="1">
      <x:alignment vertical="center"/>
    </x:xf>
    <x:xf numFmtId="0" fontId="14" fillId="0" borderId="5" xfId="0" applyNumberFormat="1" applyFont="1" applyFill="1" applyBorder="1" applyAlignment="1">
      <x:alignment vertical="center" wrapText="1"/>
    </x:xf>
    <x:xf numFmtId="0" fontId="14" fillId="0" borderId="6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201" fontId="3" fillId="6" borderId="0" xfId="0" applyNumberFormat="1" applyFont="1" applyFill="1" applyBorder="1"/>
    <x:xf numFmtId="206" fontId="3" fillId="6" borderId="0" xfId="0" applyNumberFormat="1" applyFont="1" applyFill="1" applyBorder="1"/>
    <x:xf numFmtId="202" fontId="3" fillId="0" borderId="5" xfId="0" applyNumberFormat="1" applyFont="1" applyFill="1" applyBorder="1" applyAlignment="1">
      <x:alignment vertical="center"/>
    </x:xf>
    <x:xf numFmtId="202" fontId="6" fillId="0" borderId="5" xfId="0" applyNumberFormat="1" applyFont="1" applyFill="1" applyBorder="1" applyAlignment="1">
      <x:alignment vertical="center"/>
    </x:xf>
    <x:xf numFmtId="202" fontId="3" fillId="0" borderId="6" xfId="0" applyNumberFormat="1" applyFont="1" applyFill="1" applyBorder="1" applyAlignment="1">
      <x:alignment vertical="center"/>
    </x:xf>
    <x:xf numFmtId="202" fontId="3" fillId="0" borderId="7" xfId="0" applyNumberFormat="1" applyFont="1" applyFill="1" applyBorder="1" applyAlignment="1">
      <x:alignment vertical="center"/>
    </x:xf>
    <x:xf numFmtId="204" fontId="6" fillId="0" borderId="5" xfId="0" applyNumberFormat="1" applyFont="1" applyFill="1" applyBorder="1" applyAlignment="1">
      <x:alignment vertical="center"/>
    </x:xf>
    <x:xf numFmtId="204" fontId="6" fillId="0" borderId="6" xfId="0" applyNumberFormat="1" applyFont="1" applyFill="1" applyBorder="1" applyAlignment="1">
      <x:alignment vertical="center"/>
    </x:xf>
    <x:xf numFmtId="204" fontId="6" fillId="0" borderId="7" xfId="0" applyNumberFormat="1" applyFont="1" applyFill="1" applyBorder="1" applyAlignment="1">
      <x:alignment vertical="center"/>
    </x:xf>
    <x:xf numFmtId="201" fontId="6" fillId="0" borderId="7" xfId="0" applyNumberFormat="1" applyFont="1" applyFill="1" applyBorder="1" applyAlignment="1">
      <x:alignment vertical="center"/>
    </x:xf>
    <x:xf numFmtId="202" fontId="6" fillId="5" borderId="5" xfId="0" applyNumberFormat="1" applyFont="1" applyFill="1" applyBorder="1" applyAlignment="1">
      <x:alignment vertical="center"/>
    </x:xf>
    <x:xf numFmtId="202" fontId="6" fillId="5" borderId="7" xfId="0" applyNumberFormat="1" applyFont="1" applyFill="1" applyBorder="1" applyAlignment="1">
      <x:alignment vertical="center"/>
    </x:xf>
    <x:xf numFmtId="202" fontId="15" fillId="5" borderId="5" xfId="0" applyNumberFormat="1" applyFont="1" applyFill="1" applyBorder="1" applyAlignment="1">
      <x:alignment vertical="center"/>
    </x:xf>
    <x:xf numFmtId="202" fontId="15" fillId="5" borderId="6" xfId="0" applyNumberFormat="1" applyFont="1" applyFill="1" applyBorder="1" applyAlignment="1">
      <x:alignment vertical="center"/>
    </x:xf>
    <x:xf numFmtId="202" fontId="15" fillId="5" borderId="7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/>
    <x:xf numFmtId="207" fontId="6" fillId="0" borderId="5" xfId="0" applyNumberFormat="1" applyFont="1" applyFill="1" applyBorder="1" applyAlignment="1">
      <x:alignment vertical="center"/>
    </x:xf>
    <x:xf numFmtId="207" fontId="6" fillId="0" borderId="6" xfId="0" applyNumberFormat="1" applyFont="1" applyFill="1" applyBorder="1" applyAlignment="1">
      <x:alignment vertical="center"/>
    </x:xf>
    <x:xf numFmtId="207" fontId="6" fillId="0" borderId="7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15" xfId="0" applyNumberFormat="1" applyFont="1" applyFill="1" applyBorder="1"/>
    <x:xf numFmtId="0" fontId="16" fillId="7" borderId="16" xfId="0" applyNumberFormat="1" applyFont="1" applyFill="1" applyBorder="1"/>
    <x:xf numFmtId="0" fontId="16" fillId="7" borderId="17" xfId="0" applyNumberFormat="1" applyFont="1" applyFill="1" applyBorder="1"/>
    <x:xf numFmtId="0" fontId="16" fillId="7" borderId="15" xfId="0" applyNumberFormat="1" applyFont="1" applyFill="1" applyBorder="1" applyAlignment="1">
      <x:alignment vertical="center"/>
    </x:xf>
    <x:xf numFmtId="0" fontId="16" fillId="7" borderId="16" xfId="0" applyNumberFormat="1" applyFont="1" applyFill="1" applyBorder="1" applyAlignment="1">
      <x:alignment vertical="center"/>
    </x:xf>
    <x:xf numFmtId="0" fontId="16" fillId="7" borderId="17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wrapText="1"/>
    </x:xf>
    <x:xf numFmtId="0" fontId="17" fillId="8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/>
    <x:xf numFmtId="0" fontId="5" fillId="7" borderId="15" xfId="0" applyNumberFormat="1" applyFont="1" applyFill="1" applyBorder="1"/>
    <x:xf numFmtId="0" fontId="5" fillId="7" borderId="17" xfId="0" applyNumberFormat="1" applyFont="1" applyFill="1" applyBorder="1"/>
    <x:xf numFmtId="0" fontId="5" fillId="7" borderId="15" xfId="0" applyNumberFormat="1" applyFont="1" applyFill="1" applyBorder="1" applyAlignment="1">
      <x:alignment vertical="center"/>
    </x:xf>
    <x:xf numFmtId="0" fontId="5" fillId="7" borderId="17" xfId="0" applyNumberFormat="1" applyFont="1" applyFill="1" applyBorder="1" applyAlignment="1">
      <x:alignment vertical="center"/>
    </x:xf>
    <x:xf numFmtId="0" fontId="6" fillId="0" borderId="18" xfId="0" applyNumberFormat="1" applyFont="1" applyFill="1" applyBorder="1"/>
    <x:xf numFmtId="0" fontId="6" fillId="0" borderId="19" xfId="0" applyNumberFormat="1" applyFont="1" applyFill="1" applyBorder="1"/>
    <x:xf numFmtId="0" fontId="6" fillId="0" borderId="20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0" fontId="6" fillId="0" borderId="23" xfId="0" applyNumberFormat="1" applyFont="1" applyFill="1" applyBorder="1"/>
    <x:xf numFmtId="0" fontId="6" fillId="0" borderId="18" xfId="0" applyNumberFormat="1" applyFont="1" applyFill="1" applyBorder="1" applyAlignment="1">
      <x:alignment vertical="center"/>
    </x:xf>
    <x:xf numFmtId="0" fontId="6" fillId="0" borderId="19" xfId="0" applyNumberFormat="1" applyFont="1" applyFill="1" applyBorder="1" applyAlignment="1">
      <x:alignment vertical="center"/>
    </x:xf>
    <x:xf numFmtId="0" fontId="6" fillId="0" borderId="20" xfId="0" applyNumberFormat="1" applyFont="1" applyFill="1" applyBorder="1" applyAlignment="1">
      <x:alignment vertical="center"/>
    </x:xf>
    <x:xf numFmtId="0" fontId="6" fillId="0" borderId="21" xfId="0" applyNumberFormat="1" applyFont="1" applyFill="1" applyBorder="1" applyAlignment="1">
      <x:alignment vertical="center"/>
    </x:xf>
    <x:xf numFmtId="0" fontId="6" fillId="0" borderId="22" xfId="0" applyNumberFormat="1" applyFont="1" applyFill="1" applyBorder="1" applyAlignment="1">
      <x:alignment vertical="center"/>
    </x:xf>
    <x:xf numFmtId="0" fontId="6" fillId="0" borderId="23" xfId="0" applyNumberFormat="1" applyFont="1" applyFill="1" applyBorder="1" applyAlignment="1">
      <x:alignment vertical="center"/>
    </x:xf>
    <x:xf numFmtId="0" fontId="6" fillId="9" borderId="19" xfId="0" applyNumberFormat="1" applyFont="1" applyFill="1" applyBorder="1" applyAlignment="1">
      <x:alignment vertical="center"/>
    </x:xf>
    <x:xf numFmtId="0" fontId="6" fillId="9" borderId="21" xfId="0" applyNumberFormat="1" applyFont="1" applyFill="1" applyBorder="1" applyAlignment="1">
      <x:alignment vertical="center"/>
    </x:xf>
    <x:xf numFmtId="0" fontId="18" fillId="9" borderId="19" xfId="0" applyNumberFormat="1" applyFont="1" applyFill="1" applyBorder="1" applyAlignment="1">
      <x:alignment vertical="center"/>
    </x:xf>
    <x:xf numFmtId="0" fontId="18" fillId="9" borderId="21" xfId="0" applyNumberFormat="1" applyFont="1" applyFill="1" applyBorder="1" applyAlignment="1">
      <x:alignment vertical="center"/>
    </x:xf>
    <x:xf numFmtId="0" fontId="18" fillId="9" borderId="24" xfId="0" applyNumberFormat="1" applyFont="1" applyFill="1" applyBorder="1" applyAlignment="1">
      <x:alignment vertical="center"/>
    </x:xf>
    <x:xf numFmtId="0" fontId="18" fillId="9" borderId="25" xfId="0" applyNumberFormat="1" applyFont="1" applyFill="1" applyBorder="1" applyAlignment="1">
      <x:alignment vertical="center"/>
    </x:xf>
    <x:xf numFmtId="0" fontId="6" fillId="9" borderId="23" xfId="0" applyNumberFormat="1" applyFont="1" applyFill="1" applyBorder="1" applyAlignment="1">
      <x:alignment vertical="center"/>
    </x:xf>
    <x:xf numFmtId="0" fontId="18" fillId="9" borderId="23" xfId="0" applyNumberFormat="1" applyFont="1" applyFill="1" applyBorder="1" applyAlignment="1">
      <x:alignment vertical="center"/>
    </x:xf>
    <x:xf numFmtId="0" fontId="18" fillId="9" borderId="26" xfId="0" applyNumberFormat="1" applyFont="1" applyFill="1" applyBorder="1" applyAlignment="1">
      <x:alignment vertical="center"/>
    </x:xf>
    <x:xf numFmtId="0" fontId="6" fillId="10" borderId="21" xfId="0" applyNumberFormat="1" applyFont="1" applyFill="1" applyBorder="1" applyAlignment="1">
      <x:alignment vertical="center"/>
    </x:xf>
    <x:xf numFmtId="0" fontId="6" fillId="10" borderId="23" xfId="0" applyNumberFormat="1" applyFont="1" applyFill="1" applyBorder="1" applyAlignment="1">
      <x:alignment vertical="center"/>
    </x:xf>
    <x:xf numFmtId="0" fontId="19" fillId="10" borderId="21" xfId="0" applyNumberFormat="1" applyFont="1" applyFill="1" applyBorder="1" applyAlignment="1">
      <x:alignment vertical="center"/>
    </x:xf>
    <x:xf numFmtId="0" fontId="19" fillId="10" borderId="23" xfId="0" applyNumberFormat="1" applyFont="1" applyFill="1" applyBorder="1" applyAlignment="1">
      <x:alignment vertical="center"/>
    </x:xf>
    <x:xf numFmtId="0" fontId="19" fillId="10" borderId="24" xfId="0" applyNumberFormat="1" applyFont="1" applyFill="1" applyBorder="1" applyAlignment="1">
      <x:alignment vertical="center"/>
    </x:xf>
    <x:xf numFmtId="0" fontId="19" fillId="10" borderId="26" xfId="0" applyNumberFormat="1" applyFont="1" applyFill="1" applyBorder="1" applyAlignment="1">
      <x:alignment vertical="center"/>
    </x:xf>
    <x:xf numFmtId="0" fontId="19" fillId="10" borderId="25" xfId="0" applyNumberFormat="1" applyFont="1" applyFill="1" applyBorder="1" applyAlignment="1">
      <x:alignment vertical="center"/>
    </x:xf>
    <x:xf numFmtId="0" fontId="6" fillId="10" borderId="19" xfId="0" applyNumberFormat="1" applyFont="1" applyFill="1" applyBorder="1" applyAlignment="1">
      <x:alignment vertical="center"/>
    </x:xf>
    <x:xf numFmtId="0" fontId="19" fillId="10" borderId="19" xfId="0" applyNumberFormat="1" applyFont="1" applyFill="1" applyBorder="1" applyAlignment="1">
      <x:alignment vertical="center"/>
    </x:xf>
    <x:xf numFmtId="0" fontId="19" fillId="10" borderId="27" xfId="0" applyNumberFormat="1" applyFont="1" applyFill="1" applyBorder="1" applyAlignment="1">
      <x:alignment vertical="center"/>
    </x:xf>
    <x:xf numFmtId="0" fontId="5" fillId="7" borderId="16" xfId="0" applyNumberFormat="1" applyFont="1" applyFill="1" applyBorder="1"/>
    <x:xf numFmtId="0" fontId="5" fillId="7" borderId="16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5" fillId="11" borderId="0" xfId="0" applyNumberFormat="1" applyFont="1" applyFill="1" applyBorder="1"/>
    <x:xf numFmtId="0" fontId="15" fillId="11" borderId="28" xfId="0" applyNumberFormat="1" applyFont="1" applyFill="1" applyBorder="1"/>
    <x:xf numFmtId="0" fontId="15" fillId="11" borderId="29" xfId="0" applyNumberFormat="1" applyFont="1" applyFill="1" applyBorder="1"/>
    <x:xf numFmtId="0" fontId="15" fillId="11" borderId="30" xfId="0" applyNumberFormat="1" applyFont="1" applyFill="1" applyBorder="1"/>
    <x:xf numFmtId="0" fontId="15" fillId="11" borderId="28" xfId="0" applyNumberFormat="1" applyFont="1" applyFill="1" applyBorder="1" applyAlignment="1">
      <x:alignment wrapText="1"/>
    </x:xf>
    <x:xf numFmtId="0" fontId="15" fillId="11" borderId="29" xfId="0" applyNumberFormat="1" applyFont="1" applyFill="1" applyBorder="1" applyAlignment="1">
      <x:alignment wrapText="1"/>
    </x:xf>
    <x:xf numFmtId="0" fontId="15" fillId="11" borderId="30" xfId="0" applyNumberFormat="1" applyFont="1" applyFill="1" applyBorder="1" applyAlignment="1">
      <x:alignment wrapText="1"/>
    </x:xf>
    <x:xf numFmtId="0" fontId="15" fillId="11" borderId="28" xfId="0" applyNumberFormat="1" applyFont="1" applyFill="1" applyBorder="1" applyAlignment="1">
      <x:alignment horizontal="center" wrapText="1"/>
    </x:xf>
    <x:xf numFmtId="0" fontId="15" fillId="11" borderId="29" xfId="0" applyNumberFormat="1" applyFont="1" applyFill="1" applyBorder="1" applyAlignment="1">
      <x:alignment horizontal="center" wrapText="1"/>
    </x:xf>
    <x:xf numFmtId="0" fontId="15" fillId="11" borderId="30" xfId="0" applyNumberFormat="1" applyFont="1" applyFill="1" applyBorder="1" applyAlignment="1">
      <x:alignment horizontal="center" wrapText="1"/>
    </x:xf>
    <x:xf numFmtId="0" fontId="15" fillId="11" borderId="28" xfId="0" applyNumberFormat="1" applyFont="1" applyFill="1" applyBorder="1" applyAlignment="1">
      <x:alignment horizontal="center" vertical="center" wrapText="1"/>
    </x:xf>
    <x:xf numFmtId="0" fontId="15" fillId="11" borderId="29" xfId="0" applyNumberFormat="1" applyFont="1" applyFill="1" applyBorder="1" applyAlignment="1">
      <x:alignment horizontal="center" vertical="center" wrapText="1"/>
    </x:xf>
    <x:xf numFmtId="0" fontId="15" fillId="11" borderId="30" xfId="0" applyNumberFormat="1" applyFont="1" applyFill="1" applyBorder="1" applyAlignment="1">
      <x:alignment horizontal="center" vertical="center" wrapText="1"/>
    </x:xf>
    <x:xf numFmtId="0" fontId="6" fillId="0" borderId="31" xfId="0" applyNumberFormat="1" applyFont="1" applyFill="1" applyBorder="1"/>
    <x:xf numFmtId="0" fontId="6" fillId="0" borderId="32" xfId="0" applyNumberFormat="1" applyFont="1" applyFill="1" applyBorder="1"/>
    <x:xf numFmtId="0" fontId="6" fillId="0" borderId="33" xfId="0" applyNumberFormat="1" applyFont="1" applyFill="1" applyBorder="1"/>
    <x:xf numFmtId="0" fontId="6" fillId="0" borderId="31" xfId="0" applyNumberFormat="1" applyFont="1" applyFill="1" applyBorder="1" applyAlignment="1">
      <x:alignment vertical="center"/>
    </x:xf>
    <x:xf numFmtId="0" fontId="6" fillId="0" borderId="32" xfId="0" applyNumberFormat="1" applyFont="1" applyFill="1" applyBorder="1" applyAlignment="1">
      <x:alignment vertical="center"/>
    </x:xf>
    <x:xf numFmtId="0" fontId="6" fillId="0" borderId="33" xfId="0" applyNumberFormat="1" applyFont="1" applyFill="1" applyBorder="1" applyAlignment="1">
      <x:alignment vertical="center"/>
    </x:xf>
    <x:xf numFmtId="0" fontId="6" fillId="12" borderId="22" xfId="0" applyNumberFormat="1" applyFont="1" applyFill="1" applyBorder="1" applyAlignment="1">
      <x:alignment vertical="center"/>
    </x:xf>
    <x:xf numFmtId="0" fontId="6" fillId="12" borderId="33" xfId="0" applyNumberFormat="1" applyFont="1" applyFill="1" applyBorder="1" applyAlignment="1">
      <x:alignment vertical="center"/>
    </x:xf>
    <x:xf numFmtId="0" fontId="15" fillId="12" borderId="22" xfId="0" applyNumberFormat="1" applyFont="1" applyFill="1" applyBorder="1" applyAlignment="1">
      <x:alignment vertical="center"/>
    </x:xf>
    <x:xf numFmtId="0" fontId="15" fillId="12" borderId="33" xfId="0" applyNumberFormat="1" applyFont="1" applyFill="1" applyBorder="1" applyAlignment="1">
      <x:alignment vertical="center"/>
    </x:xf>
    <x:xf numFmtId="0" fontId="20" fillId="10" borderId="19" xfId="0" applyNumberFormat="1" applyFont="1" applyFill="1" applyBorder="1" applyAlignment="1">
      <x:alignment vertical="center"/>
    </x:xf>
    <x:xf numFmtId="0" fontId="20" fillId="10" borderId="21" xfId="0" applyNumberFormat="1" applyFont="1" applyFill="1" applyBorder="1" applyAlignment="1">
      <x:alignment vertical="center"/>
    </x:xf>
    <x:xf numFmtId="0" fontId="20" fillId="10" borderId="23" xfId="0" applyNumberFormat="1" applyFont="1" applyFill="1" applyBorder="1" applyAlignment="1">
      <x:alignment vertical="center"/>
    </x:xf>
    <x:xf numFmtId="0" fontId="6" fillId="12" borderId="18" xfId="0" applyNumberFormat="1" applyFont="1" applyFill="1" applyBorder="1" applyAlignment="1">
      <x:alignment vertical="center"/>
    </x:xf>
    <x:xf numFmtId="0" fontId="6" fillId="12" borderId="31" xfId="0" applyNumberFormat="1" applyFont="1" applyFill="1" applyBorder="1" applyAlignment="1">
      <x:alignment vertical="center"/>
    </x:xf>
    <x:xf numFmtId="0" fontId="15" fillId="12" borderId="18" xfId="0" applyNumberFormat="1" applyFont="1" applyFill="1" applyBorder="1" applyAlignment="1">
      <x:alignment vertical="center"/>
    </x:xf>
    <x:xf numFmtId="0" fontId="15" fillId="12" borderId="31" xfId="0" applyNumberFormat="1" applyFont="1" applyFill="1" applyBorder="1" applyAlignment="1">
      <x:alignment vertical="center"/>
    </x:xf>
    <x:xf numFmtId="207" fontId="6" fillId="0" borderId="18" xfId="0" applyNumberFormat="1" applyFont="1" applyFill="1" applyBorder="1" applyAlignment="1">
      <x:alignment vertical="center"/>
    </x:xf>
    <x:xf numFmtId="207" fontId="6" fillId="0" borderId="20" xfId="0" applyNumberFormat="1" applyFont="1" applyFill="1" applyBorder="1" applyAlignment="1">
      <x:alignment vertical="center"/>
    </x:xf>
    <x:xf numFmtId="207" fontId="15" fillId="12" borderId="22" xfId="0" applyNumberFormat="1" applyFont="1" applyFill="1" applyBorder="1" applyAlignment="1">
      <x:alignment vertical="center"/>
    </x:xf>
    <x:xf numFmtId="207" fontId="15" fillId="12" borderId="18" xfId="0" applyNumberFormat="1" applyFont="1" applyFill="1" applyBorder="1" applyAlignment="1">
      <x:alignment vertical="center"/>
    </x:xf>
    <x:xf numFmtId="207" fontId="6" fillId="0" borderId="22" xfId="0" applyNumberFormat="1" applyFont="1" applyFill="1" applyBorder="1" applyAlignment="1">
      <x:alignment vertical="center"/>
    </x:xf>
    <x:xf numFmtId="202" fontId="6" fillId="0" borderId="31" xfId="0" applyNumberFormat="1" applyFont="1" applyFill="1" applyBorder="1" applyAlignment="1">
      <x:alignment vertical="center"/>
    </x:xf>
    <x:xf numFmtId="202" fontId="6" fillId="0" borderId="32" xfId="0" applyNumberFormat="1" applyFont="1" applyFill="1" applyBorder="1" applyAlignment="1">
      <x:alignment vertical="center"/>
    </x:xf>
    <x:xf numFmtId="202" fontId="15" fillId="12" borderId="33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5" fillId="7" borderId="16" xfId="0" applyNumberFormat="1" applyFont="1" applyFill="1" applyBorder="1" applyAlignment="1">
      <x:alignment vertical="center"/>
    </x:xf>
    <x:xf numFmtId="202" fontId="15" fillId="11" borderId="29" xfId="0" applyNumberFormat="1" applyFont="1" applyFill="1" applyBorder="1" applyAlignment="1">
      <x:alignment horizontal="center" vertical="center" wrapText="1"/>
    </x:xf>
    <x:xf numFmtId="202" fontId="15" fillId="12" borderId="31" xfId="0" applyNumberFormat="1" applyFont="1" applyFill="1" applyBorder="1" applyAlignment="1">
      <x:alignment vertical="center"/>
    </x:xf>
    <x:xf numFmtId="202" fontId="6" fillId="0" borderId="33" xfId="0" applyNumberFormat="1" applyFont="1" applyFill="1" applyBorder="1" applyAlignment="1">
      <x:alignment vertical="center"/>
    </x:xf>
    <x:xf numFmtId="208" fontId="6" fillId="0" borderId="31" xfId="0" applyNumberFormat="1" applyFont="1" applyFill="1" applyBorder="1" applyAlignment="1">
      <x:alignment vertical="center"/>
    </x:xf>
    <x:xf numFmtId="208" fontId="6" fillId="0" borderId="32" xfId="0" applyNumberFormat="1" applyFont="1" applyFill="1" applyBorder="1" applyAlignment="1">
      <x:alignment vertical="center"/>
    </x:xf>
    <x:xf numFmtId="208" fontId="15" fillId="12" borderId="33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  <x:xf numFmtId="208" fontId="5" fillId="7" borderId="16" xfId="0" applyNumberFormat="1" applyFont="1" applyFill="1" applyBorder="1" applyAlignment="1">
      <x:alignment vertical="center"/>
    </x:xf>
    <x:xf numFmtId="208" fontId="15" fillId="11" borderId="29" xfId="0" applyNumberFormat="1" applyFont="1" applyFill="1" applyBorder="1" applyAlignment="1">
      <x:alignment horizontal="center" vertical="center" wrapText="1"/>
    </x:xf>
    <x:xf numFmtId="208" fontId="15" fillId="12" borderId="31" xfId="0" applyNumberFormat="1" applyFont="1" applyFill="1" applyBorder="1" applyAlignment="1">
      <x:alignment vertical="center"/>
    </x:xf>
    <x:xf numFmtId="208" fontId="6" fillId="0" borderId="33" xfId="0" applyNumberFormat="1" applyFont="1" applyFill="1" applyBorder="1" applyAlignment="1">
      <x:alignment vertical="center"/>
    </x:xf>
    <x:xf numFmtId="202" fontId="20" fillId="10" borderId="19" xfId="0" applyNumberFormat="1" applyFont="1" applyFill="1" applyBorder="1" applyAlignment="1">
      <x:alignment vertical="center"/>
    </x:xf>
    <x:xf numFmtId="202" fontId="20" fillId="10" borderId="21" xfId="0" applyNumberFormat="1" applyFont="1" applyFill="1" applyBorder="1" applyAlignment="1">
      <x:alignment vertical="center"/>
    </x:xf>
    <x:xf numFmtId="202" fontId="20" fillId="10" borderId="23" xfId="0" applyNumberFormat="1" applyFont="1" applyFill="1" applyBorder="1" applyAlignment="1">
      <x:alignment vertical="center"/>
    </x:xf>
    <x:xf numFmtId="202" fontId="5" fillId="7" borderId="17" xfId="0" applyNumberFormat="1" applyFont="1" applyFill="1" applyBorder="1" applyAlignment="1">
      <x:alignment vertical="center"/>
    </x:xf>
    <x:xf numFmtId="202" fontId="15" fillId="11" borderId="30" xfId="0" applyNumberFormat="1" applyFont="1" applyFill="1" applyBorder="1" applyAlignment="1">
      <x:alignment horizontal="center" vertical="center" wrapText="1"/>
    </x:xf>
    <x:xf numFmtId="0" fontId="5" fillId="13" borderId="15" xfId="0" applyNumberFormat="1" applyFont="1" applyFill="1" applyBorder="1" applyAlignment="1">
      <x:alignment vertical="center"/>
    </x:xf>
    <x:xf numFmtId="0" fontId="5" fillId="13" borderId="16" xfId="0" applyNumberFormat="1" applyFont="1" applyFill="1" applyBorder="1" applyAlignment="1">
      <x:alignment vertical="center"/>
    </x:xf>
    <x:xf numFmtId="0" fontId="5" fillId="13" borderId="17" xfId="0" applyNumberFormat="1" applyFont="1" applyFill="1" applyBorder="1" applyAlignment="1">
      <x:alignment vertical="center"/>
    </x:xf>
    <x:xf numFmtId="0" fontId="6" fillId="14" borderId="22" xfId="0" applyNumberFormat="1" applyFont="1" applyFill="1" applyBorder="1" applyAlignment="1">
      <x:alignment vertical="center"/>
    </x:xf>
    <x:xf numFmtId="0" fontId="6" fillId="14" borderId="33" xfId="0" applyNumberFormat="1" applyFont="1" applyFill="1" applyBorder="1" applyAlignment="1">
      <x:alignment vertical="center"/>
    </x:xf>
    <x:xf numFmtId="0" fontId="6" fillId="14" borderId="23" xfId="0" applyNumberFormat="1" applyFont="1" applyFill="1" applyBorder="1" applyAlignment="1">
      <x:alignment vertical="center"/>
    </x:xf>
    <x:xf numFmtId="0" fontId="21" fillId="14" borderId="22" xfId="0" applyNumberFormat="1" applyFont="1" applyFill="1" applyBorder="1" applyAlignment="1">
      <x:alignment vertical="center"/>
    </x:xf>
    <x:xf numFmtId="0" fontId="21" fillId="14" borderId="33" xfId="0" applyNumberFormat="1" applyFont="1" applyFill="1" applyBorder="1" applyAlignment="1">
      <x:alignment vertical="center"/>
    </x:xf>
    <x:xf numFmtId="0" fontId="21" fillId="14" borderId="23" xfId="0" applyNumberFormat="1" applyFont="1" applyFill="1" applyBorder="1" applyAlignment="1">
      <x:alignment vertical="center"/>
    </x:xf>
    <x:xf numFmtId="0" fontId="21" fillId="14" borderId="34" xfId="0" applyNumberFormat="1" applyFont="1" applyFill="1" applyBorder="1" applyAlignment="1">
      <x:alignment vertical="center"/>
    </x:xf>
    <x:xf numFmtId="207" fontId="21" fillId="14" borderId="34" xfId="0" applyNumberFormat="1" applyFont="1" applyFill="1" applyBorder="1" applyAlignment="1">
      <x:alignment vertical="center"/>
    </x:xf>
    <x:xf numFmtId="205" fontId="6" fillId="0" borderId="31" xfId="0" applyNumberFormat="1" applyFont="1" applyFill="1" applyBorder="1" applyAlignment="1">
      <x:alignment vertical="center"/>
    </x:xf>
    <x:xf numFmtId="205" fontId="6" fillId="0" borderId="32" xfId="0" applyNumberFormat="1" applyFont="1" applyFill="1" applyBorder="1" applyAlignment="1">
      <x:alignment vertical="center"/>
    </x:xf>
    <x:xf numFmtId="205" fontId="21" fillId="14" borderId="34" xfId="0" applyNumberFormat="1" applyFont="1" applyFill="1" applyBorder="1" applyAlignment="1">
      <x:alignment vertical="center"/>
    </x:xf>
    <x:xf numFmtId="202" fontId="21" fillId="14" borderId="34" xfId="0" applyNumberFormat="1" applyFont="1" applyFill="1" applyBorder="1" applyAlignment="1">
      <x:alignment vertical="center"/>
    </x:xf>
    <x:xf numFmtId="208" fontId="21" fillId="14" borderId="34" xfId="0" applyNumberFormat="1" applyFont="1" applyFill="1" applyBorder="1" applyAlignment="1">
      <x:alignment vertical="center"/>
    </x:xf>
    <x:xf numFmtId="207" fontId="6" fillId="0" borderId="31" xfId="0" applyNumberFormat="1" applyFont="1" applyFill="1" applyBorder="1" applyAlignment="1">
      <x:alignment vertical="center"/>
    </x:xf>
    <x:xf numFmtId="207" fontId="6" fillId="0" borderId="32" xfId="0" applyNumberFormat="1" applyFont="1" applyFill="1" applyBorder="1" applyAlignment="1">
      <x:alignment vertical="center"/>
    </x:xf>
    <x:xf numFmtId="204" fontId="19" fillId="10" borderId="26" xfId="0" applyNumberFormat="1" applyFont="1" applyFill="1" applyBorder="1" applyAlignment="1">
      <x:alignment vertical="center"/>
    </x:xf>
    <x:xf numFmtId="204" fontId="19" fillId="10" borderId="25" xfId="0" applyNumberFormat="1" applyFont="1" applyFill="1" applyBorder="1" applyAlignment="1">
      <x:alignment vertical="center"/>
    </x:xf>
    <x:xf numFmtId="204" fontId="18" fillId="9" borderId="24" xfId="0" applyNumberFormat="1" applyFont="1" applyFill="1" applyBorder="1" applyAlignment="1">
      <x:alignment vertical="center"/>
    </x:xf>
    <x:xf numFmtId="204" fontId="18" fillId="9" borderId="25" xfId="0" applyNumberFormat="1" applyFont="1" applyFill="1" applyBorder="1" applyAlignment="1">
      <x:alignment vertical="center"/>
    </x:xf>
    <x:xf numFmtId="204" fontId="19" fillId="10" borderId="24" xfId="0" applyNumberFormat="1" applyFont="1" applyFill="1" applyBorder="1" applyAlignment="1">
      <x:alignment vertical="center"/>
    </x:xf>
    <x:xf numFmtId="201" fontId="18" fillId="9" borderId="25" xfId="0" applyNumberFormat="1" applyFont="1" applyFill="1" applyBorder="1" applyAlignment="1">
      <x:alignment vertical="center"/>
    </x:xf>
    <x:xf numFmtId="201" fontId="19" fillId="10" borderId="24" xfId="0" applyNumberFormat="1" applyFont="1" applyFill="1" applyBorder="1" applyAlignment="1">
      <x:alignment vertical="center"/>
    </x:xf>
    <x:xf numFmtId="202" fontId="19" fillId="10" borderId="26" xfId="0" applyNumberFormat="1" applyFont="1" applyFill="1" applyBorder="1" applyAlignment="1">
      <x:alignment vertical="center"/>
    </x:xf>
    <x:xf numFmtId="205" fontId="19" fillId="10" borderId="26" xfId="0" applyNumberFormat="1" applyFont="1" applyFill="1" applyBorder="1" applyAlignment="1">
      <x:alignment vertical="center"/>
    </x:xf>
    <x:xf numFmtId="202" fontId="19" fillId="10" borderId="25" xfId="0" applyNumberFormat="1" applyFont="1" applyFill="1" applyBorder="1" applyAlignment="1">
      <x:alignment vertical="center"/>
    </x:xf>
    <x:xf numFmtId="203" fontId="19" fillId="10" borderId="26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4" borderId="11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1" fontId="9" fillId="4" borderId="12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9" fillId="4" borderId="12" xfId="0" applyNumberFormat="1" applyFont="1" applyFill="1" applyBorder="1" applyAlignment="1">
      <x:alignment vertical="center"/>
    </x:xf>
    <x:xf numFmtId="202" fontId="9" fillId="4" borderId="12" xfId="0" applyNumberFormat="1" applyFont="1" applyFill="1" applyBorder="1" applyAlignment="1">
      <x:alignment vertical="center"/>
    </x:xf>
    <x:xf numFmtId="204" fontId="3" fillId="0" borderId="0" xfId="0" applyNumberFormat="1" applyFont="1" applyFill="1" applyBorder="1" applyAlignment="1">
      <x:alignment vertical="center"/>
    </x:xf>
    <x:xf numFmtId="202" fontId="9" fillId="4" borderId="13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1" fontId="3" fillId="6" borderId="0" xfId="0" applyNumberFormat="1" applyFont="1" applyFill="1" applyBorder="1" applyAlignment="1">
      <x:alignment vertical="center"/>
    </x:xf>
    <x:xf numFmtId="206" fontId="3" fillId="6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5" fillId="11" borderId="29" xfId="0" applyNumberFormat="1" applyFont="1" applyFill="1" applyBorder="1" applyAlignment="1">
      <x:alignment horizontal="center" vertical="center" wrapText="0"/>
    </x:xf>
    <x:xf numFmtId="202" fontId="6" fillId="0" borderId="31" xfId="0" applyNumberFormat="1" applyFont="1" applyFill="1" applyBorder="1" applyAlignment="1">
      <x:alignment vertical="center" wrapText="0"/>
    </x:xf>
    <x:xf numFmtId="202" fontId="6" fillId="0" borderId="32" xfId="0" applyNumberFormat="1" applyFont="1" applyFill="1" applyBorder="1" applyAlignment="1">
      <x:alignment vertical="center" wrapText="0"/>
    </x:xf>
    <x:xf numFmtId="202" fontId="15" fillId="12" borderId="33" xfId="0" applyNumberFormat="1" applyFont="1" applyFill="1" applyBorder="1" applyAlignment="1">
      <x:alignment vertical="center" wrapText="0"/>
    </x:xf>
    <x:xf numFmtId="208" fontId="15" fillId="11" borderId="29" xfId="0" applyNumberFormat="1" applyFont="1" applyFill="1" applyBorder="1" applyAlignment="1">
      <x:alignment horizontal="center" vertical="center" wrapText="0"/>
    </x:xf>
    <x:xf numFmtId="208" fontId="6" fillId="0" borderId="31" xfId="0" applyNumberFormat="1" applyFont="1" applyFill="1" applyBorder="1" applyAlignment="1">
      <x:alignment vertical="center" wrapText="0"/>
    </x:xf>
    <x:xf numFmtId="208" fontId="6" fillId="0" borderId="32" xfId="0" applyNumberFormat="1" applyFont="1" applyFill="1" applyBorder="1" applyAlignment="1">
      <x:alignment vertical="center" wrapText="0"/>
    </x:xf>
    <x:xf numFmtId="208" fontId="15" fillId="12" borderId="33" xfId="0" applyNumberFormat="1" applyFont="1" applyFill="1" applyBorder="1" applyAlignment="1">
      <x:alignment vertical="center" wrapText="0"/>
    </x:xf>
    <x:xf numFmtId="202" fontId="15" fillId="11" borderId="29" xfId="0" applyNumberFormat="1" applyFont="1" applyFill="1" applyBorder="1" applyAlignment="1">
      <x:alignment horizontal="center" vertical="center" wrapText="0"/>
    </x:xf>
    <x:xf numFmtId="202" fontId="15" fillId="12" borderId="31" xfId="0" applyNumberFormat="1" applyFont="1" applyFill="1" applyBorder="1" applyAlignment="1">
      <x:alignment vertical="center" wrapText="0"/>
    </x:xf>
    <x:xf numFmtId="202" fontId="6" fillId="0" borderId="33" xfId="0" applyNumberFormat="1" applyFont="1" applyFill="1" applyBorder="1" applyAlignment="1">
      <x:alignment vertical="center" wrapText="0"/>
    </x:xf>
    <x:xf numFmtId="208" fontId="15" fillId="12" borderId="31" xfId="0" applyNumberFormat="1" applyFont="1" applyFill="1" applyBorder="1" applyAlignment="1">
      <x:alignment vertical="center" wrapText="0"/>
    </x:xf>
    <x:xf numFmtId="208" fontId="6" fillId="0" borderId="33" xfId="0" applyNumberFormat="1" applyFont="1" applyFill="1" applyBorder="1" applyAlignment="1">
      <x:alignment vertical="center" wrapText="0"/>
    </x:xf>
    <x:xf numFmtId="202" fontId="21" fillId="14" borderId="34" xfId="0" applyNumberFormat="1" applyFont="1" applyFill="1" applyBorder="1" applyAlignment="1">
      <x:alignment vertical="center" wrapText="0"/>
    </x:xf>
    <x:xf numFmtId="208" fontId="21" fillId="14" borderId="34" xfId="0" applyNumberFormat="1" applyFont="1" applyFill="1" applyBorder="1" applyAlignment="1">
      <x:alignment vertical="center" wrapText="0"/>
    </x:xf>
    <x:xf numFmtId="0" fontId="5" fillId="2" borderId="3" xfId="0" applyNumberFormat="1" applyFont="1" applyFill="1" applyBorder="1" applyAlignment="1">
      <x:alignment horizontal="center" vertical="center" wrapText="0"/>
    </x:xf>
    <x:xf numFmtId="202" fontId="6" fillId="0" borderId="5" xfId="0" applyNumberFormat="1" applyFont="1" applyFill="1" applyBorder="1" applyAlignment="1">
      <x:alignment vertical="center" wrapText="0"/>
    </x:xf>
    <x:xf numFmtId="202" fontId="6" fillId="0" borderId="6" xfId="0" applyNumberFormat="1" applyFont="1" applyFill="1" applyBorder="1" applyAlignment="1">
      <x:alignment vertical="center" wrapText="0"/>
    </x:xf>
    <x:xf numFmtId="202" fontId="6" fillId="0" borderId="7" xfId="0" applyNumberFormat="1" applyFont="1" applyFill="1" applyBorder="1" applyAlignment="1">
      <x:alignment vertical="center" wrapText="0"/>
    </x:xf>
    <x:xf numFmtId="208" fontId="5" fillId="2" borderId="3" xfId="0" applyNumberFormat="1" applyFont="1" applyFill="1" applyBorder="1" applyAlignment="1">
      <x:alignment horizontal="center" vertical="center" wrapText="0"/>
    </x:xf>
    <x:xf numFmtId="208" fontId="6" fillId="0" borderId="5" xfId="0" applyNumberFormat="1" applyFont="1" applyFill="1" applyBorder="1" applyAlignment="1">
      <x:alignment vertical="center" wrapText="0"/>
    </x:xf>
    <x:xf numFmtId="208" fontId="6" fillId="0" borderId="6" xfId="0" applyNumberFormat="1" applyFont="1" applyFill="1" applyBorder="1" applyAlignment="1">
      <x:alignment vertical="center" wrapText="0"/>
    </x:xf>
    <x:xf numFmtId="208" fontId="6" fillId="0" borderId="7" xfId="0" applyNumberFormat="1" applyFont="1" applyFill="1" applyBorder="1" applyAlignment="1">
      <x:alignment vertical="center" wrapText="0"/>
    </x:xf>
    <x:xf numFmtId="0" fontId="15" fillId="15" borderId="29" xfId="0" applyNumberFormat="1" applyFont="1" applyFill="1" applyBorder="1" applyAlignment="1">
      <x:alignment horizontal="center" vertical="center" wrapText="1"/>
    </x:xf>
    <x:xf numFmtId="0" fontId="22" fillId="15" borderId="29" xfId="0" applyNumberFormat="1" applyFont="1" applyFill="1" applyBorder="1" applyAlignment="1">
      <x:alignment horizontal="center" vertical="center" wrapText="1"/>
    </x:xf>
    <x:xf numFmtId="209" fontId="22" fillId="15" borderId="29" xfId="0" applyNumberFormat="1" applyFont="1" applyFill="1" applyBorder="1" applyAlignment="1">
      <x:alignment horizontal="center" vertical="center" wrapText="1"/>
    </x:xf>
    <x:xf numFmtId="208" fontId="15" fillId="15" borderId="29" xfId="0" applyNumberFormat="1" applyFont="1" applyFill="1" applyBorder="1" applyAlignment="1">
      <x:alignment horizontal="center" vertical="center" wrapText="0"/>
    </x:xf>
    <x:xf numFmtId="208" fontId="22" fillId="15" borderId="29" xfId="0" applyNumberFormat="1" applyFont="1" applyFill="1" applyBorder="1" applyAlignment="1">
      <x:alignment horizontal="center" vertical="center" wrapText="0"/>
    </x:xf>
    <x:xf numFmtId="209" fontId="22" fillId="15" borderId="29" xfId="0" applyNumberFormat="1" applyFont="1" applyFill="1" applyBorder="1" applyAlignment="1">
      <x:alignment horizontal="center" vertical="center" wrapText="0"/>
    </x:xf>
    <x:xf numFmtId="0" fontId="15" fillId="15" borderId="30" xfId="0" applyNumberFormat="1" applyFont="1" applyFill="1" applyBorder="1" applyAlignment="1">
      <x:alignment horizontal="center" vertical="center" wrapText="1"/>
    </x:xf>
    <x:xf numFmtId="0" fontId="22" fillId="15" borderId="30" xfId="0" applyNumberFormat="1" applyFont="1" applyFill="1" applyBorder="1" applyAlignment="1">
      <x:alignment horizontal="center" vertical="center" wrapText="1"/>
    </x:xf>
    <x:xf numFmtId="209" fontId="22" fillId="15" borderId="3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209" fontId="22" fillId="15" borderId="0" xfId="0" applyNumberFormat="1" applyFont="1" applyFill="1" applyBorder="1"/>
    <x:xf numFmtId="209" fontId="22" fillId="15" borderId="0" xfId="0" applyNumberFormat="1" applyFont="1" applyFill="1" applyBorder="1" applyAlignment="1">
      <x:alignment wrapText="1"/>
    </x:xf>
    <x:xf numFmtId="209" fontId="22" fillId="15" borderId="0" xfId="0" applyNumberFormat="1" applyFont="1" applyFill="1" applyBorder="1" applyAlignment="1">
      <x:alignment horizontal="center" wrapText="1"/>
    </x:xf>
    <x:xf numFmtId="209" fontId="22" fillId="15" borderId="0" xfId="0" applyNumberFormat="1" applyFont="1" applyFill="1" applyBorder="1" applyAlignment="1">
      <x:alignment horizontal="center" vertical="center" wrapText="1"/>
    </x:xf>
    <x:xf numFmtId="208" fontId="6" fillId="16" borderId="31" xfId="0" applyNumberFormat="1" applyFont="1" applyFill="1" applyBorder="1" applyAlignment="1">
      <x:alignment vertical="center"/>
    </x:xf>
    <x:xf numFmtId="208" fontId="23" fillId="16" borderId="31" xfId="0" applyNumberFormat="1" applyFont="1" applyFill="1" applyBorder="1" applyAlignment="1">
      <x:alignment vertical="center"/>
    </x:xf>
    <x:xf numFmtId="208" fontId="23" fillId="16" borderId="31" xfId="0" applyNumberFormat="1" applyFont="1" applyFill="1" applyBorder="1" applyAlignment="1">
      <x:alignment vertical="center" wrapText="0"/>
    </x:xf>
    <x:xf numFmtId="208" fontId="23" fillId="16" borderId="31" xfId="0" applyNumberFormat="1" applyFont="1" applyFill="1" applyBorder="1" applyAlignment="1">
      <x:alignment horizontal="right" vertical="center" wrapText="0"/>
    </x:xf>
    <x:xf numFmtId="208" fontId="6" fillId="16" borderId="31" xfId="0" applyNumberFormat="1" applyFont="1" applyFill="1" applyBorder="1" applyAlignment="1">
      <x:alignment vertical="center" wrapText="0"/>
    </x:xf>
    <x:xf numFmtId="202" fontId="6" fillId="16" borderId="31" xfId="0" applyNumberFormat="1" applyFont="1" applyFill="1" applyBorder="1" applyAlignment="1">
      <x:alignment vertical="center"/>
    </x:xf>
    <x:xf numFmtId="202" fontId="23" fillId="16" borderId="31" xfId="0" applyNumberFormat="1" applyFont="1" applyFill="1" applyBorder="1" applyAlignment="1">
      <x:alignment vertical="center"/>
    </x:xf>
    <x:xf numFmtId="202" fontId="23" fillId="16" borderId="31" xfId="0" applyNumberFormat="1" applyFont="1" applyFill="1" applyBorder="1" applyAlignment="1">
      <x:alignment vertical="center" wrapText="0"/>
    </x:xf>
    <x:xf numFmtId="202" fontId="23" fillId="16" borderId="31" xfId="0" applyNumberFormat="1" applyFont="1" applyFill="1" applyBorder="1" applyAlignment="1">
      <x:alignment horizontal="right" vertical="center" wrapText="0"/>
    </x:xf>
    <x:xf numFmtId="202" fontId="20" fillId="16" borderId="19" xfId="0" applyNumberFormat="1" applyFont="1" applyFill="1" applyBorder="1" applyAlignment="1">
      <x:alignment vertical="center"/>
    </x:xf>
    <x:xf numFmtId="202" fontId="23" fillId="16" borderId="19" xfId="0" applyNumberFormat="1" applyFont="1" applyFill="1" applyBorder="1" applyAlignment="1">
      <x:alignment vertical="center"/>
    </x:xf>
    <x:xf numFmtId="202" fontId="23" fillId="16" borderId="19" xfId="0" applyNumberFormat="1" applyFont="1" applyFill="1" applyBorder="1" applyAlignment="1">
      <x:alignment vertical="center" wrapText="0"/>
    </x:xf>
    <x:xf numFmtId="202" fontId="23" fillId="16" borderId="19" xfId="0" applyNumberFormat="1" applyFont="1" applyFill="1" applyBorder="1" applyAlignment="1">
      <x:alignment horizontal="right" vertical="center" wrapText="0"/>
    </x:xf>
    <x:xf numFmtId="0" fontId="0" fillId="17" borderId="0" xfId="0" applyNumberFormat="1" applyFont="1" applyFill="1" applyBorder="1"/>
    <x:xf numFmtId="0" fontId="24" fillId="17" borderId="0" xfId="0" applyNumberFormat="1" applyFont="1" applyFill="1" applyBorder="1"/>
    <x:xf numFmtId="202" fontId="24" fillId="17" borderId="0" xfId="0" applyNumberFormat="1" applyFont="1" applyFill="1" applyBorder="1"/>
    <x:xf numFmtId="202" fontId="24" fillId="17" borderId="0" xfId="0" applyNumberFormat="1" applyFont="1" applyFill="1" applyBorder="1" applyAlignment="1">
      <x:alignment wrapText="0"/>
    </x:xf>
    <x:xf numFmtId="202" fontId="24" fillId="17" borderId="0" xfId="0" applyNumberFormat="1" applyFont="1" applyFill="1" applyBorder="1" applyAlignment="1">
      <x:alignment horizontal="right" wrapText="0"/>
    </x:xf>
    <x:xf numFmtId="202" fontId="24" fillId="17" borderId="0" xfId="0" applyNumberFormat="1" applyFont="1" applyFill="1" applyBorder="1" applyAlignment="1">
      <x:alignment horizontal="right" vertical="center" wrapText="0"/>
    </x:xf>
    <x:xf numFmtId="202" fontId="24" fillId="17" borderId="19" xfId="0" applyNumberFormat="1" applyFont="1" applyFill="1" applyBorder="1" applyAlignment="1">
      <x:alignment horizontal="right" vertical="center" wrapText="0"/>
    </x:xf>
    <x:xf numFmtId="208" fontId="6" fillId="16" borderId="32" xfId="0" applyNumberFormat="1" applyFont="1" applyFill="1" applyBorder="1" applyAlignment="1">
      <x:alignment vertical="center"/>
    </x:xf>
    <x:xf numFmtId="208" fontId="23" fillId="16" borderId="32" xfId="0" applyNumberFormat="1" applyFont="1" applyFill="1" applyBorder="1" applyAlignment="1">
      <x:alignment vertical="center"/>
    </x:xf>
    <x:xf numFmtId="208" fontId="23" fillId="16" borderId="32" xfId="0" applyNumberFormat="1" applyFont="1" applyFill="1" applyBorder="1" applyAlignment="1">
      <x:alignment vertical="center" wrapText="0"/>
    </x:xf>
    <x:xf numFmtId="208" fontId="23" fillId="16" borderId="32" xfId="0" applyNumberFormat="1" applyFont="1" applyFill="1" applyBorder="1" applyAlignment="1">
      <x:alignment horizontal="right" vertical="center" wrapText="0"/>
    </x:xf>
    <x:xf numFmtId="208" fontId="6" fillId="16" borderId="32" xfId="0" applyNumberFormat="1" applyFont="1" applyFill="1" applyBorder="1" applyAlignment="1">
      <x:alignment vertical="center" wrapText="0"/>
    </x:xf>
    <x:xf numFmtId="202" fontId="6" fillId="16" borderId="32" xfId="0" applyNumberFormat="1" applyFont="1" applyFill="1" applyBorder="1" applyAlignment="1">
      <x:alignment vertical="center"/>
    </x:xf>
    <x:xf numFmtId="202" fontId="23" fillId="16" borderId="32" xfId="0" applyNumberFormat="1" applyFont="1" applyFill="1" applyBorder="1" applyAlignment="1">
      <x:alignment vertical="center"/>
    </x:xf>
    <x:xf numFmtId="202" fontId="23" fillId="16" borderId="32" xfId="0" applyNumberFormat="1" applyFont="1" applyFill="1" applyBorder="1" applyAlignment="1">
      <x:alignment vertical="center" wrapText="0"/>
    </x:xf>
    <x:xf numFmtId="202" fontId="23" fillId="16" borderId="32" xfId="0" applyNumberFormat="1" applyFont="1" applyFill="1" applyBorder="1" applyAlignment="1">
      <x:alignment horizontal="right" vertical="center" wrapText="0"/>
    </x:xf>
    <x:xf numFmtId="202" fontId="20" fillId="16" borderId="21" xfId="0" applyNumberFormat="1" applyFont="1" applyFill="1" applyBorder="1" applyAlignment="1">
      <x:alignment vertical="center"/>
    </x:xf>
    <x:xf numFmtId="202" fontId="23" fillId="16" borderId="21" xfId="0" applyNumberFormat="1" applyFont="1" applyFill="1" applyBorder="1" applyAlignment="1">
      <x:alignment vertical="center"/>
    </x:xf>
    <x:xf numFmtId="202" fontId="23" fillId="16" borderId="21" xfId="0" applyNumberFormat="1" applyFont="1" applyFill="1" applyBorder="1" applyAlignment="1">
      <x:alignment vertical="center" wrapText="0"/>
    </x:xf>
    <x:xf numFmtId="202" fontId="23" fillId="16" borderId="21" xfId="0" applyNumberFormat="1" applyFont="1" applyFill="1" applyBorder="1" applyAlignment="1">
      <x:alignment horizontal="right" vertical="center" wrapText="0"/>
    </x:xf>
    <x:xf numFmtId="202" fontId="24" fillId="17" borderId="21" xfId="0" applyNumberFormat="1" applyFont="1" applyFill="1" applyBorder="1" applyAlignment="1">
      <x:alignment horizontal="right" vertical="center" wrapText="0"/>
    </x:xf>
    <x:xf numFmtId="208" fontId="15" fillId="18" borderId="33" xfId="0" applyNumberFormat="1" applyFont="1" applyFill="1" applyBorder="1" applyAlignment="1">
      <x:alignment vertical="center"/>
    </x:xf>
    <x:xf numFmtId="208" fontId="22" fillId="18" borderId="33" xfId="0" applyNumberFormat="1" applyFont="1" applyFill="1" applyBorder="1" applyAlignment="1">
      <x:alignment vertical="center"/>
    </x:xf>
    <x:xf numFmtId="208" fontId="22" fillId="18" borderId="33" xfId="0" applyNumberFormat="1" applyFont="1" applyFill="1" applyBorder="1" applyAlignment="1">
      <x:alignment vertical="center" wrapText="0"/>
    </x:xf>
    <x:xf numFmtId="208" fontId="22" fillId="18" borderId="33" xfId="0" applyNumberFormat="1" applyFont="1" applyFill="1" applyBorder="1" applyAlignment="1">
      <x:alignment horizontal="right" vertical="center" wrapText="0"/>
    </x:xf>
    <x:xf numFmtId="208" fontId="15" fillId="18" borderId="33" xfId="0" applyNumberFormat="1" applyFont="1" applyFill="1" applyBorder="1" applyAlignment="1">
      <x:alignment vertical="center" wrapText="0"/>
    </x:xf>
    <x:xf numFmtId="202" fontId="15" fillId="18" borderId="33" xfId="0" applyNumberFormat="1" applyFont="1" applyFill="1" applyBorder="1" applyAlignment="1">
      <x:alignment vertical="center"/>
    </x:xf>
    <x:xf numFmtId="202" fontId="22" fillId="18" borderId="33" xfId="0" applyNumberFormat="1" applyFont="1" applyFill="1" applyBorder="1" applyAlignment="1">
      <x:alignment vertical="center"/>
    </x:xf>
    <x:xf numFmtId="202" fontId="22" fillId="18" borderId="33" xfId="0" applyNumberFormat="1" applyFont="1" applyFill="1" applyBorder="1" applyAlignment="1">
      <x:alignment vertical="center" wrapText="0"/>
    </x:xf>
    <x:xf numFmtId="202" fontId="22" fillId="18" borderId="33" xfId="0" applyNumberFormat="1" applyFont="1" applyFill="1" applyBorder="1" applyAlignment="1">
      <x:alignment horizontal="right" vertical="center" wrapText="0"/>
    </x:xf>
    <x:xf numFmtId="202" fontId="20" fillId="18" borderId="23" xfId="0" applyNumberFormat="1" applyFont="1" applyFill="1" applyBorder="1" applyAlignment="1">
      <x:alignment vertical="center"/>
    </x:xf>
    <x:xf numFmtId="202" fontId="22" fillId="18" borderId="23" xfId="0" applyNumberFormat="1" applyFont="1" applyFill="1" applyBorder="1" applyAlignment="1">
      <x:alignment vertical="center"/>
    </x:xf>
    <x:xf numFmtId="202" fontId="22" fillId="18" borderId="23" xfId="0" applyNumberFormat="1" applyFont="1" applyFill="1" applyBorder="1" applyAlignment="1">
      <x:alignment vertical="center" wrapText="0"/>
    </x:xf>
    <x:xf numFmtId="202" fontId="22" fillId="18" borderId="23" xfId="0" applyNumberFormat="1" applyFont="1" applyFill="1" applyBorder="1" applyAlignment="1">
      <x:alignment horizontal="right" vertical="center" wrapText="0"/>
    </x:xf>
    <x:xf numFmtId="202" fontId="24" fillId="17" borderId="23" xfId="0" applyNumberFormat="1" applyFont="1" applyFill="1" applyBorder="1" applyAlignment="1">
      <x:alignment horizontal="right" vertical="center" wrapText="0"/>
    </x:xf>
    <x:xf numFmtId="208" fontId="15" fillId="15" borderId="29" xfId="0" applyNumberFormat="1" applyFont="1" applyFill="1" applyBorder="1" applyAlignment="1">
      <x:alignment horizontal="center" vertical="center" wrapText="1"/>
    </x:xf>
    <x:xf numFmtId="208" fontId="22" fillId="15" borderId="29" xfId="0" applyNumberFormat="1" applyFont="1" applyFill="1" applyBorder="1" applyAlignment="1">
      <x:alignment horizontal="center" vertical="center" wrapText="1"/>
    </x:xf>
    <x:xf numFmtId="202" fontId="15" fillId="15" borderId="29" xfId="0" applyNumberFormat="1" applyFont="1" applyFill="1" applyBorder="1" applyAlignment="1">
      <x:alignment horizontal="center" vertical="center" wrapText="1"/>
    </x:xf>
    <x:xf numFmtId="202" fontId="22" fillId="15" borderId="29" xfId="0" applyNumberFormat="1" applyFont="1" applyFill="1" applyBorder="1" applyAlignment="1">
      <x:alignment horizontal="center" vertical="center" wrapText="1"/>
    </x:xf>
    <x:xf numFmtId="202" fontId="15" fillId="15" borderId="30" xfId="0" applyNumberFormat="1" applyFont="1" applyFill="1" applyBorder="1" applyAlignment="1">
      <x:alignment horizontal="center" vertical="center" wrapText="1"/>
    </x:xf>
    <x:xf numFmtId="202" fontId="22" fillId="15" borderId="30" xfId="0" applyNumberFormat="1" applyFont="1" applyFill="1" applyBorder="1" applyAlignment="1">
      <x:alignment horizontal="center" vertical="center" wrapText="1"/>
    </x:xf>
    <x:xf numFmtId="202" fontId="22" fillId="15" borderId="0" xfId="0" applyNumberFormat="1" applyFont="1" applyFill="1" applyBorder="1"/>
    <x:xf numFmtId="202" fontId="22" fillId="15" borderId="0" xfId="0" applyNumberFormat="1" applyFont="1" applyFill="1" applyBorder="1" applyAlignment="1">
      <x:alignment wrapText="1"/>
    </x:xf>
    <x:xf numFmtId="202" fontId="22" fillId="15" borderId="0" xfId="0" applyNumberFormat="1" applyFont="1" applyFill="1" applyBorder="1" applyAlignment="1">
      <x:alignment horizontal="center" wrapText="1"/>
    </x:xf>
    <x:xf numFmtId="202" fontId="22" fillId="15" borderId="0" xfId="0" applyNumberFormat="1" applyFont="1" applyFill="1" applyBorder="1" applyAlignment="1">
      <x:alignment horizontal="center" vertical="center" wrapText="1"/>
    </x:xf>
    <x:xf numFmtId="208" fontId="15" fillId="18" borderId="31" xfId="0" applyNumberFormat="1" applyFont="1" applyFill="1" applyBorder="1" applyAlignment="1">
      <x:alignment vertical="center"/>
    </x:xf>
    <x:xf numFmtId="208" fontId="22" fillId="18" borderId="31" xfId="0" applyNumberFormat="1" applyFont="1" applyFill="1" applyBorder="1" applyAlignment="1">
      <x:alignment vertical="center"/>
    </x:xf>
    <x:xf numFmtId="208" fontId="22" fillId="18" borderId="31" xfId="0" applyNumberFormat="1" applyFont="1" applyFill="1" applyBorder="1" applyAlignment="1">
      <x:alignment vertical="center" wrapText="0"/>
    </x:xf>
    <x:xf numFmtId="208" fontId="22" fillId="18" borderId="31" xfId="0" applyNumberFormat="1" applyFont="1" applyFill="1" applyBorder="1" applyAlignment="1">
      <x:alignment horizontal="right" vertical="center" wrapText="0"/>
    </x:xf>
    <x:xf numFmtId="208" fontId="15" fillId="18" borderId="31" xfId="0" applyNumberFormat="1" applyFont="1" applyFill="1" applyBorder="1" applyAlignment="1">
      <x:alignment vertical="center" wrapText="0"/>
    </x:xf>
    <x:xf numFmtId="202" fontId="15" fillId="18" borderId="31" xfId="0" applyNumberFormat="1" applyFont="1" applyFill="1" applyBorder="1" applyAlignment="1">
      <x:alignment vertical="center"/>
    </x:xf>
    <x:xf numFmtId="202" fontId="22" fillId="18" borderId="31" xfId="0" applyNumberFormat="1" applyFont="1" applyFill="1" applyBorder="1" applyAlignment="1">
      <x:alignment vertical="center"/>
    </x:xf>
    <x:xf numFmtId="202" fontId="22" fillId="18" borderId="31" xfId="0" applyNumberFormat="1" applyFont="1" applyFill="1" applyBorder="1" applyAlignment="1">
      <x:alignment vertical="center" wrapText="0"/>
    </x:xf>
    <x:xf numFmtId="202" fontId="22" fillId="18" borderId="31" xfId="0" applyNumberFormat="1" applyFont="1" applyFill="1" applyBorder="1" applyAlignment="1">
      <x:alignment horizontal="right" vertical="center" wrapText="0"/>
    </x:xf>
    <x:xf numFmtId="202" fontId="20" fillId="18" borderId="19" xfId="0" applyNumberFormat="1" applyFont="1" applyFill="1" applyBorder="1" applyAlignment="1">
      <x:alignment vertical="center"/>
    </x:xf>
    <x:xf numFmtId="202" fontId="22" fillId="18" borderId="19" xfId="0" applyNumberFormat="1" applyFont="1" applyFill="1" applyBorder="1" applyAlignment="1">
      <x:alignment vertical="center"/>
    </x:xf>
    <x:xf numFmtId="202" fontId="22" fillId="18" borderId="19" xfId="0" applyNumberFormat="1" applyFont="1" applyFill="1" applyBorder="1" applyAlignment="1">
      <x:alignment vertical="center" wrapText="0"/>
    </x:xf>
    <x:xf numFmtId="202" fontId="22" fillId="18" borderId="19" xfId="0" applyNumberFormat="1" applyFont="1" applyFill="1" applyBorder="1" applyAlignment="1">
      <x:alignment horizontal="right" vertical="center" wrapText="0"/>
    </x:xf>
    <x:xf numFmtId="208" fontId="6" fillId="16" borderId="33" xfId="0" applyNumberFormat="1" applyFont="1" applyFill="1" applyBorder="1" applyAlignment="1">
      <x:alignment vertical="center"/>
    </x:xf>
    <x:xf numFmtId="208" fontId="23" fillId="16" borderId="33" xfId="0" applyNumberFormat="1" applyFont="1" applyFill="1" applyBorder="1" applyAlignment="1">
      <x:alignment vertical="center"/>
    </x:xf>
    <x:xf numFmtId="208" fontId="23" fillId="16" borderId="33" xfId="0" applyNumberFormat="1" applyFont="1" applyFill="1" applyBorder="1" applyAlignment="1">
      <x:alignment vertical="center" wrapText="0"/>
    </x:xf>
    <x:xf numFmtId="208" fontId="23" fillId="16" borderId="33" xfId="0" applyNumberFormat="1" applyFont="1" applyFill="1" applyBorder="1" applyAlignment="1">
      <x:alignment horizontal="right" vertical="center" wrapText="0"/>
    </x:xf>
    <x:xf numFmtId="208" fontId="6" fillId="16" borderId="33" xfId="0" applyNumberFormat="1" applyFont="1" applyFill="1" applyBorder="1" applyAlignment="1">
      <x:alignment vertical="center" wrapText="0"/>
    </x:xf>
    <x:xf numFmtId="202" fontId="6" fillId="16" borderId="33" xfId="0" applyNumberFormat="1" applyFont="1" applyFill="1" applyBorder="1" applyAlignment="1">
      <x:alignment vertical="center"/>
    </x:xf>
    <x:xf numFmtId="202" fontId="23" fillId="16" borderId="33" xfId="0" applyNumberFormat="1" applyFont="1" applyFill="1" applyBorder="1" applyAlignment="1">
      <x:alignment vertical="center"/>
    </x:xf>
    <x:xf numFmtId="202" fontId="23" fillId="16" borderId="33" xfId="0" applyNumberFormat="1" applyFont="1" applyFill="1" applyBorder="1" applyAlignment="1">
      <x:alignment vertical="center" wrapText="0"/>
    </x:xf>
    <x:xf numFmtId="202" fontId="23" fillId="16" borderId="33" xfId="0" applyNumberFormat="1" applyFont="1" applyFill="1" applyBorder="1" applyAlignment="1">
      <x:alignment horizontal="right" vertical="center" wrapText="0"/>
    </x:xf>
    <x:xf numFmtId="202" fontId="20" fillId="16" borderId="23" xfId="0" applyNumberFormat="1" applyFont="1" applyFill="1" applyBorder="1" applyAlignment="1">
      <x:alignment vertical="center"/>
    </x:xf>
    <x:xf numFmtId="202" fontId="23" fillId="16" borderId="23" xfId="0" applyNumberFormat="1" applyFont="1" applyFill="1" applyBorder="1" applyAlignment="1">
      <x:alignment vertical="center"/>
    </x:xf>
    <x:xf numFmtId="202" fontId="23" fillId="16" borderId="23" xfId="0" applyNumberFormat="1" applyFont="1" applyFill="1" applyBorder="1" applyAlignment="1">
      <x:alignment vertical="center" wrapText="0"/>
    </x:xf>
    <x:xf numFmtId="202" fontId="23" fillId="16" borderId="23" xfId="0" applyNumberFormat="1" applyFont="1" applyFill="1" applyBorder="1" applyAlignment="1">
      <x:alignment horizontal="right" vertical="center" wrapText="0"/>
    </x:xf>
    <x:xf numFmtId="0" fontId="0" fillId="15" borderId="0" xfId="0" applyNumberFormat="1" applyFont="1" applyFill="1" applyBorder="1" applyAlignment="1">
      <x:alignment vertical="center"/>
    </x:xf>
    <x:xf numFmtId="0" fontId="22" fillId="15" borderId="0" xfId="0" applyNumberFormat="1" applyFont="1" applyFill="1" applyBorder="1" applyAlignment="1">
      <x:alignment vertical="center"/>
    </x:xf>
    <x:xf numFmtId="209" fontId="22" fillId="15" borderId="0" xfId="0" applyNumberFormat="1" applyFont="1" applyFill="1" applyBorder="1" applyAlignment="1">
      <x:alignment vertical="center"/>
    </x:xf>
    <x:xf numFmtId="209" fontId="22" fillId="15" borderId="0" xfId="0" applyNumberFormat="1" applyFont="1" applyFill="1" applyBorder="1" applyAlignment="1">
      <x:alignment vertical="center" wrapText="1"/>
    </x:xf>
    <x:xf numFmtId="207" fontId="6" fillId="16" borderId="31" xfId="0" applyNumberFormat="1" applyFont="1" applyFill="1" applyBorder="1" applyAlignment="1">
      <x:alignment vertical="center"/>
    </x:xf>
    <x:xf numFmtId="207" fontId="23" fillId="16" borderId="31" xfId="0" applyNumberFormat="1" applyFont="1" applyFill="1" applyBorder="1" applyAlignment="1">
      <x:alignment vertical="center"/>
    </x:xf>
    <x:xf numFmtId="0" fontId="6" fillId="16" borderId="31" xfId="0" applyNumberFormat="1" applyFont="1" applyFill="1" applyBorder="1" applyAlignment="1">
      <x:alignment vertical="center"/>
    </x:xf>
    <x:xf numFmtId="0" fontId="23" fillId="16" borderId="31" xfId="0" applyNumberFormat="1" applyFont="1" applyFill="1" applyBorder="1" applyAlignment="1">
      <x:alignment vertical="center"/>
    </x:xf>
    <x:xf numFmtId="207" fontId="23" fillId="16" borderId="31" xfId="0" applyNumberFormat="1" applyFont="1" applyFill="1" applyBorder="1" applyAlignment="1">
      <x:alignment vertical="center" wrapText="0"/>
    </x:xf>
    <x:xf numFmtId="207" fontId="23" fillId="16" borderId="31" xfId="0" applyNumberFormat="1" applyFont="1" applyFill="1" applyBorder="1" applyAlignment="1">
      <x:alignment horizontal="right" vertical="center" wrapText="0"/>
    </x:xf>
    <x:xf numFmtId="207" fontId="6" fillId="16" borderId="32" xfId="0" applyNumberFormat="1" applyFont="1" applyFill="1" applyBorder="1" applyAlignment="1">
      <x:alignment vertical="center"/>
    </x:xf>
    <x:xf numFmtId="207" fontId="23" fillId="16" borderId="32" xfId="0" applyNumberFormat="1" applyFont="1" applyFill="1" applyBorder="1" applyAlignment="1">
      <x:alignment vertical="center"/>
    </x:xf>
    <x:xf numFmtId="0" fontId="6" fillId="16" borderId="32" xfId="0" applyNumberFormat="1" applyFont="1" applyFill="1" applyBorder="1" applyAlignment="1">
      <x:alignment vertical="center"/>
    </x:xf>
    <x:xf numFmtId="0" fontId="23" fillId="16" borderId="32" xfId="0" applyNumberFormat="1" applyFont="1" applyFill="1" applyBorder="1" applyAlignment="1">
      <x:alignment vertical="center"/>
    </x:xf>
    <x:xf numFmtId="207" fontId="23" fillId="16" borderId="32" xfId="0" applyNumberFormat="1" applyFont="1" applyFill="1" applyBorder="1" applyAlignment="1">
      <x:alignment vertical="center" wrapText="0"/>
    </x:xf>
    <x:xf numFmtId="207" fontId="23" fillId="16" borderId="32" xfId="0" applyNumberFormat="1" applyFont="1" applyFill="1" applyBorder="1" applyAlignment="1">
      <x:alignment horizontal="right" vertical="center" wrapText="0"/>
    </x:xf>
    <x:xf numFmtId="208" fontId="21" fillId="19" borderId="34" xfId="0" applyNumberFormat="1" applyFont="1" applyFill="1" applyBorder="1" applyAlignment="1">
      <x:alignment vertical="center"/>
    </x:xf>
    <x:xf numFmtId="208" fontId="25" fillId="19" borderId="34" xfId="0" applyNumberFormat="1" applyFont="1" applyFill="1" applyBorder="1" applyAlignment="1">
      <x:alignment vertical="center"/>
    </x:xf>
    <x:xf numFmtId="208" fontId="25" fillId="19" borderId="34" xfId="0" applyNumberFormat="1" applyFont="1" applyFill="1" applyBorder="1" applyAlignment="1">
      <x:alignment vertical="center" wrapText="0"/>
    </x:xf>
    <x:xf numFmtId="208" fontId="25" fillId="19" borderId="34" xfId="0" applyNumberFormat="1" applyFont="1" applyFill="1" applyBorder="1" applyAlignment="1">
      <x:alignment horizontal="right" vertical="center" wrapText="0"/>
    </x:xf>
    <x:xf numFmtId="208" fontId="21" fillId="19" borderId="34" xfId="0" applyNumberFormat="1" applyFont="1" applyFill="1" applyBorder="1" applyAlignment="1">
      <x:alignment vertical="center" wrapText="0"/>
    </x:xf>
    <x:xf numFmtId="202" fontId="21" fillId="19" borderId="34" xfId="0" applyNumberFormat="1" applyFont="1" applyFill="1" applyBorder="1" applyAlignment="1">
      <x:alignment vertical="center"/>
    </x:xf>
    <x:xf numFmtId="202" fontId="25" fillId="19" borderId="34" xfId="0" applyNumberFormat="1" applyFont="1" applyFill="1" applyBorder="1" applyAlignment="1">
      <x:alignment vertical="center"/>
    </x:xf>
    <x:xf numFmtId="202" fontId="25" fillId="19" borderId="34" xfId="0" applyNumberFormat="1" applyFont="1" applyFill="1" applyBorder="1" applyAlignment="1">
      <x:alignment vertical="center" wrapText="0"/>
    </x:xf>
    <x:xf numFmtId="202" fontId="25" fillId="19" borderId="34" xfId="0" applyNumberFormat="1" applyFont="1" applyFill="1" applyBorder="1" applyAlignment="1">
      <x:alignment horizontal="right" vertical="center" wrapText="0"/>
    </x:xf>
    <x:xf numFmtId="207" fontId="21" fillId="19" borderId="34" xfId="0" applyNumberFormat="1" applyFont="1" applyFill="1" applyBorder="1" applyAlignment="1">
      <x:alignment vertical="center"/>
    </x:xf>
    <x:xf numFmtId="207" fontId="25" fillId="19" borderId="34" xfId="0" applyNumberFormat="1" applyFont="1" applyFill="1" applyBorder="1" applyAlignment="1">
      <x:alignment vertical="center"/>
    </x:xf>
    <x:xf numFmtId="0" fontId="21" fillId="19" borderId="34" xfId="0" applyNumberFormat="1" applyFont="1" applyFill="1" applyBorder="1" applyAlignment="1">
      <x:alignment vertical="center"/>
    </x:xf>
    <x:xf numFmtId="0" fontId="25" fillId="19" borderId="34" xfId="0" applyNumberFormat="1" applyFont="1" applyFill="1" applyBorder="1" applyAlignment="1">
      <x:alignment vertical="center"/>
    </x:xf>
    <x:xf numFmtId="207" fontId="25" fillId="19" borderId="34" xfId="0" applyNumberFormat="1" applyFont="1" applyFill="1" applyBorder="1" applyAlignment="1">
      <x:alignment vertical="center" wrapText="0"/>
    </x:xf>
    <x:xf numFmtId="207" fontId="25" fillId="19" borderId="34" xfId="0" applyNumberFormat="1" applyFont="1" applyFill="1" applyBorder="1" applyAlignment="1">
      <x:alignment horizontal="right" vertical="center" wrapText="0"/>
    </x:xf>
    <x:xf numFmtId="209" fontId="25" fillId="19" borderId="34" xfId="0" applyNumberFormat="1" applyFont="1" applyFill="1" applyBorder="1" applyAlignment="1">
      <x:alignment vertical="center"/>
    </x:xf>
    <x:xf numFmtId="209" fontId="25" fillId="19" borderId="34" xfId="0" applyNumberFormat="1" applyFont="1" applyFill="1" applyBorder="1" applyAlignment="1">
      <x:alignment vertical="center" wrapText="0"/>
    </x:xf>
    <x:xf numFmtId="209" fontId="25" fillId="19" borderId="34" xfId="0" applyNumberFormat="1" applyFont="1" applyFill="1" applyBorder="1" applyAlignment="1">
      <x:alignment horizontal="right" vertical="center" wrapText="0"/>
    </x:xf>
    <x:xf numFmtId="0" fontId="0" fillId="19" borderId="0" xfId="0" applyNumberFormat="1" applyFont="1" applyFill="1" applyBorder="1"/>
    <x:xf numFmtId="0" fontId="25" fillId="19" borderId="0" xfId="0" applyNumberFormat="1" applyFont="1" applyFill="1" applyBorder="1"/>
    <x:xf numFmtId="202" fontId="25" fillId="19" borderId="0" xfId="0" applyNumberFormat="1" applyFont="1" applyFill="1" applyBorder="1"/>
    <x:xf numFmtId="202" fontId="25" fillId="19" borderId="0" xfId="0" applyNumberFormat="1" applyFont="1" applyFill="1" applyBorder="1" applyAlignment="1">
      <x:alignment wrapText="0"/>
    </x:xf>
    <x:xf numFmtId="202" fontId="25" fillId="19" borderId="0" xfId="0" applyNumberFormat="1" applyFont="1" applyFill="1" applyBorder="1" applyAlignment="1">
      <x:alignment horizontal="right" wrapText="0"/>
    </x:xf>
    <x:xf numFmtId="202" fontId="25" fillId="19" borderId="0" xfId="0" applyNumberFormat="1" applyFont="1" applyFill="1" applyBorder="1" applyAlignment="1">
      <x:alignment horizontal="right" vertical="center" wrapText="0"/>
    </x:xf>
    <x:xf numFmtId="0" fontId="5" fillId="20" borderId="3" xfId="0" applyNumberFormat="1" applyFont="1" applyFill="1" applyBorder="1" applyAlignment="1">
      <x:alignment horizontal="center" vertical="center" wrapText="1"/>
    </x:xf>
    <x:xf numFmtId="0" fontId="26" fillId="20" borderId="3" xfId="0" applyNumberFormat="1" applyFont="1" applyFill="1" applyBorder="1" applyAlignment="1">
      <x:alignment horizontal="center" vertical="center" wrapText="1"/>
    </x:xf>
    <x:xf numFmtId="209" fontId="26" fillId="20" borderId="3" xfId="0" applyNumberFormat="1" applyFont="1" applyFill="1" applyBorder="1" applyAlignment="1">
      <x:alignment horizontal="center" vertical="center" wrapText="1"/>
    </x:xf>
    <x:xf numFmtId="208" fontId="5" fillId="20" borderId="3" xfId="0" applyNumberFormat="1" applyFont="1" applyFill="1" applyBorder="1" applyAlignment="1">
      <x:alignment horizontal="center" vertical="center" wrapText="0"/>
    </x:xf>
    <x:xf numFmtId="208" fontId="26" fillId="20" borderId="3" xfId="0" applyNumberFormat="1" applyFont="1" applyFill="1" applyBorder="1" applyAlignment="1">
      <x:alignment horizontal="center" vertical="center" wrapText="0"/>
    </x:xf>
    <x:xf numFmtId="209" fontId="26" fillId="20" borderId="3" xfId="0" applyNumberFormat="1" applyFont="1" applyFill="1" applyBorder="1" applyAlignment="1">
      <x:alignment horizontal="center" vertical="center" wrapText="0"/>
    </x:xf>
    <x:xf numFmtId="0" fontId="5" fillId="20" borderId="4" xfId="0" applyNumberFormat="1" applyFont="1" applyFill="1" applyBorder="1" applyAlignment="1">
      <x:alignment horizontal="center" vertical="center" wrapText="1"/>
    </x:xf>
    <x:xf numFmtId="0" fontId="26" fillId="20" borderId="4" xfId="0" applyNumberFormat="1" applyFont="1" applyFill="1" applyBorder="1" applyAlignment="1">
      <x:alignment horizontal="center" vertical="center" wrapText="1"/>
    </x:xf>
    <x:xf numFmtId="209" fontId="26" fillId="20" borderId="4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 applyAlignment="1">
      <x:alignment vertical="center"/>
    </x:xf>
    <x:xf numFmtId="0" fontId="26" fillId="20" borderId="0" xfId="0" applyNumberFormat="1" applyFont="1" applyFill="1" applyBorder="1" applyAlignment="1">
      <x:alignment vertical="center"/>
    </x:xf>
    <x:xf numFmtId="209" fontId="26" fillId="20" borderId="0" xfId="0" applyNumberFormat="1" applyFont="1" applyFill="1" applyBorder="1" applyAlignment="1">
      <x:alignment vertical="center"/>
    </x:xf>
    <x:xf numFmtId="209" fontId="26" fillId="20" borderId="0" xfId="0" applyNumberFormat="1" applyFont="1" applyFill="1" applyBorder="1" applyAlignment="1">
      <x:alignment vertical="center" wrapText="1"/>
    </x:xf>
    <x:xf numFmtId="209" fontId="26" fillId="20" borderId="0" xfId="0" applyNumberFormat="1" applyFont="1" applyFill="1" applyBorder="1" applyAlignment="1">
      <x:alignment horizontal="center" vertical="center" wrapText="1"/>
    </x:xf>
    <x:xf numFmtId="202" fontId="6" fillId="16" borderId="5" xfId="0" applyNumberFormat="1" applyFont="1" applyFill="1" applyBorder="1" applyAlignment="1">
      <x:alignment vertical="center"/>
    </x:xf>
    <x:xf numFmtId="202" fontId="23" fillId="16" borderId="5" xfId="0" applyNumberFormat="1" applyFont="1" applyFill="1" applyBorder="1" applyAlignment="1">
      <x:alignment vertical="center"/>
    </x:xf>
    <x:xf numFmtId="202" fontId="23" fillId="16" borderId="5" xfId="0" applyNumberFormat="1" applyFont="1" applyFill="1" applyBorder="1" applyAlignment="1">
      <x:alignment vertical="center" wrapText="0"/>
    </x:xf>
    <x:xf numFmtId="202" fontId="23" fillId="16" borderId="5" xfId="0" applyNumberFormat="1" applyFont="1" applyFill="1" applyBorder="1" applyAlignment="1">
      <x:alignment horizontal="right" vertical="center" wrapText="0"/>
    </x:xf>
    <x:xf numFmtId="208" fontId="6" fillId="16" borderId="5" xfId="0" applyNumberFormat="1" applyFont="1" applyFill="1" applyBorder="1" applyAlignment="1">
      <x:alignment vertical="center" wrapText="0"/>
    </x:xf>
    <x:xf numFmtId="208" fontId="23" fillId="16" borderId="5" xfId="0" applyNumberFormat="1" applyFont="1" applyFill="1" applyBorder="1" applyAlignment="1">
      <x:alignment vertical="center" wrapText="0"/>
    </x:xf>
    <x:xf numFmtId="208" fontId="23" fillId="16" borderId="5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 applyAlignment="1">
      <x:alignment vertical="center"/>
    </x:xf>
    <x:xf numFmtId="0" fontId="23" fillId="16" borderId="0" xfId="0" applyNumberFormat="1" applyFont="1" applyFill="1" applyBorder="1" applyAlignment="1">
      <x:alignment vertical="center"/>
    </x:xf>
    <x:xf numFmtId="202" fontId="23" fillId="16" borderId="0" xfId="0" applyNumberFormat="1" applyFont="1" applyFill="1" applyBorder="1" applyAlignment="1">
      <x:alignment vertical="center"/>
    </x:xf>
    <x:xf numFmtId="202" fontId="23" fillId="16" borderId="0" xfId="0" applyNumberFormat="1" applyFont="1" applyFill="1" applyBorder="1" applyAlignment="1">
      <x:alignment vertical="center" wrapText="0"/>
    </x:xf>
    <x:xf numFmtId="202" fontId="23" fillId="16" borderId="0" xfId="0" applyNumberFormat="1" applyFont="1" applyFill="1" applyBorder="1" applyAlignment="1">
      <x:alignment horizontal="right" vertical="center" wrapText="0"/>
    </x:xf>
    <x:xf numFmtId="202" fontId="6" fillId="16" borderId="6" xfId="0" applyNumberFormat="1" applyFont="1" applyFill="1" applyBorder="1" applyAlignment="1">
      <x:alignment vertical="center"/>
    </x:xf>
    <x:xf numFmtId="202" fontId="23" fillId="16" borderId="6" xfId="0" applyNumberFormat="1" applyFont="1" applyFill="1" applyBorder="1" applyAlignment="1">
      <x:alignment vertical="center"/>
    </x:xf>
    <x:xf numFmtId="202" fontId="23" fillId="16" borderId="6" xfId="0" applyNumberFormat="1" applyFont="1" applyFill="1" applyBorder="1" applyAlignment="1">
      <x:alignment vertical="center" wrapText="0"/>
    </x:xf>
    <x:xf numFmtId="202" fontId="23" fillId="16" borderId="6" xfId="0" applyNumberFormat="1" applyFont="1" applyFill="1" applyBorder="1" applyAlignment="1">
      <x:alignment horizontal="right" vertical="center" wrapText="0"/>
    </x:xf>
    <x:xf numFmtId="208" fontId="6" fillId="16" borderId="6" xfId="0" applyNumberFormat="1" applyFont="1" applyFill="1" applyBorder="1" applyAlignment="1">
      <x:alignment vertical="center" wrapText="0"/>
    </x:xf>
    <x:xf numFmtId="208" fontId="23" fillId="16" borderId="6" xfId="0" applyNumberFormat="1" applyFont="1" applyFill="1" applyBorder="1" applyAlignment="1">
      <x:alignment vertical="center" wrapText="0"/>
    </x:xf>
    <x:xf numFmtId="208" fontId="23" fillId="16" borderId="6" xfId="0" applyNumberFormat="1" applyFont="1" applyFill="1" applyBorder="1" applyAlignment="1">
      <x:alignment horizontal="right" vertical="center" wrapText="0"/>
    </x:xf>
    <x:xf numFmtId="202" fontId="6" fillId="16" borderId="7" xfId="0" applyNumberFormat="1" applyFont="1" applyFill="1" applyBorder="1" applyAlignment="1">
      <x:alignment vertical="center"/>
    </x:xf>
    <x:xf numFmtId="202" fontId="23" fillId="16" borderId="7" xfId="0" applyNumberFormat="1" applyFont="1" applyFill="1" applyBorder="1" applyAlignment="1">
      <x:alignment vertical="center"/>
    </x:xf>
    <x:xf numFmtId="202" fontId="23" fillId="16" borderId="7" xfId="0" applyNumberFormat="1" applyFont="1" applyFill="1" applyBorder="1" applyAlignment="1">
      <x:alignment vertical="center" wrapText="0"/>
    </x:xf>
    <x:xf numFmtId="202" fontId="23" fillId="16" borderId="7" xfId="0" applyNumberFormat="1" applyFont="1" applyFill="1" applyBorder="1" applyAlignment="1">
      <x:alignment horizontal="right" vertical="center" wrapText="0"/>
    </x:xf>
    <x:xf numFmtId="208" fontId="6" fillId="16" borderId="7" xfId="0" applyNumberFormat="1" applyFont="1" applyFill="1" applyBorder="1" applyAlignment="1">
      <x:alignment vertical="center" wrapText="0"/>
    </x:xf>
    <x:xf numFmtId="208" fontId="23" fillId="16" borderId="7" xfId="0" applyNumberFormat="1" applyFont="1" applyFill="1" applyBorder="1" applyAlignment="1">
      <x:alignment vertical="center" wrapText="0"/>
    </x:xf>
    <x:xf numFmtId="208" fontId="23" fillId="16" borderId="7" xfId="0" applyNumberFormat="1" applyFont="1" applyFill="1" applyBorder="1" applyAlignment="1">
      <x:alignment horizontal="right" vertical="center" wrapText="0"/>
    </x:xf>
    <x:xf numFmtId="0" fontId="27" fillId="0" borderId="0" xfId="0" applyNumberFormat="1" applyFont="1" applyFill="1" applyBorder="1"/>
    <x:xf numFmtId="210" fontId="27" fillId="0" borderId="0" xfId="0" applyNumberFormat="1" applyFont="1" applyFill="1" applyBorder="1"/>
    <x:xf numFmtId="211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left" wrapText="1"/>
    </x:xf>
  </x:cellXfs>
  <x:cellStyles count="1">
    <x:cellStyle name="Normal" xfId="0"/>
  </x:cellStyles>
  <x:dxfs count="5"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0ce2bfb7ac4f2f" /><Relationship Type="http://schemas.openxmlformats.org/officeDocument/2006/relationships/theme" Target="/xl/theme/theme1.xml" Id="R34d50911e0a74a00" /><Relationship Type="http://schemas.openxmlformats.org/officeDocument/2006/relationships/sharedStrings" Target="/xl/sharedStrings.xml" Id="R568eaef3872f421b" /><Relationship Type="http://schemas.openxmlformats.org/officeDocument/2006/relationships/worksheet" Target="/xl/worksheets/sheet1.xml" Id="R07960734c4244702" /><Relationship Type="http://schemas.openxmlformats.org/officeDocument/2006/relationships/worksheet" Target="/xl/worksheets/sheet2.xml" Id="R790cfe9196f04fe7" /><Relationship Type="http://schemas.openxmlformats.org/officeDocument/2006/relationships/worksheet" Target="/xl/worksheets/sheet3.xml" Id="Rd4c0c5c45eae4e9c" /><Relationship Type="http://schemas.openxmlformats.org/officeDocument/2006/relationships/worksheet" Target="/xl/worksheets/sheet4.xml" Id="R86f2a228e9f9400c" /><Relationship Type="http://schemas.openxmlformats.org/officeDocument/2006/relationships/worksheet" Target="/xl/worksheets/sheet5.xml" Id="R1cc01e53c52e415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18" topLeftCell="A1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0" hidden="0" customWidth="1"/>
    <col min="4" max="4" width="19" hidden="0" customWidth="1"/>
    <col min="5" max="5" width="20" hidden="0" customWidth="1"/>
    <col min="6" max="6" width="19" hidden="0" customWidth="1"/>
    <col min="7" max="7" width="19" hidden="0" customWidth="1"/>
    <col min="8" max="8" width="20" hidden="0" customWidth="1"/>
    <col min="9" max="9" width="20" hidden="0" customWidth="1"/>
    <col min="10" max="10" width="19" hidden="0" customWidth="1"/>
    <col min="11" max="11" width="20" hidden="0" customWidth="1"/>
    <col min="12" max="12" width="19" hidden="0" customWidth="1"/>
    <col min="13" max="13" width="20" hidden="0" customWidth="1"/>
  </cols>
  <sheetData>
    <row r="2" ht="20" customHeight="1">
      <c r="C2" s="114" t="str">
        <v>Flap · 发射控筹模型</v>
      </c>
      <c r="D2" s="115"/>
      <c r="E2" s="115"/>
      <c r="F2" s="115"/>
      <c r="G2" s="115"/>
      <c r="H2" s="115"/>
      <c r="I2" s="115"/>
      <c r="J2" s="115"/>
      <c r="K2" s="115"/>
      <c r="L2" s="116"/>
    </row>
    <row r="3" ht="20" customHeight="1">
      <c r="C3" s="120" t="str">
        <v>蓝色单元格可编辑；绿色为计算结果。Quote 资金按所选资产计价，Gas 单独以 BNB 计价。</v>
      </c>
      <c r="D3" s="120"/>
      <c r="E3" s="120"/>
      <c r="F3" s="120"/>
      <c r="G3" s="120"/>
      <c r="H3" s="120"/>
      <c r="I3" s="120"/>
      <c r="J3" s="120"/>
      <c r="K3" s="120"/>
      <c r="L3" s="12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  <c r="L4" s="245"/>
    </row>
    <row r="5" ht="20" customHeight="1">
      <c r="C5" s="124" t="str">
        <v>模型参数</v>
      </c>
      <c r="D5" s="125"/>
      <c r="E5" s="124" t="str">
        <v>曲线常数</v>
      </c>
      <c r="F5" s="125"/>
      <c r="G5" s="124" t="str">
        <v>执行参数</v>
      </c>
      <c r="H5" s="125"/>
      <c r="I5" s="124" t="str">
        <v>资金结果</v>
      </c>
      <c r="J5" s="125"/>
      <c r="K5" s="124" t="str">
        <v>Quote 信息</v>
      </c>
      <c r="L5" s="125"/>
    </row>
    <row r="6" ht="20" customHeight="1">
      <c r="C6" s="132" t="str">
        <v>Quote</v>
      </c>
      <c r="D6" s="142" t="str">
        <v>SPCXB</v>
      </c>
      <c r="E6" s="132" t="str">
        <v>内盘 k</v>
      </c>
      <c r="F6" s="151">
        <f>'单币测算'!$I$13</f>
      </c>
      <c r="G6" s="132" t="str">
        <v>模型状态</v>
      </c>
      <c r="H6" s="156">
        <f>'单币测算'!$D$26</f>
      </c>
      <c r="I6" s="132" t="str">
        <v>预算使用控筹率</v>
      </c>
      <c r="J6" s="240">
        <f>'单币测算'!$D$25</f>
      </c>
      <c r="K6" s="132" t="str">
        <v>Quote 名称</v>
      </c>
      <c r="L6" s="151">
        <f>'单币测算'!$I$8</f>
      </c>
    </row>
    <row r="7" ht="20" customHeight="1">
      <c r="C7" s="134" t="str">
        <v>Quote / USDT 价格</v>
      </c>
      <c r="D7" s="143">
        <f>IF(VLOOKUP($D$6,'Quote参数'!$E$14:$P$36,12,FALSE)=0,"",VLOOKUP($D$6,'Quote参数'!$E$14:$P$36,12,FALSE))</f>
      </c>
      <c r="E7" s="134" t="str">
        <v>外盘初始 token</v>
      </c>
      <c r="F7" s="152">
        <f>'单币测算'!$I$15</f>
      </c>
      <c r="G7" s="134" t="str">
        <v>单地址 Gas / BNB</v>
      </c>
      <c r="H7" s="142" t="n">
        <v>0.01</v>
      </c>
      <c r="I7" s="134" t="str">
        <v>目标+1% 理论累计</v>
      </c>
      <c r="J7" s="241">
        <f>'单币测算'!$D$34</f>
      </c>
      <c r="K7" s="134" t="str">
        <v>Quote 合约</v>
      </c>
      <c r="L7" s="244">
        <f>'单币测算'!$I$9</f>
      </c>
    </row>
    <row r="8" ht="20" customHeight="1">
      <c r="C8" s="134" t="str">
        <v>total supply</v>
      </c>
      <c r="D8" s="151" t="n">
        <v>1000000000</v>
      </c>
      <c r="E8" s="134" t="str">
        <v>外盘初始 Quote</v>
      </c>
      <c r="F8" s="152">
        <f>'单币测算'!$I$14</f>
      </c>
      <c r="G8" s="134" t="str">
        <v>资金预留 / Quote</v>
      </c>
      <c r="H8" s="143" t="n">
        <v>0</v>
      </c>
      <c r="I8" s="134" t="str">
        <v>额外内盘资金</v>
      </c>
      <c r="J8" s="241">
        <f>'单币测算'!$D$35</f>
      </c>
      <c r="K8" s="134" t="str">
        <v>Decimals</v>
      </c>
      <c r="L8" s="152">
        <f>'单币测算'!$I$10</f>
      </c>
    </row>
    <row r="9" ht="20" customHeight="1">
      <c r="C9" s="134" t="str">
        <v>内盘毕业所需</v>
      </c>
      <c r="D9" s="152">
        <f>'单币测算'!$D$27</f>
      </c>
      <c r="E9" s="134" t="str">
        <v>外盘 k</v>
      </c>
      <c r="F9" s="152">
        <f>'单币测算'!$I$16</f>
      </c>
      <c r="G9" s="134" t="str">
        <v>洗筹口径</v>
      </c>
      <c r="H9" s="156" t="str">
        <v>目标+1% FDV × 洗筹总费率</v>
      </c>
      <c r="I9" s="134" t="str">
        <v>目标+1% FDV</v>
      </c>
      <c r="J9" s="241">
        <f>'单币测算'!$D$36</f>
      </c>
      <c r="K9" s="134" t="str">
        <v>当前净控筹上限</v>
      </c>
      <c r="L9" s="234">
        <f>'单币测算'!$I$20</f>
      </c>
    </row>
    <row r="10" ht="20" customHeight="1">
      <c r="C10" s="134" t="str">
        <v>毕业控筹率</v>
      </c>
      <c r="D10" s="234">
        <f>'单币测算'!$I$19</f>
      </c>
      <c r="E10" s="134" t="str">
        <v>买税后净控筹上限</v>
      </c>
      <c r="F10" s="235">
        <f>'单币测算'!$I$20</f>
      </c>
      <c r="G10" s="134" t="str">
        <v>内盘地址 / 套</v>
      </c>
      <c r="H10" s="142" t="n">
        <v>10</v>
      </c>
      <c r="I10" s="134" t="str">
        <v>动态洗筹手续费</v>
      </c>
      <c r="J10" s="241">
        <f>'单币测算'!$D$38</f>
      </c>
      <c r="K10" s="134" t="str">
        <v>内盘基础费</v>
      </c>
      <c r="L10" s="152" t="str">
        <v>Portal 1%</v>
      </c>
    </row>
    <row r="11" ht="20" customHeight="1">
      <c r="C11" s="134" t="str">
        <v>内盘交易手续费</v>
      </c>
      <c r="D11" s="234">
        <f>'单币测算'!$I$17</f>
      </c>
      <c r="E11" s="134" t="str">
        <v>买入税率</v>
      </c>
      <c r="F11" s="236" t="n">
        <v>0</v>
      </c>
      <c r="G11" s="134" t="str">
        <v>内盘套数</v>
      </c>
      <c r="H11" s="146" t="n">
        <v>2</v>
      </c>
      <c r="I11" s="134" t="str">
        <v>建议 Quote 总资金</v>
      </c>
      <c r="J11" s="241">
        <f>'单币测算'!$D$40</f>
      </c>
      <c r="K11" s="134" t="str">
        <v>外盘机制</v>
      </c>
      <c r="L11" s="152" t="str">
        <v>Pancake V3</v>
      </c>
    </row>
    <row r="12" ht="20" customHeight="1">
      <c r="C12" s="134" t="str">
        <v>外盘 LP 费</v>
      </c>
      <c r="D12" s="234">
        <f>'单币测算'!$I$18</f>
      </c>
      <c r="E12" s="134" t="str">
        <v>卖出税率</v>
      </c>
      <c r="F12" s="237" t="n">
        <v>0</v>
      </c>
      <c r="G12" s="134" t="str">
        <v>外盘地址</v>
      </c>
      <c r="H12" s="146" t="n">
        <v>2</v>
      </c>
      <c r="I12" s="134" t="str">
        <v>总资金 / USDT</v>
      </c>
      <c r="J12" s="241">
        <f>'单币测算'!$D$41</f>
      </c>
      <c r="K12" s="134" t="str">
        <v>买税方向</v>
      </c>
      <c r="L12" s="152" t="str">
        <v>从 TOKEN 输出扣除</v>
      </c>
    </row>
    <row r="13" ht="20" customHeight="1">
      <c r="C13" s="134" t="str">
        <v>内盘初始 token</v>
      </c>
      <c r="D13" s="152">
        <f>'选中Quote曲线'!$D$9</f>
      </c>
      <c r="E13" s="134" t="str">
        <v>洗筹总费率</v>
      </c>
      <c r="F13" s="238">
        <f>'单币测算'!$D$37</f>
      </c>
      <c r="G13" s="134" t="str">
        <v>Holder 地址</v>
      </c>
      <c r="H13" s="146" t="n">
        <v>100</v>
      </c>
      <c r="I13" s="134" t="str">
        <v>地址总数</v>
      </c>
      <c r="J13" s="242">
        <f>'单币测算'!$D$42</f>
      </c>
      <c r="K13" s="134" t="str">
        <v>洗筹公式</v>
      </c>
      <c r="L13" s="152" t="str">
        <v>LP 双边 + 买税 + 卖税</v>
      </c>
    </row>
    <row r="14" ht="20" customHeight="1">
      <c r="C14" s="136" t="str">
        <v>内盘初始 Quote</v>
      </c>
      <c r="D14" s="153">
        <f>'单币测算'!$I$11</f>
      </c>
      <c r="E14" s="136" t="str">
        <v>参数时点</v>
      </c>
      <c r="F14" s="153" t="str">
        <v>2026-09-10 / block 121074671</v>
      </c>
      <c r="G14" s="136" t="str">
        <v>默认目标控筹率</v>
      </c>
      <c r="H14" s="239" t="n">
        <v>0.9</v>
      </c>
      <c r="I14" s="136" t="str">
        <v>Gas 储备 / BNB</v>
      </c>
      <c r="J14" s="243">
        <f>'单币测算'!$D$43</f>
      </c>
      <c r="K14" s="136" t="str">
        <v>参数来源</v>
      </c>
      <c r="L14" s="153" t="str">
        <v>Quote参数页</v>
      </c>
    </row>
    <row r="15" ht="20" customHeight="1">
      <c r="C15" s="245"/>
      <c r="D15" s="245"/>
      <c r="E15" s="245"/>
      <c r="F15" s="245"/>
      <c r="G15" s="245"/>
      <c r="H15" s="245"/>
      <c r="I15" s="245"/>
      <c r="J15" s="245"/>
      <c r="K15" s="245"/>
      <c r="L15" s="245"/>
    </row>
    <row r="16" ht="20" customHeight="1">
      <c r="C16" s="245"/>
      <c r="D16" s="245"/>
      <c r="E16" s="245"/>
      <c r="F16" s="245"/>
      <c r="G16" s="245"/>
      <c r="H16" s="245"/>
      <c r="I16" s="245"/>
      <c r="J16" s="245"/>
      <c r="K16" s="245"/>
      <c r="L16" s="245"/>
    </row>
    <row r="17" ht="20" customHeight="1">
      <c r="C17" s="124" t="str">
        <v>内盘联合曲线</v>
      </c>
      <c r="D17" s="158"/>
      <c r="E17" s="158"/>
      <c r="F17" s="158"/>
      <c r="G17" s="158"/>
      <c r="H17" s="158"/>
      <c r="I17" s="158"/>
      <c r="J17" s="158"/>
      <c r="K17" s="158"/>
      <c r="L17" s="125"/>
    </row>
    <row r="18" ht="20" customHeight="1">
      <c r="C18" s="170" t="str">
        <v>控筹率</v>
      </c>
      <c r="D18" s="171" t="str">
        <v>pooled token</v>
      </c>
      <c r="E18" s="171" t="str">
        <v>pooled Quote</v>
      </c>
      <c r="F18" s="171" t="str">
        <v>k</v>
      </c>
      <c r="G18" s="294" t="str">
        <v>价格 / Quote</v>
      </c>
      <c r="H18" s="294" t="str">
        <v>价格 / USDT</v>
      </c>
      <c r="I18" s="294" t="str">
        <v>市值 / Quote</v>
      </c>
      <c r="J18" s="294" t="str">
        <v>市值 / USDT</v>
      </c>
      <c r="K18" s="294" t="str">
        <v>所需 Quote</v>
      </c>
      <c r="L18" s="294" t="str">
        <v>加手续费</v>
      </c>
      <c r="M18" s="300" t="str">
        <v>理论累计所需</v>
      </c>
    </row>
    <row r="19" ht="20" customHeight="1">
      <c r="C19" s="190">
        <f>'选中Quote曲线'!C9</f>
      </c>
      <c r="D19" s="195">
        <f>'选中Quote曲线'!D9</f>
      </c>
      <c r="E19" s="195">
        <f>'选中Quote曲线'!E9</f>
      </c>
      <c r="F19" s="195">
        <f>'单币测算'!$I$13</f>
      </c>
      <c r="G19" s="310">
        <f>'选中Quote曲线'!F9</f>
      </c>
      <c r="H19" s="310">
        <f>IF(OR($D$7="",NOT(ISNUMBER(G19))),"",G19*$D$7)</f>
      </c>
      <c r="I19" s="315">
        <f>'选中Quote曲线'!H9</f>
      </c>
      <c r="J19" s="315">
        <f>IF($D$7="","",I19*$D$7)</f>
      </c>
      <c r="K19" s="315">
        <f>'选中Quote曲线'!I9</f>
      </c>
      <c r="L19" s="315">
        <f>'选中Quote曲线'!J9</f>
      </c>
      <c r="M19" s="326">
        <f>'选中Quote曲线'!K9</f>
      </c>
    </row>
    <row r="20" ht="20" customHeight="1">
      <c r="C20" s="191">
        <f>'选中Quote曲线'!C10</f>
      </c>
      <c r="D20" s="196">
        <f>'选中Quote曲线'!D10</f>
      </c>
      <c r="E20" s="196">
        <f>'选中Quote曲线'!E10</f>
      </c>
      <c r="F20" s="196">
        <f>'单币测算'!$I$13</f>
      </c>
      <c r="G20" s="330">
        <f>'选中Quote曲线'!F10</f>
      </c>
      <c r="H20" s="330">
        <f>IF(OR($D$7="",NOT(ISNUMBER(G20))),"",G20*$D$7)</f>
      </c>
      <c r="I20" s="335">
        <f>'选中Quote曲线'!H10</f>
      </c>
      <c r="J20" s="335">
        <f>IF($D$7="","",I20*$D$7)</f>
      </c>
      <c r="K20" s="335">
        <f>'选中Quote曲线'!I10</f>
      </c>
      <c r="L20" s="335">
        <f>'选中Quote曲线'!J10</f>
      </c>
      <c r="M20" s="340">
        <f>'选中Quote曲线'!K10</f>
      </c>
    </row>
    <row r="21" ht="20" customHeight="1">
      <c r="C21" s="191">
        <f>'选中Quote曲线'!C11</f>
      </c>
      <c r="D21" s="196">
        <f>'选中Quote曲线'!D11</f>
      </c>
      <c r="E21" s="196">
        <f>'选中Quote曲线'!E11</f>
      </c>
      <c r="F21" s="196">
        <f>'单币测算'!$I$13</f>
      </c>
      <c r="G21" s="330">
        <f>'选中Quote曲线'!F11</f>
      </c>
      <c r="H21" s="330">
        <f>IF(OR($D$7="",NOT(ISNUMBER(G21))),"",G21*$D$7)</f>
      </c>
      <c r="I21" s="335">
        <f>'选中Quote曲线'!H11</f>
      </c>
      <c r="J21" s="335">
        <f>IF($D$7="","",I21*$D$7)</f>
      </c>
      <c r="K21" s="335">
        <f>'选中Quote曲线'!I11</f>
      </c>
      <c r="L21" s="335">
        <f>'选中Quote曲线'!J11</f>
      </c>
      <c r="M21" s="340">
        <f>'选中Quote曲线'!K11</f>
      </c>
    </row>
    <row r="22" ht="20" customHeight="1">
      <c r="C22" s="191">
        <f>'选中Quote曲线'!C12</f>
      </c>
      <c r="D22" s="196">
        <f>'选中Quote曲线'!D12</f>
      </c>
      <c r="E22" s="196">
        <f>'选中Quote曲线'!E12</f>
      </c>
      <c r="F22" s="196">
        <f>'单币测算'!$I$13</f>
      </c>
      <c r="G22" s="330">
        <f>'选中Quote曲线'!F12</f>
      </c>
      <c r="H22" s="330">
        <f>IF(OR($D$7="",NOT(ISNUMBER(G22))),"",G22*$D$7)</f>
      </c>
      <c r="I22" s="335">
        <f>'选中Quote曲线'!H12</f>
      </c>
      <c r="J22" s="335">
        <f>IF($D$7="","",I22*$D$7)</f>
      </c>
      <c r="K22" s="335">
        <f>'选中Quote曲线'!I12</f>
      </c>
      <c r="L22" s="335">
        <f>'选中Quote曲线'!J12</f>
      </c>
      <c r="M22" s="340">
        <f>'选中Quote曲线'!K12</f>
      </c>
    </row>
    <row r="23" ht="20" customHeight="1">
      <c r="C23" s="191">
        <f>'选中Quote曲线'!C13</f>
      </c>
      <c r="D23" s="196">
        <f>'选中Quote曲线'!D13</f>
      </c>
      <c r="E23" s="196">
        <f>'选中Quote曲线'!E13</f>
      </c>
      <c r="F23" s="196">
        <f>'单币测算'!$I$13</f>
      </c>
      <c r="G23" s="330">
        <f>'选中Quote曲线'!F13</f>
      </c>
      <c r="H23" s="330">
        <f>IF(OR($D$7="",NOT(ISNUMBER(G23))),"",G23*$D$7)</f>
      </c>
      <c r="I23" s="335">
        <f>'选中Quote曲线'!H13</f>
      </c>
      <c r="J23" s="335">
        <f>IF($D$7="","",I23*$D$7)</f>
      </c>
      <c r="K23" s="335">
        <f>'选中Quote曲线'!I13</f>
      </c>
      <c r="L23" s="335">
        <f>'选中Quote曲线'!J13</f>
      </c>
      <c r="M23" s="340">
        <f>'选中Quote曲线'!K13</f>
      </c>
    </row>
    <row r="24" ht="20" customHeight="1">
      <c r="C24" s="191">
        <f>'选中Quote曲线'!C14</f>
      </c>
      <c r="D24" s="196">
        <f>'选中Quote曲线'!D14</f>
      </c>
      <c r="E24" s="196">
        <f>'选中Quote曲线'!E14</f>
      </c>
      <c r="F24" s="196">
        <f>'单币测算'!$I$13</f>
      </c>
      <c r="G24" s="330">
        <f>'选中Quote曲线'!F14</f>
      </c>
      <c r="H24" s="330">
        <f>IF(OR($D$7="",NOT(ISNUMBER(G24))),"",G24*$D$7)</f>
      </c>
      <c r="I24" s="335">
        <f>'选中Quote曲线'!H14</f>
      </c>
      <c r="J24" s="335">
        <f>IF($D$7="","",I24*$D$7)</f>
      </c>
      <c r="K24" s="335">
        <f>'选中Quote曲线'!I14</f>
      </c>
      <c r="L24" s="335">
        <f>'选中Quote曲线'!J14</f>
      </c>
      <c r="M24" s="340">
        <f>'选中Quote曲线'!K14</f>
      </c>
    </row>
    <row r="25" ht="20" customHeight="1">
      <c r="C25" s="191">
        <f>'选中Quote曲线'!C15</f>
      </c>
      <c r="D25" s="196">
        <f>'选中Quote曲线'!D15</f>
      </c>
      <c r="E25" s="196">
        <f>'选中Quote曲线'!E15</f>
      </c>
      <c r="F25" s="196">
        <f>'单币测算'!$I$13</f>
      </c>
      <c r="G25" s="330">
        <f>'选中Quote曲线'!F15</f>
      </c>
      <c r="H25" s="330">
        <f>IF(OR($D$7="",NOT(ISNUMBER(G25))),"",G25*$D$7)</f>
      </c>
      <c r="I25" s="335">
        <f>'选中Quote曲线'!H15</f>
      </c>
      <c r="J25" s="335">
        <f>IF($D$7="","",I25*$D$7)</f>
      </c>
      <c r="K25" s="335">
        <f>'选中Quote曲线'!I15</f>
      </c>
      <c r="L25" s="335">
        <f>'选中Quote曲线'!J15</f>
      </c>
      <c r="M25" s="340">
        <f>'选中Quote曲线'!K15</f>
      </c>
    </row>
    <row r="26" ht="20" customHeight="1">
      <c r="C26" s="191">
        <f>'选中Quote曲线'!C16</f>
      </c>
      <c r="D26" s="196">
        <f>'选中Quote曲线'!D16</f>
      </c>
      <c r="E26" s="196">
        <f>'选中Quote曲线'!E16</f>
      </c>
      <c r="F26" s="196">
        <f>'单币测算'!$I$13</f>
      </c>
      <c r="G26" s="330">
        <f>'选中Quote曲线'!F16</f>
      </c>
      <c r="H26" s="330">
        <f>IF(OR($D$7="",NOT(ISNUMBER(G26))),"",G26*$D$7)</f>
      </c>
      <c r="I26" s="335">
        <f>'选中Quote曲线'!H16</f>
      </c>
      <c r="J26" s="335">
        <f>IF($D$7="","",I26*$D$7)</f>
      </c>
      <c r="K26" s="335">
        <f>'选中Quote曲线'!I16</f>
      </c>
      <c r="L26" s="335">
        <f>'选中Quote曲线'!J16</f>
      </c>
      <c r="M26" s="340">
        <f>'选中Quote曲线'!K16</f>
      </c>
    </row>
    <row r="27" ht="20" customHeight="1">
      <c r="C27" s="192">
        <f>'选中Quote曲线'!C17</f>
      </c>
      <c r="D27" s="197">
        <f>'选中Quote曲线'!D17</f>
      </c>
      <c r="E27" s="197">
        <f>'选中Quote曲线'!E17</f>
      </c>
      <c r="F27" s="197">
        <f>'单币测算'!$I$13</f>
      </c>
      <c r="G27" s="344">
        <f>'选中Quote曲线'!F17</f>
      </c>
      <c r="H27" s="344">
        <f>IF(OR($D$7="",NOT(ISNUMBER(G27))),"",G27*$D$7)</f>
      </c>
      <c r="I27" s="349">
        <f>'选中Quote曲线'!H17</f>
      </c>
      <c r="J27" s="349">
        <f>IF($D$7="","",I27*$D$7)</f>
      </c>
      <c r="K27" s="349">
        <f>'选中Quote曲线'!I17</f>
      </c>
      <c r="L27" s="349">
        <f>'选中Quote曲线'!J17</f>
      </c>
      <c r="M27" s="354">
        <f>'选中Quote曲线'!K17</f>
      </c>
    </row>
    <row r="28" ht="20" customHeight="1">
      <c r="C28" s="245"/>
      <c r="D28" s="246"/>
      <c r="E28" s="246"/>
      <c r="F28" s="246"/>
      <c r="G28" s="247"/>
      <c r="H28" s="246"/>
      <c r="I28" s="246"/>
      <c r="J28" s="246"/>
      <c r="K28" s="246"/>
      <c r="L28" s="246"/>
    </row>
    <row r="29" ht="20" customHeight="1">
      <c r="C29" s="245"/>
      <c r="D29" s="246"/>
      <c r="E29" s="246"/>
      <c r="F29" s="246"/>
      <c r="G29" s="247"/>
      <c r="H29" s="246"/>
      <c r="I29" s="246"/>
      <c r="J29" s="246"/>
      <c r="K29" s="246"/>
      <c r="L29" s="246"/>
    </row>
    <row r="30" ht="20" customHeight="1">
      <c r="C30" s="124" t="str">
        <v>Pancake 外盘曲线</v>
      </c>
      <c r="D30" s="199"/>
      <c r="E30" s="199"/>
      <c r="F30" s="199"/>
      <c r="G30" s="207"/>
      <c r="H30" s="199"/>
      <c r="I30" s="199"/>
      <c r="J30" s="199"/>
      <c r="K30" s="199"/>
      <c r="L30" s="214"/>
    </row>
    <row r="31" ht="20" customHeight="1">
      <c r="C31" s="170" t="str">
        <v>控筹率</v>
      </c>
      <c r="D31" s="200" t="str">
        <v>pooled token</v>
      </c>
      <c r="E31" s="200" t="str">
        <v>pooled Quote</v>
      </c>
      <c r="F31" s="200" t="str">
        <v>k</v>
      </c>
      <c r="G31" s="356" t="str">
        <v>价格 / Quote</v>
      </c>
      <c r="H31" s="356" t="str">
        <v>价格 / USDT</v>
      </c>
      <c r="I31" s="358" t="str">
        <v>市值 / Quote</v>
      </c>
      <c r="J31" s="358" t="str">
        <v>市值 / USDT</v>
      </c>
      <c r="K31" s="358" t="str">
        <v>所需 Quote</v>
      </c>
      <c r="L31" s="358" t="str">
        <v>加手续费</v>
      </c>
      <c r="M31" s="360" t="str">
        <v>理论累计所需</v>
      </c>
    </row>
    <row r="32" ht="20" customHeight="1">
      <c r="C32" s="193">
        <f>'选中Quote曲线'!C22</f>
      </c>
      <c r="D32" s="201">
        <f>'单币测算'!$I$15</f>
      </c>
      <c r="E32" s="201">
        <f>'单币测算'!$I$14</f>
      </c>
      <c r="F32" s="201">
        <f>'单币测算'!$I$16</f>
      </c>
      <c r="G32" s="368">
        <f>E32/D32</f>
      </c>
      <c r="H32" s="368">
        <f>IF(OR($D$7="",NOT(ISNUMBER(G32))),"",G32*$D$7)</f>
      </c>
      <c r="I32" s="373">
        <f>G32*1000000000</f>
      </c>
      <c r="J32" s="373">
        <f>IF($D$7="","",I32*$D$7)</f>
      </c>
      <c r="K32" s="373">
        <f>0</f>
      </c>
      <c r="L32" s="373">
        <f>0</f>
      </c>
      <c r="M32" s="326">
        <f>'单币测算'!$D$27</f>
      </c>
    </row>
    <row r="33" ht="20" customHeight="1">
      <c r="C33" s="191">
        <f>'选中Quote曲线'!C23</f>
      </c>
      <c r="D33" s="196">
        <f>'选中Quote曲线'!F23</f>
      </c>
      <c r="E33" s="196">
        <f>'选中Quote曲线'!G23</f>
      </c>
      <c r="F33" s="196">
        <f>'单币测算'!$I$16</f>
      </c>
      <c r="G33" s="330">
        <f>IF(D33="","",E33/D33)</f>
      </c>
      <c r="H33" s="330">
        <f>IF(OR($D$7="",NOT(ISNUMBER(G33))),"",G33*$D$7)</f>
      </c>
      <c r="I33" s="335">
        <f>'选中Quote曲线'!J23</f>
      </c>
      <c r="J33" s="335">
        <f>IF($D$7="","",I33*$D$7)</f>
      </c>
      <c r="K33" s="335">
        <f>IF(E33="","",MAX(0,E33-'单币测算'!$I$14))</f>
      </c>
      <c r="L33" s="335">
        <f>'选中Quote曲线'!H23</f>
      </c>
      <c r="M33" s="340">
        <f>'选中Quote曲线'!I23</f>
      </c>
    </row>
    <row r="34" ht="20" customHeight="1">
      <c r="C34" s="191">
        <f>'选中Quote曲线'!C24</f>
      </c>
      <c r="D34" s="196">
        <f>'选中Quote曲线'!F24</f>
      </c>
      <c r="E34" s="196">
        <f>'选中Quote曲线'!G24</f>
      </c>
      <c r="F34" s="196">
        <f>'单币测算'!$I$16</f>
      </c>
      <c r="G34" s="330">
        <f>IF(D34="","",E34/D34)</f>
      </c>
      <c r="H34" s="330">
        <f>IF(OR($D$7="",NOT(ISNUMBER(G34))),"",G34*$D$7)</f>
      </c>
      <c r="I34" s="335">
        <f>'选中Quote曲线'!J24</f>
      </c>
      <c r="J34" s="335">
        <f>IF($D$7="","",I34*$D$7)</f>
      </c>
      <c r="K34" s="335">
        <f>IF(E34="","",MAX(0,E34-'单币测算'!$I$14))</f>
      </c>
      <c r="L34" s="335">
        <f>'选中Quote曲线'!H24</f>
      </c>
      <c r="M34" s="340">
        <f>'选中Quote曲线'!I24</f>
      </c>
    </row>
    <row r="35" ht="20" customHeight="1">
      <c r="C35" s="191">
        <f>'选中Quote曲线'!C25</f>
      </c>
      <c r="D35" s="196">
        <f>'选中Quote曲线'!F25</f>
      </c>
      <c r="E35" s="196">
        <f>'选中Quote曲线'!G25</f>
      </c>
      <c r="F35" s="196">
        <f>'单币测算'!$I$16</f>
      </c>
      <c r="G35" s="330">
        <f>IF(D35="","",E35/D35)</f>
      </c>
      <c r="H35" s="330">
        <f>IF(OR($D$7="",NOT(ISNUMBER(G35))),"",G35*$D$7)</f>
      </c>
      <c r="I35" s="335">
        <f>'选中Quote曲线'!J25</f>
      </c>
      <c r="J35" s="335">
        <f>IF($D$7="","",I35*$D$7)</f>
      </c>
      <c r="K35" s="335">
        <f>IF(E35="","",MAX(0,E35-'单币测算'!$I$14))</f>
      </c>
      <c r="L35" s="335">
        <f>'选中Quote曲线'!H25</f>
      </c>
      <c r="M35" s="340">
        <f>'选中Quote曲线'!I25</f>
      </c>
    </row>
    <row r="36" ht="20" customHeight="1">
      <c r="C36" s="191">
        <f>'选中Quote曲线'!C26</f>
      </c>
      <c r="D36" s="196">
        <f>'选中Quote曲线'!F26</f>
      </c>
      <c r="E36" s="196">
        <f>'选中Quote曲线'!G26</f>
      </c>
      <c r="F36" s="196">
        <f>'单币测算'!$I$16</f>
      </c>
      <c r="G36" s="330">
        <f>IF(D36="","",E36/D36)</f>
      </c>
      <c r="H36" s="330">
        <f>IF(OR($D$7="",NOT(ISNUMBER(G36))),"",G36*$D$7)</f>
      </c>
      <c r="I36" s="335">
        <f>'选中Quote曲线'!J26</f>
      </c>
      <c r="J36" s="335">
        <f>IF($D$7="","",I36*$D$7)</f>
      </c>
      <c r="K36" s="335">
        <f>IF(E36="","",MAX(0,E36-'单币测算'!$I$14))</f>
      </c>
      <c r="L36" s="335">
        <f>'选中Quote曲线'!H26</f>
      </c>
      <c r="M36" s="340">
        <f>'选中Quote曲线'!I26</f>
      </c>
    </row>
    <row r="37" ht="20" customHeight="1">
      <c r="C37" s="191">
        <f>'选中Quote曲线'!C27</f>
      </c>
      <c r="D37" s="196">
        <f>'选中Quote曲线'!F27</f>
      </c>
      <c r="E37" s="196">
        <f>'选中Quote曲线'!G27</f>
      </c>
      <c r="F37" s="196">
        <f>'单币测算'!$I$16</f>
      </c>
      <c r="G37" s="330">
        <f>IF(D37="","",E37/D37)</f>
      </c>
      <c r="H37" s="330">
        <f>IF(OR($D$7="",NOT(ISNUMBER(G37))),"",G37*$D$7)</f>
      </c>
      <c r="I37" s="335">
        <f>'选中Quote曲线'!J27</f>
      </c>
      <c r="J37" s="335">
        <f>IF($D$7="","",I37*$D$7)</f>
      </c>
      <c r="K37" s="335">
        <f>IF(E37="","",MAX(0,E37-'单币测算'!$I$14))</f>
      </c>
      <c r="L37" s="335">
        <f>'选中Quote曲线'!H27</f>
      </c>
      <c r="M37" s="340">
        <f>'选中Quote曲线'!I27</f>
      </c>
    </row>
    <row r="38" ht="20" customHeight="1">
      <c r="C38" s="191">
        <f>'选中Quote曲线'!C28</f>
      </c>
      <c r="D38" s="196">
        <f>'选中Quote曲线'!F28</f>
      </c>
      <c r="E38" s="196">
        <f>'选中Quote曲线'!G28</f>
      </c>
      <c r="F38" s="196">
        <f>'单币测算'!$I$16</f>
      </c>
      <c r="G38" s="330">
        <f>IF(D38="","",E38/D38)</f>
      </c>
      <c r="H38" s="330">
        <f>IF(OR($D$7="",NOT(ISNUMBER(G38))),"",G38*$D$7)</f>
      </c>
      <c r="I38" s="335">
        <f>'选中Quote曲线'!J28</f>
      </c>
      <c r="J38" s="335">
        <f>IF($D$7="","",I38*$D$7)</f>
      </c>
      <c r="K38" s="335">
        <f>IF(E38="","",MAX(0,E38-'单币测算'!$I$14))</f>
      </c>
      <c r="L38" s="335">
        <f>'选中Quote曲线'!H28</f>
      </c>
      <c r="M38" s="340">
        <f>'选中Quote曲线'!I28</f>
      </c>
    </row>
    <row r="39" ht="20" customHeight="1">
      <c r="C39" s="191">
        <f>'选中Quote曲线'!C29</f>
      </c>
      <c r="D39" s="196">
        <f>'选中Quote曲线'!F29</f>
      </c>
      <c r="E39" s="196">
        <f>'选中Quote曲线'!G29</f>
      </c>
      <c r="F39" s="196">
        <f>'单币测算'!$I$16</f>
      </c>
      <c r="G39" s="330">
        <f>IF(D39="","",E39/D39)</f>
      </c>
      <c r="H39" s="330">
        <f>IF(OR($D$7="",NOT(ISNUMBER(G39))),"",G39*$D$7)</f>
      </c>
      <c r="I39" s="335">
        <f>'选中Quote曲线'!J29</f>
      </c>
      <c r="J39" s="335">
        <f>IF($D$7="","",I39*$D$7)</f>
      </c>
      <c r="K39" s="335">
        <f>IF(E39="","",MAX(0,E39-'单币测算'!$I$14))</f>
      </c>
      <c r="L39" s="335">
        <f>'选中Quote曲线'!H29</f>
      </c>
      <c r="M39" s="340">
        <f>'选中Quote曲线'!I29</f>
      </c>
    </row>
    <row r="40" ht="20" customHeight="1">
      <c r="C40" s="191">
        <f>'选中Quote曲线'!C30</f>
      </c>
      <c r="D40" s="196">
        <f>'选中Quote曲线'!F30</f>
      </c>
      <c r="E40" s="196">
        <f>'选中Quote曲线'!G30</f>
      </c>
      <c r="F40" s="196">
        <f>'单币测算'!$I$16</f>
      </c>
      <c r="G40" s="330">
        <f>IF(D40="","",E40/D40)</f>
      </c>
      <c r="H40" s="330">
        <f>IF(OR($D$7="",NOT(ISNUMBER(G40))),"",G40*$D$7)</f>
      </c>
      <c r="I40" s="335">
        <f>'选中Quote曲线'!J30</f>
      </c>
      <c r="J40" s="335">
        <f>IF($D$7="","",I40*$D$7)</f>
      </c>
      <c r="K40" s="335">
        <f>IF(E40="","",MAX(0,E40-'单币测算'!$I$14))</f>
      </c>
      <c r="L40" s="335">
        <f>'选中Quote曲线'!H30</f>
      </c>
      <c r="M40" s="340">
        <f>'选中Quote曲线'!I30</f>
      </c>
    </row>
    <row r="41" ht="20" customHeight="1">
      <c r="C41" s="191">
        <f>'选中Quote曲线'!C31</f>
      </c>
      <c r="D41" s="196">
        <f>'选中Quote曲线'!F31</f>
      </c>
      <c r="E41" s="196">
        <f>'选中Quote曲线'!G31</f>
      </c>
      <c r="F41" s="196">
        <f>'单币测算'!$I$16</f>
      </c>
      <c r="G41" s="330">
        <f>IF(D41="","",E41/D41)</f>
      </c>
      <c r="H41" s="330">
        <f>IF(OR($D$7="",NOT(ISNUMBER(G41))),"",G41*$D$7)</f>
      </c>
      <c r="I41" s="335">
        <f>'选中Quote曲线'!J31</f>
      </c>
      <c r="J41" s="335">
        <f>IF($D$7="","",I41*$D$7)</f>
      </c>
      <c r="K41" s="335">
        <f>IF(E41="","",MAX(0,E41-'单币测算'!$I$14))</f>
      </c>
      <c r="L41" s="335">
        <f>'选中Quote曲线'!H31</f>
      </c>
      <c r="M41" s="340">
        <f>'选中Quote曲线'!I31</f>
      </c>
    </row>
    <row r="42" ht="20" customHeight="1">
      <c r="C42" s="191">
        <f>'选中Quote曲线'!C32</f>
      </c>
      <c r="D42" s="196">
        <f>'选中Quote曲线'!F32</f>
      </c>
      <c r="E42" s="196">
        <f>'选中Quote曲线'!G32</f>
      </c>
      <c r="F42" s="196">
        <f>'单币测算'!$I$16</f>
      </c>
      <c r="G42" s="330">
        <f>IF(D42="","",E42/D42)</f>
      </c>
      <c r="H42" s="330">
        <f>IF(OR($D$7="",NOT(ISNUMBER(G42))),"",G42*$D$7)</f>
      </c>
      <c r="I42" s="335">
        <f>'选中Quote曲线'!J32</f>
      </c>
      <c r="J42" s="335">
        <f>IF($D$7="","",I42*$D$7)</f>
      </c>
      <c r="K42" s="335">
        <f>IF(E42="","",MAX(0,E42-'单币测算'!$I$14))</f>
      </c>
      <c r="L42" s="335">
        <f>'选中Quote曲线'!H32</f>
      </c>
      <c r="M42" s="340">
        <f>'选中Quote曲线'!I32</f>
      </c>
    </row>
    <row r="43" ht="20" customHeight="1">
      <c r="C43" s="191">
        <f>'选中Quote曲线'!C33</f>
      </c>
      <c r="D43" s="196">
        <f>'选中Quote曲线'!F33</f>
      </c>
      <c r="E43" s="196">
        <f>'选中Quote曲线'!G33</f>
      </c>
      <c r="F43" s="196">
        <f>'单币测算'!$I$16</f>
      </c>
      <c r="G43" s="330">
        <f>IF(D43="","",E43/D43)</f>
      </c>
      <c r="H43" s="330">
        <f>IF(OR($D$7="",NOT(ISNUMBER(G43))),"",G43*$D$7)</f>
      </c>
      <c r="I43" s="335">
        <f>'选中Quote曲线'!J33</f>
      </c>
      <c r="J43" s="335">
        <f>IF($D$7="","",I43*$D$7)</f>
      </c>
      <c r="K43" s="335">
        <f>IF(E43="","",MAX(0,E43-'单币测算'!$I$14))</f>
      </c>
      <c r="L43" s="335">
        <f>'选中Quote曲线'!H33</f>
      </c>
      <c r="M43" s="340">
        <f>'选中Quote曲线'!I33</f>
      </c>
    </row>
    <row r="44" ht="20" customHeight="1">
      <c r="C44" s="191">
        <f>'选中Quote曲线'!C34</f>
      </c>
      <c r="D44" s="196">
        <f>'选中Quote曲线'!F34</f>
      </c>
      <c r="E44" s="196">
        <f>'选中Quote曲线'!G34</f>
      </c>
      <c r="F44" s="196">
        <f>'单币测算'!$I$16</f>
      </c>
      <c r="G44" s="330">
        <f>IF(D44="","",E44/D44)</f>
      </c>
      <c r="H44" s="330">
        <f>IF(OR($D$7="",NOT(ISNUMBER(G44))),"",G44*$D$7)</f>
      </c>
      <c r="I44" s="335">
        <f>'选中Quote曲线'!J34</f>
      </c>
      <c r="J44" s="335">
        <f>IF($D$7="","",I44*$D$7)</f>
      </c>
      <c r="K44" s="335">
        <f>IF(E44="","",MAX(0,E44-'单币测算'!$I$14))</f>
      </c>
      <c r="L44" s="335">
        <f>'选中Quote曲线'!H34</f>
      </c>
      <c r="M44" s="340">
        <f>'选中Quote曲线'!I34</f>
      </c>
    </row>
    <row r="45" ht="20" customHeight="1">
      <c r="C45" s="191">
        <f>'选中Quote曲线'!C35</f>
      </c>
      <c r="D45" s="196">
        <f>'选中Quote曲线'!F35</f>
      </c>
      <c r="E45" s="196">
        <f>'选中Quote曲线'!G35</f>
      </c>
      <c r="F45" s="196">
        <f>'单币测算'!$I$16</f>
      </c>
      <c r="G45" s="330">
        <f>IF(D45="","",E45/D45)</f>
      </c>
      <c r="H45" s="330">
        <f>IF(OR($D$7="",NOT(ISNUMBER(G45))),"",G45*$D$7)</f>
      </c>
      <c r="I45" s="335">
        <f>'选中Quote曲线'!J35</f>
      </c>
      <c r="J45" s="335">
        <f>IF($D$7="","",I45*$D$7)</f>
      </c>
      <c r="K45" s="335">
        <f>IF(E45="","",MAX(0,E45-'单币测算'!$I$14))</f>
      </c>
      <c r="L45" s="335">
        <f>'选中Quote曲线'!H35</f>
      </c>
      <c r="M45" s="340">
        <f>'选中Quote曲线'!I35</f>
      </c>
    </row>
    <row r="46" ht="20" customHeight="1">
      <c r="C46" s="191">
        <f>'选中Quote曲线'!C36</f>
      </c>
      <c r="D46" s="196">
        <f>'选中Quote曲线'!F36</f>
      </c>
      <c r="E46" s="196">
        <f>'选中Quote曲线'!G36</f>
      </c>
      <c r="F46" s="196">
        <f>'单币测算'!$I$16</f>
      </c>
      <c r="G46" s="330">
        <f>IF(D46="","",E46/D46)</f>
      </c>
      <c r="H46" s="330">
        <f>IF(OR($D$7="",NOT(ISNUMBER(G46))),"",G46*$D$7)</f>
      </c>
      <c r="I46" s="335">
        <f>'选中Quote曲线'!J36</f>
      </c>
      <c r="J46" s="335">
        <f>IF($D$7="","",I46*$D$7)</f>
      </c>
      <c r="K46" s="335">
        <f>IF(E46="","",MAX(0,E46-'单币测算'!$I$14))</f>
      </c>
      <c r="L46" s="335">
        <f>'选中Quote曲线'!H36</f>
      </c>
      <c r="M46" s="340">
        <f>'选中Quote曲线'!I36</f>
      </c>
    </row>
    <row r="47" ht="20" customHeight="1">
      <c r="C47" s="191">
        <f>'选中Quote曲线'!C37</f>
      </c>
      <c r="D47" s="196">
        <f>'选中Quote曲线'!F37</f>
      </c>
      <c r="E47" s="196">
        <f>'选中Quote曲线'!G37</f>
      </c>
      <c r="F47" s="196">
        <f>'单币测算'!$I$16</f>
      </c>
      <c r="G47" s="330">
        <f>IF(D47="","",E47/D47)</f>
      </c>
      <c r="H47" s="330">
        <f>IF(OR($D$7="",NOT(ISNUMBER(G47))),"",G47*$D$7)</f>
      </c>
      <c r="I47" s="335">
        <f>'选中Quote曲线'!J37</f>
      </c>
      <c r="J47" s="335">
        <f>IF($D$7="","",I47*$D$7)</f>
      </c>
      <c r="K47" s="335">
        <f>IF(E47="","",MAX(0,E47-'单币测算'!$I$14))</f>
      </c>
      <c r="L47" s="335">
        <f>'选中Quote曲线'!H37</f>
      </c>
      <c r="M47" s="340">
        <f>'选中Quote曲线'!I37</f>
      </c>
    </row>
    <row r="48" ht="20" customHeight="1">
      <c r="C48" s="191">
        <f>'选中Quote曲线'!C38</f>
      </c>
      <c r="D48" s="196">
        <f>'选中Quote曲线'!F38</f>
      </c>
      <c r="E48" s="196">
        <f>'选中Quote曲线'!G38</f>
      </c>
      <c r="F48" s="196">
        <f>'单币测算'!$I$16</f>
      </c>
      <c r="G48" s="330">
        <f>IF(D48="","",E48/D48)</f>
      </c>
      <c r="H48" s="330">
        <f>IF(OR($D$7="",NOT(ISNUMBER(G48))),"",G48*$D$7)</f>
      </c>
      <c r="I48" s="335">
        <f>'选中Quote曲线'!J38</f>
      </c>
      <c r="J48" s="335">
        <f>IF($D$7="","",I48*$D$7)</f>
      </c>
      <c r="K48" s="335">
        <f>IF(E48="","",MAX(0,E48-'单币测算'!$I$14))</f>
      </c>
      <c r="L48" s="335">
        <f>'选中Quote曲线'!H38</f>
      </c>
      <c r="M48" s="340">
        <f>'选中Quote曲线'!I38</f>
      </c>
    </row>
    <row r="49" ht="20" customHeight="1">
      <c r="C49" s="191">
        <f>'选中Quote曲线'!C39</f>
      </c>
      <c r="D49" s="196">
        <f>'选中Quote曲线'!F39</f>
      </c>
      <c r="E49" s="196">
        <f>'选中Quote曲线'!G39</f>
      </c>
      <c r="F49" s="196">
        <f>'单币测算'!$I$16</f>
      </c>
      <c r="G49" s="330">
        <f>IF(D49="","",E49/D49)</f>
      </c>
      <c r="H49" s="330">
        <f>IF(OR($D$7="",NOT(ISNUMBER(G49))),"",G49*$D$7)</f>
      </c>
      <c r="I49" s="335">
        <f>'选中Quote曲线'!J39</f>
      </c>
      <c r="J49" s="335">
        <f>IF($D$7="","",I49*$D$7)</f>
      </c>
      <c r="K49" s="335">
        <f>IF(E49="","",MAX(0,E49-'单币测算'!$I$14))</f>
      </c>
      <c r="L49" s="335">
        <f>'选中Quote曲线'!H39</f>
      </c>
      <c r="M49" s="340">
        <f>'选中Quote曲线'!I39</f>
      </c>
    </row>
    <row r="50" ht="20" customHeight="1">
      <c r="C50" s="191">
        <f>'选中Quote曲线'!C40</f>
      </c>
      <c r="D50" s="196">
        <f>'选中Quote曲线'!F40</f>
      </c>
      <c r="E50" s="196">
        <f>'选中Quote曲线'!G40</f>
      </c>
      <c r="F50" s="196">
        <f>'单币测算'!$I$16</f>
      </c>
      <c r="G50" s="330">
        <f>IF(D50="","",E50/D50)</f>
      </c>
      <c r="H50" s="330">
        <f>IF(OR($D$7="",NOT(ISNUMBER(G50))),"",G50*$D$7)</f>
      </c>
      <c r="I50" s="335">
        <f>'选中Quote曲线'!J40</f>
      </c>
      <c r="J50" s="335">
        <f>IF($D$7="","",I50*$D$7)</f>
      </c>
      <c r="K50" s="335">
        <f>IF(E50="","",MAX(0,E50-'单币测算'!$I$14))</f>
      </c>
      <c r="L50" s="335">
        <f>'选中Quote曲线'!H40</f>
      </c>
      <c r="M50" s="340">
        <f>'选中Quote曲线'!I40</f>
      </c>
    </row>
    <row r="51" ht="20" customHeight="1">
      <c r="C51" s="191">
        <f>'选中Quote曲线'!C41</f>
      </c>
      <c r="D51" s="196">
        <f>'选中Quote曲线'!F41</f>
      </c>
      <c r="E51" s="196">
        <f>'选中Quote曲线'!G41</f>
      </c>
      <c r="F51" s="196">
        <f>'单币测算'!$I$16</f>
      </c>
      <c r="G51" s="330">
        <f>IF(D51="","",E51/D51)</f>
      </c>
      <c r="H51" s="330">
        <f>IF(OR($D$7="",NOT(ISNUMBER(G51))),"",G51*$D$7)</f>
      </c>
      <c r="I51" s="335">
        <f>'选中Quote曲线'!J41</f>
      </c>
      <c r="J51" s="335">
        <f>IF($D$7="","",I51*$D$7)</f>
      </c>
      <c r="K51" s="335">
        <f>IF(E51="","",MAX(0,E51-'单币测算'!$I$14))</f>
      </c>
      <c r="L51" s="335">
        <f>'选中Quote曲线'!H41</f>
      </c>
      <c r="M51" s="340">
        <f>'选中Quote曲线'!I41</f>
      </c>
    </row>
    <row r="52" ht="20" customHeight="1">
      <c r="C52" s="191">
        <f>'选中Quote曲线'!C42</f>
      </c>
      <c r="D52" s="196">
        <f>'选中Quote曲线'!F42</f>
      </c>
      <c r="E52" s="196">
        <f>'选中Quote曲线'!G42</f>
      </c>
      <c r="F52" s="196">
        <f>'单币测算'!$I$16</f>
      </c>
      <c r="G52" s="330">
        <f>IF(D52="","",E52/D52)</f>
      </c>
      <c r="H52" s="330">
        <f>IF(OR($D$7="",NOT(ISNUMBER(G52))),"",G52*$D$7)</f>
      </c>
      <c r="I52" s="335">
        <f>'选中Quote曲线'!J42</f>
      </c>
      <c r="J52" s="335">
        <f>IF($D$7="","",I52*$D$7)</f>
      </c>
      <c r="K52" s="335">
        <f>IF(E52="","",MAX(0,E52-'单币测算'!$I$14))</f>
      </c>
      <c r="L52" s="335">
        <f>'选中Quote曲线'!H42</f>
      </c>
      <c r="M52" s="340">
        <f>'选中Quote曲线'!I42</f>
      </c>
    </row>
    <row r="53" ht="20" customHeight="1">
      <c r="C53" s="191">
        <f>'选中Quote曲线'!C43</f>
      </c>
      <c r="D53" s="196">
        <f>'选中Quote曲线'!F43</f>
      </c>
      <c r="E53" s="196">
        <f>'选中Quote曲线'!G43</f>
      </c>
      <c r="F53" s="196">
        <f>'单币测算'!$I$16</f>
      </c>
      <c r="G53" s="330">
        <f>IF(D53="","",E53/D53)</f>
      </c>
      <c r="H53" s="330">
        <f>IF(OR($D$7="",NOT(ISNUMBER(G53))),"",G53*$D$7)</f>
      </c>
      <c r="I53" s="335">
        <f>'选中Quote曲线'!J43</f>
      </c>
      <c r="J53" s="335">
        <f>IF($D$7="","",I53*$D$7)</f>
      </c>
      <c r="K53" s="335">
        <f>IF(E53="","",MAX(0,E53-'单币测算'!$I$14))</f>
      </c>
      <c r="L53" s="335">
        <f>'选中Quote曲线'!H43</f>
      </c>
      <c r="M53" s="340">
        <f>'选中Quote曲线'!I43</f>
      </c>
    </row>
    <row r="54" ht="20" customHeight="1">
      <c r="C54" s="191">
        <f>'选中Quote曲线'!C44</f>
      </c>
      <c r="D54" s="196">
        <f>'选中Quote曲线'!F44</f>
      </c>
      <c r="E54" s="196">
        <f>'选中Quote曲线'!G44</f>
      </c>
      <c r="F54" s="196">
        <f>'单币测算'!$I$16</f>
      </c>
      <c r="G54" s="330">
        <f>IF(D54="","",E54/D54)</f>
      </c>
      <c r="H54" s="330">
        <f>IF(OR($D$7="",NOT(ISNUMBER(G54))),"",G54*$D$7)</f>
      </c>
      <c r="I54" s="335">
        <f>'选中Quote曲线'!J44</f>
      </c>
      <c r="J54" s="335">
        <f>IF($D$7="","",I54*$D$7)</f>
      </c>
      <c r="K54" s="335">
        <f>IF(E54="","",MAX(0,E54-'单币测算'!$I$14))</f>
      </c>
      <c r="L54" s="335">
        <f>'选中Quote曲线'!H44</f>
      </c>
      <c r="M54" s="340">
        <f>'选中Quote曲线'!I44</f>
      </c>
    </row>
    <row r="55" ht="20" customHeight="1">
      <c r="C55" s="191">
        <f>'选中Quote曲线'!C45</f>
      </c>
      <c r="D55" s="196">
        <f>'选中Quote曲线'!F45</f>
      </c>
      <c r="E55" s="196">
        <f>'选中Quote曲线'!G45</f>
      </c>
      <c r="F55" s="196">
        <f>'单币测算'!$I$16</f>
      </c>
      <c r="G55" s="330">
        <f>IF(D55="","",E55/D55)</f>
      </c>
      <c r="H55" s="330">
        <f>IF(OR($D$7="",NOT(ISNUMBER(G55))),"",G55*$D$7)</f>
      </c>
      <c r="I55" s="335">
        <f>'选中Quote曲线'!J45</f>
      </c>
      <c r="J55" s="335">
        <f>IF($D$7="","",I55*$D$7)</f>
      </c>
      <c r="K55" s="335">
        <f>IF(E55="","",MAX(0,E55-'单币测算'!$I$14))</f>
      </c>
      <c r="L55" s="335">
        <f>'选中Quote曲线'!H45</f>
      </c>
      <c r="M55" s="340">
        <f>'选中Quote曲线'!I45</f>
      </c>
    </row>
    <row r="56" ht="20" customHeight="1">
      <c r="C56" s="191">
        <f>'选中Quote曲线'!C46</f>
      </c>
      <c r="D56" s="196">
        <f>'选中Quote曲线'!F46</f>
      </c>
      <c r="E56" s="196">
        <f>'选中Quote曲线'!G46</f>
      </c>
      <c r="F56" s="196">
        <f>'单币测算'!$I$16</f>
      </c>
      <c r="G56" s="330">
        <f>IF(D56="","",E56/D56)</f>
      </c>
      <c r="H56" s="330">
        <f>IF(OR($D$7="",NOT(ISNUMBER(G56))),"",G56*$D$7)</f>
      </c>
      <c r="I56" s="335">
        <f>'选中Quote曲线'!J46</f>
      </c>
      <c r="J56" s="335">
        <f>IF($D$7="","",I56*$D$7)</f>
      </c>
      <c r="K56" s="335">
        <f>IF(E56="","",MAX(0,E56-'单币测算'!$I$14))</f>
      </c>
      <c r="L56" s="335">
        <f>'选中Quote曲线'!H46</f>
      </c>
      <c r="M56" s="340">
        <f>'选中Quote曲线'!I46</f>
      </c>
    </row>
    <row r="57" ht="20" customHeight="1">
      <c r="C57" s="191">
        <f>'选中Quote曲线'!C47</f>
      </c>
      <c r="D57" s="196">
        <f>'选中Quote曲线'!F47</f>
      </c>
      <c r="E57" s="196">
        <f>'选中Quote曲线'!G47</f>
      </c>
      <c r="F57" s="196">
        <f>'单币测算'!$I$16</f>
      </c>
      <c r="G57" s="330">
        <f>IF(D57="","",E57/D57)</f>
      </c>
      <c r="H57" s="330">
        <f>IF(OR($D$7="",NOT(ISNUMBER(G57))),"",G57*$D$7)</f>
      </c>
      <c r="I57" s="335">
        <f>'选中Quote曲线'!J47</f>
      </c>
      <c r="J57" s="335">
        <f>IF($D$7="","",I57*$D$7)</f>
      </c>
      <c r="K57" s="335">
        <f>IF(E57="","",MAX(0,E57-'单币测算'!$I$14))</f>
      </c>
      <c r="L57" s="335">
        <f>'选中Quote曲线'!H47</f>
      </c>
      <c r="M57" s="340">
        <f>'选中Quote曲线'!I47</f>
      </c>
    </row>
    <row r="58" ht="20" customHeight="1">
      <c r="C58" s="191">
        <f>'选中Quote曲线'!C48</f>
      </c>
      <c r="D58" s="196">
        <f>'选中Quote曲线'!F48</f>
      </c>
      <c r="E58" s="196">
        <f>'选中Quote曲线'!G48</f>
      </c>
      <c r="F58" s="196">
        <f>'单币测算'!$I$16</f>
      </c>
      <c r="G58" s="330">
        <f>IF(D58="","",E58/D58)</f>
      </c>
      <c r="H58" s="330">
        <f>IF(OR($D$7="",NOT(ISNUMBER(G58))),"",G58*$D$7)</f>
      </c>
      <c r="I58" s="335">
        <f>'选中Quote曲线'!J48</f>
      </c>
      <c r="J58" s="335">
        <f>IF($D$7="","",I58*$D$7)</f>
      </c>
      <c r="K58" s="335">
        <f>IF(E58="","",MAX(0,E58-'单币测算'!$I$14))</f>
      </c>
      <c r="L58" s="335">
        <f>'选中Quote曲线'!H48</f>
      </c>
      <c r="M58" s="340">
        <f>'选中Quote曲线'!I48</f>
      </c>
    </row>
    <row r="59" ht="20" customHeight="1">
      <c r="C59" s="191">
        <f>'选中Quote曲线'!C49</f>
      </c>
      <c r="D59" s="196">
        <f>'选中Quote曲线'!F49</f>
      </c>
      <c r="E59" s="196">
        <f>'选中Quote曲线'!G49</f>
      </c>
      <c r="F59" s="196">
        <f>'单币测算'!$I$16</f>
      </c>
      <c r="G59" s="330">
        <f>IF(D59="","",E59/D59)</f>
      </c>
      <c r="H59" s="330">
        <f>IF(OR($D$7="",NOT(ISNUMBER(G59))),"",G59*$D$7)</f>
      </c>
      <c r="I59" s="335">
        <f>'选中Quote曲线'!J49</f>
      </c>
      <c r="J59" s="335">
        <f>IF($D$7="","",I59*$D$7)</f>
      </c>
      <c r="K59" s="335">
        <f>IF(E59="","",MAX(0,E59-'单币测算'!$I$14))</f>
      </c>
      <c r="L59" s="335">
        <f>'选中Quote曲线'!H49</f>
      </c>
      <c r="M59" s="340">
        <f>'选中Quote曲线'!I49</f>
      </c>
    </row>
    <row r="60" ht="20" customHeight="1">
      <c r="C60" s="191">
        <f>'选中Quote曲线'!C50</f>
      </c>
      <c r="D60" s="196">
        <f>'选中Quote曲线'!F50</f>
      </c>
      <c r="E60" s="196">
        <f>'选中Quote曲线'!G50</f>
      </c>
      <c r="F60" s="196">
        <f>'单币测算'!$I$16</f>
      </c>
      <c r="G60" s="330">
        <f>IF(D60="","",E60/D60)</f>
      </c>
      <c r="H60" s="330">
        <f>IF(OR($D$7="",NOT(ISNUMBER(G60))),"",G60*$D$7)</f>
      </c>
      <c r="I60" s="335">
        <f>'选中Quote曲线'!J50</f>
      </c>
      <c r="J60" s="335">
        <f>IF($D$7="","",I60*$D$7)</f>
      </c>
      <c r="K60" s="335">
        <f>IF(E60="","",MAX(0,E60-'单币测算'!$I$14))</f>
      </c>
      <c r="L60" s="335">
        <f>'选中Quote曲线'!H50</f>
      </c>
      <c r="M60" s="340">
        <f>'选中Quote曲线'!I50</f>
      </c>
    </row>
    <row r="61" ht="20" customHeight="1">
      <c r="C61" s="191">
        <f>'选中Quote曲线'!C51</f>
      </c>
      <c r="D61" s="196">
        <f>'选中Quote曲线'!F51</f>
      </c>
      <c r="E61" s="196">
        <f>'选中Quote曲线'!G51</f>
      </c>
      <c r="F61" s="196">
        <f>'单币测算'!$I$16</f>
      </c>
      <c r="G61" s="330">
        <f>IF(D61="","",E61/D61)</f>
      </c>
      <c r="H61" s="330">
        <f>IF(OR($D$7="",NOT(ISNUMBER(G61))),"",G61*$D$7)</f>
      </c>
      <c r="I61" s="335">
        <f>'选中Quote曲线'!J51</f>
      </c>
      <c r="J61" s="335">
        <f>IF($D$7="","",I61*$D$7)</f>
      </c>
      <c r="K61" s="335">
        <f>IF(E61="","",MAX(0,E61-'单币测算'!$I$14))</f>
      </c>
      <c r="L61" s="335">
        <f>'选中Quote曲线'!H51</f>
      </c>
      <c r="M61" s="340">
        <f>'选中Quote曲线'!I51</f>
      </c>
    </row>
    <row r="62" ht="20" customHeight="1">
      <c r="C62" s="191">
        <f>'选中Quote曲线'!C52</f>
      </c>
      <c r="D62" s="196">
        <f>'选中Quote曲线'!F52</f>
      </c>
      <c r="E62" s="196">
        <f>'选中Quote曲线'!G52</f>
      </c>
      <c r="F62" s="196">
        <f>'单币测算'!$I$16</f>
      </c>
      <c r="G62" s="330">
        <f>IF(D62="","",E62/D62)</f>
      </c>
      <c r="H62" s="330">
        <f>IF(OR($D$7="",NOT(ISNUMBER(G62))),"",G62*$D$7)</f>
      </c>
      <c r="I62" s="335">
        <f>'选中Quote曲线'!J52</f>
      </c>
      <c r="J62" s="335">
        <f>IF($D$7="","",I62*$D$7)</f>
      </c>
      <c r="K62" s="335">
        <f>IF(E62="","",MAX(0,E62-'单币测算'!$I$14))</f>
      </c>
      <c r="L62" s="335">
        <f>'选中Quote曲线'!H52</f>
      </c>
      <c r="M62" s="340">
        <f>'选中Quote曲线'!I52</f>
      </c>
    </row>
    <row r="63" ht="20" customHeight="1">
      <c r="C63" s="191">
        <f>'选中Quote曲线'!C53</f>
      </c>
      <c r="D63" s="196">
        <f>'选中Quote曲线'!F53</f>
      </c>
      <c r="E63" s="196">
        <f>'选中Quote曲线'!G53</f>
      </c>
      <c r="F63" s="196">
        <f>'单币测算'!$I$16</f>
      </c>
      <c r="G63" s="330">
        <f>IF(D63="","",E63/D63)</f>
      </c>
      <c r="H63" s="330">
        <f>IF(OR($D$7="",NOT(ISNUMBER(G63))),"",G63*$D$7)</f>
      </c>
      <c r="I63" s="335">
        <f>'选中Quote曲线'!J53</f>
      </c>
      <c r="J63" s="335">
        <f>IF($D$7="","",I63*$D$7)</f>
      </c>
      <c r="K63" s="335">
        <f>IF(E63="","",MAX(0,E63-'单币测算'!$I$14))</f>
      </c>
      <c r="L63" s="335">
        <f>'选中Quote曲线'!H53</f>
      </c>
      <c r="M63" s="340">
        <f>'选中Quote曲线'!I53</f>
      </c>
    </row>
    <row r="64" ht="20" customHeight="1">
      <c r="C64" s="191">
        <f>'选中Quote曲线'!C54</f>
      </c>
      <c r="D64" s="196">
        <f>'选中Quote曲线'!F54</f>
      </c>
      <c r="E64" s="196">
        <f>'选中Quote曲线'!G54</f>
      </c>
      <c r="F64" s="196">
        <f>'单币测算'!$I$16</f>
      </c>
      <c r="G64" s="330">
        <f>IF(D64="","",E64/D64)</f>
      </c>
      <c r="H64" s="330">
        <f>IF(OR($D$7="",NOT(ISNUMBER(G64))),"",G64*$D$7)</f>
      </c>
      <c r="I64" s="335">
        <f>'选中Quote曲线'!J54</f>
      </c>
      <c r="J64" s="335">
        <f>IF($D$7="","",I64*$D$7)</f>
      </c>
      <c r="K64" s="335">
        <f>IF(E64="","",MAX(0,E64-'单币测算'!$I$14))</f>
      </c>
      <c r="L64" s="335">
        <f>'选中Quote曲线'!H54</f>
      </c>
      <c r="M64" s="340">
        <f>'选中Quote曲线'!I54</f>
      </c>
    </row>
    <row r="65" ht="20" customHeight="1">
      <c r="C65" s="191">
        <f>'选中Quote曲线'!C55</f>
      </c>
      <c r="D65" s="196">
        <f>'选中Quote曲线'!F55</f>
      </c>
      <c r="E65" s="196">
        <f>'选中Quote曲线'!G55</f>
      </c>
      <c r="F65" s="196">
        <f>'单币测算'!$I$16</f>
      </c>
      <c r="G65" s="330">
        <f>IF(D65="","",E65/D65)</f>
      </c>
      <c r="H65" s="330">
        <f>IF(OR($D$7="",NOT(ISNUMBER(G65))),"",G65*$D$7)</f>
      </c>
      <c r="I65" s="335">
        <f>'选中Quote曲线'!J55</f>
      </c>
      <c r="J65" s="335">
        <f>IF($D$7="","",I65*$D$7)</f>
      </c>
      <c r="K65" s="335">
        <f>IF(E65="","",MAX(0,E65-'单币测算'!$I$14))</f>
      </c>
      <c r="L65" s="335">
        <f>'选中Quote曲线'!H55</f>
      </c>
      <c r="M65" s="340">
        <f>'选中Quote曲线'!I55</f>
      </c>
    </row>
    <row r="66" ht="20" customHeight="1">
      <c r="C66" s="191">
        <f>'选中Quote曲线'!C56</f>
      </c>
      <c r="D66" s="196">
        <f>'选中Quote曲线'!F56</f>
      </c>
      <c r="E66" s="196">
        <f>'选中Quote曲线'!G56</f>
      </c>
      <c r="F66" s="196">
        <f>'单币测算'!$I$16</f>
      </c>
      <c r="G66" s="330">
        <f>IF(D66="","",E66/D66)</f>
      </c>
      <c r="H66" s="330">
        <f>IF(OR($D$7="",NOT(ISNUMBER(G66))),"",G66*$D$7)</f>
      </c>
      <c r="I66" s="335">
        <f>'选中Quote曲线'!J56</f>
      </c>
      <c r="J66" s="335">
        <f>IF($D$7="","",I66*$D$7)</f>
      </c>
      <c r="K66" s="335">
        <f>IF(E66="","",MAX(0,E66-'单币测算'!$I$14))</f>
      </c>
      <c r="L66" s="335">
        <f>'选中Quote曲线'!H56</f>
      </c>
      <c r="M66" s="340">
        <f>'选中Quote曲线'!I56</f>
      </c>
    </row>
    <row r="67" ht="20" customHeight="1">
      <c r="C67" s="191">
        <f>'选中Quote曲线'!C57</f>
      </c>
      <c r="D67" s="196">
        <f>'选中Quote曲线'!F57</f>
      </c>
      <c r="E67" s="196">
        <f>'选中Quote曲线'!G57</f>
      </c>
      <c r="F67" s="196">
        <f>'单币测算'!$I$16</f>
      </c>
      <c r="G67" s="330">
        <f>IF(D67="","",E67/D67)</f>
      </c>
      <c r="H67" s="330">
        <f>IF(OR($D$7="",NOT(ISNUMBER(G67))),"",G67*$D$7)</f>
      </c>
      <c r="I67" s="335">
        <f>'选中Quote曲线'!J57</f>
      </c>
      <c r="J67" s="335">
        <f>IF($D$7="","",I67*$D$7)</f>
      </c>
      <c r="K67" s="335">
        <f>IF(E67="","",MAX(0,E67-'单币测算'!$I$14))</f>
      </c>
      <c r="L67" s="335">
        <f>'选中Quote曲线'!H57</f>
      </c>
      <c r="M67" s="340">
        <f>'选中Quote曲线'!I57</f>
      </c>
    </row>
    <row r="68" ht="20" customHeight="1">
      <c r="C68" s="191">
        <f>'选中Quote曲线'!C58</f>
      </c>
      <c r="D68" s="196">
        <f>'选中Quote曲线'!F58</f>
      </c>
      <c r="E68" s="196">
        <f>'选中Quote曲线'!G58</f>
      </c>
      <c r="F68" s="196">
        <f>'单币测算'!$I$16</f>
      </c>
      <c r="G68" s="330">
        <f>IF(D68="","",E68/D68)</f>
      </c>
      <c r="H68" s="330">
        <f>IF(OR($D$7="",NOT(ISNUMBER(G68))),"",G68*$D$7)</f>
      </c>
      <c r="I68" s="335">
        <f>'选中Quote曲线'!J58</f>
      </c>
      <c r="J68" s="335">
        <f>IF($D$7="","",I68*$D$7)</f>
      </c>
      <c r="K68" s="335">
        <f>IF(E68="","",MAX(0,E68-'单币测算'!$I$14))</f>
      </c>
      <c r="L68" s="335">
        <f>'选中Quote曲线'!H58</f>
      </c>
      <c r="M68" s="340">
        <f>'选中Quote曲线'!I58</f>
      </c>
    </row>
    <row r="69" ht="20" customHeight="1">
      <c r="C69" s="191">
        <f>'选中Quote曲线'!C59</f>
      </c>
      <c r="D69" s="196">
        <f>'选中Quote曲线'!F59</f>
      </c>
      <c r="E69" s="196">
        <f>'选中Quote曲线'!G59</f>
      </c>
      <c r="F69" s="196">
        <f>'单币测算'!$I$16</f>
      </c>
      <c r="G69" s="330">
        <f>IF(D69="","",E69/D69)</f>
      </c>
      <c r="H69" s="330">
        <f>IF(OR($D$7="",NOT(ISNUMBER(G69))),"",G69*$D$7)</f>
      </c>
      <c r="I69" s="335">
        <f>'选中Quote曲线'!J59</f>
      </c>
      <c r="J69" s="335">
        <f>IF($D$7="","",I69*$D$7)</f>
      </c>
      <c r="K69" s="335">
        <f>IF(E69="","",MAX(0,E69-'单币测算'!$I$14))</f>
      </c>
      <c r="L69" s="335">
        <f>'选中Quote曲线'!H59</f>
      </c>
      <c r="M69" s="340">
        <f>'选中Quote曲线'!I59</f>
      </c>
    </row>
    <row r="70" ht="20" customHeight="1">
      <c r="C70" s="191">
        <f>'选中Quote曲线'!C60</f>
      </c>
      <c r="D70" s="196">
        <f>'选中Quote曲线'!F60</f>
      </c>
      <c r="E70" s="196">
        <f>'选中Quote曲线'!G60</f>
      </c>
      <c r="F70" s="196">
        <f>'单币测算'!$I$16</f>
      </c>
      <c r="G70" s="330">
        <f>IF(D70="","",E70/D70)</f>
      </c>
      <c r="H70" s="330">
        <f>IF(OR($D$7="",NOT(ISNUMBER(G70))),"",G70*$D$7)</f>
      </c>
      <c r="I70" s="335">
        <f>'选中Quote曲线'!J60</f>
      </c>
      <c r="J70" s="335">
        <f>IF($D$7="","",I70*$D$7)</f>
      </c>
      <c r="K70" s="335">
        <f>IF(E70="","",MAX(0,E70-'单币测算'!$I$14))</f>
      </c>
      <c r="L70" s="335">
        <f>'选中Quote曲线'!H60</f>
      </c>
      <c r="M70" s="340">
        <f>'选中Quote曲线'!I60</f>
      </c>
    </row>
    <row r="71" ht="20" customHeight="1">
      <c r="C71" s="191">
        <f>'选中Quote曲线'!C61</f>
      </c>
      <c r="D71" s="196">
        <f>'选中Quote曲线'!F61</f>
      </c>
      <c r="E71" s="196">
        <f>'选中Quote曲线'!G61</f>
      </c>
      <c r="F71" s="196">
        <f>'单币测算'!$I$16</f>
      </c>
      <c r="G71" s="330">
        <f>IF(D71="","",E71/D71)</f>
      </c>
      <c r="H71" s="330">
        <f>IF(OR($D$7="",NOT(ISNUMBER(G71))),"",G71*$D$7)</f>
      </c>
      <c r="I71" s="335">
        <f>'选中Quote曲线'!J61</f>
      </c>
      <c r="J71" s="335">
        <f>IF($D$7="","",I71*$D$7)</f>
      </c>
      <c r="K71" s="335">
        <f>IF(E71="","",MAX(0,E71-'单币测算'!$I$14))</f>
      </c>
      <c r="L71" s="335">
        <f>'选中Quote曲线'!H61</f>
      </c>
      <c r="M71" s="340">
        <f>'选中Quote曲线'!I61</f>
      </c>
    </row>
    <row r="72" ht="20" customHeight="1">
      <c r="C72" s="194">
        <f>'选中Quote曲线'!C62</f>
      </c>
      <c r="D72" s="202">
        <f>'选中Quote曲线'!F62</f>
      </c>
      <c r="E72" s="202">
        <f>'选中Quote曲线'!G62</f>
      </c>
      <c r="F72" s="202">
        <f>'单币测算'!$I$16</f>
      </c>
      <c r="G72" s="381">
        <f>IF(D72="","",E72/D72)</f>
      </c>
      <c r="H72" s="381">
        <f>IF(OR($D$7="",NOT(ISNUMBER(G72))),"",G72*$D$7)</f>
      </c>
      <c r="I72" s="386">
        <f>'选中Quote曲线'!J62</f>
      </c>
      <c r="J72" s="386">
        <f>IF($D$7="","",I72*$D$7)</f>
      </c>
      <c r="K72" s="386">
        <f>IF(E72="","",MAX(0,E72-'单币测算'!$I$14))</f>
      </c>
      <c r="L72" s="386">
        <f>'选中Quote曲线'!H62</f>
      </c>
      <c r="M72" s="354">
        <f>'选中Quote曲线'!I62</f>
      </c>
    </row>
    <row r="73" ht="20" customHeight="1">
      <c r="C73" s="245"/>
      <c r="D73" s="245"/>
      <c r="E73" s="245"/>
      <c r="F73" s="245"/>
      <c r="G73" s="245"/>
      <c r="H73" s="245"/>
      <c r="I73" s="245"/>
      <c r="J73" s="245"/>
      <c r="K73" s="245"/>
      <c r="L73" s="245"/>
    </row>
    <row r="74" ht="20" customHeight="1">
      <c r="C74" s="245"/>
      <c r="D74" s="245"/>
      <c r="E74" s="245"/>
      <c r="F74" s="245"/>
      <c r="G74" s="245"/>
      <c r="H74" s="245"/>
      <c r="I74" s="245"/>
      <c r="J74" s="245"/>
      <c r="K74" s="245"/>
      <c r="L74" s="245"/>
    </row>
    <row r="75" ht="20" customHeight="1">
      <c r="C75" s="216" t="str">
        <v>外盘回落参考 · 从 80% 控筹回落至 0%（每 10%）</v>
      </c>
      <c r="D75" s="217"/>
      <c r="E75" s="217"/>
      <c r="F75" s="217"/>
      <c r="G75" s="217"/>
      <c r="H75" s="217"/>
      <c r="I75" s="217"/>
      <c r="J75" s="217"/>
      <c r="K75" s="217"/>
      <c r="L75" s="218"/>
    </row>
    <row r="76" ht="20" customHeight="1">
      <c r="C76" s="170" t="str">
        <v>控筹率</v>
      </c>
      <c r="D76" s="171" t="str">
        <v>pooled token</v>
      </c>
      <c r="E76" s="171" t="str">
        <v>pooled Quote</v>
      </c>
      <c r="F76" s="171" t="str">
        <v>k</v>
      </c>
      <c r="G76" s="294" t="str">
        <v>价格 / Quote</v>
      </c>
      <c r="H76" s="294" t="str">
        <v>价格 / USDT</v>
      </c>
      <c r="I76" s="294" t="str">
        <v>市值 / Quote</v>
      </c>
      <c r="J76" s="294" t="str">
        <v>市值 / USDT</v>
      </c>
      <c r="K76" s="300" t="str">
        <v>较 80% 回撤</v>
      </c>
      <c r="L76" s="245"/>
      <c r="M76"/>
    </row>
    <row r="77" ht="20" customHeight="1">
      <c r="C77" s="190" t="n">
        <v>0.8</v>
      </c>
      <c r="D77" s="227">
        <f>1000000000*(1-C77)</f>
      </c>
      <c r="E77" s="195">
        <f>'单币测算'!$I$16/D77</f>
      </c>
      <c r="F77" s="195">
        <f>'单币测算'!$I$16</f>
      </c>
      <c r="G77" s="310">
        <f>E77/D77</f>
      </c>
      <c r="H77" s="310">
        <f>IF(OR($D$7="",NOT(ISNUMBER(G77))),"",G77*$D$7)</f>
      </c>
      <c r="I77" s="315">
        <f>G77*1000000000</f>
      </c>
      <c r="J77" s="315">
        <f>IF($D$7="","",I77*$D$7)</f>
      </c>
      <c r="K77" s="400">
        <f>IF($I$77&gt;0,1-I77/$I$77,0)</f>
      </c>
      <c r="L77" s="133"/>
      <c r="M77"/>
    </row>
    <row r="78" ht="20" customHeight="1">
      <c r="C78" s="191" t="n">
        <v>0.7</v>
      </c>
      <c r="D78" s="228">
        <f>1000000000*(1-C78)</f>
      </c>
      <c r="E78" s="196">
        <f>'单币测算'!$I$16/D78</f>
      </c>
      <c r="F78" s="196">
        <f>'单币测算'!$I$16</f>
      </c>
      <c r="G78" s="330">
        <f>E78/D78</f>
      </c>
      <c r="H78" s="330">
        <f>IF(OR($D$7="",NOT(ISNUMBER(G78))),"",G78*$D$7)</f>
      </c>
      <c r="I78" s="335">
        <f>G78*1000000000</f>
      </c>
      <c r="J78" s="335">
        <f>IF($D$7="","",I78*$D$7)</f>
      </c>
      <c r="K78" s="406">
        <f>IF($I$77&gt;0,1-I78/$I$77,0)</f>
      </c>
      <c r="L78" s="135"/>
      <c r="M78"/>
    </row>
    <row r="79" ht="20" customHeight="1">
      <c r="C79" s="191" t="n">
        <v>0.6</v>
      </c>
      <c r="D79" s="228">
        <f>1000000000*(1-C79)</f>
      </c>
      <c r="E79" s="196">
        <f>'单币测算'!$I$16/D79</f>
      </c>
      <c r="F79" s="196">
        <f>'单币测算'!$I$16</f>
      </c>
      <c r="G79" s="330">
        <f>E79/D79</f>
      </c>
      <c r="H79" s="330">
        <f>IF(OR($D$7="",NOT(ISNUMBER(G79))),"",G79*$D$7)</f>
      </c>
      <c r="I79" s="335">
        <f>G79*1000000000</f>
      </c>
      <c r="J79" s="335">
        <f>IF($D$7="","",I79*$D$7)</f>
      </c>
      <c r="K79" s="406">
        <f>IF($I$77&gt;0,1-I79/$I$77,0)</f>
      </c>
      <c r="L79" s="135"/>
      <c r="M79"/>
    </row>
    <row r="80" ht="20" customHeight="1">
      <c r="C80" s="191" t="n">
        <v>0.5</v>
      </c>
      <c r="D80" s="228">
        <f>1000000000*(1-C80)</f>
      </c>
      <c r="E80" s="196">
        <f>'单币测算'!$I$16/D80</f>
      </c>
      <c r="F80" s="196">
        <f>'单币测算'!$I$16</f>
      </c>
      <c r="G80" s="330">
        <f>E80/D80</f>
      </c>
      <c r="H80" s="330">
        <f>IF(OR($D$7="",NOT(ISNUMBER(G80))),"",G80*$D$7)</f>
      </c>
      <c r="I80" s="335">
        <f>G80*1000000000</f>
      </c>
      <c r="J80" s="335">
        <f>IF($D$7="","",I80*$D$7)</f>
      </c>
      <c r="K80" s="406">
        <f>IF($I$77&gt;0,1-I80/$I$77,0)</f>
      </c>
      <c r="L80" s="135"/>
      <c r="M80"/>
    </row>
    <row r="81" ht="20" customHeight="1">
      <c r="C81" s="191" t="n">
        <v>0.4</v>
      </c>
      <c r="D81" s="228">
        <f>1000000000*(1-C81)</f>
      </c>
      <c r="E81" s="196">
        <f>'单币测算'!$I$16/D81</f>
      </c>
      <c r="F81" s="196">
        <f>'单币测算'!$I$16</f>
      </c>
      <c r="G81" s="330">
        <f>E81/D81</f>
      </c>
      <c r="H81" s="330">
        <f>IF(OR($D$7="",NOT(ISNUMBER(G81))),"",G81*$D$7)</f>
      </c>
      <c r="I81" s="335">
        <f>G81*1000000000</f>
      </c>
      <c r="J81" s="335">
        <f>IF($D$7="","",I81*$D$7)</f>
      </c>
      <c r="K81" s="406">
        <f>IF($I$77&gt;0,1-I81/$I$77,0)</f>
      </c>
      <c r="L81" s="135"/>
      <c r="M81"/>
    </row>
    <row r="82" ht="20" customHeight="1">
      <c r="C82" s="191" t="n">
        <v>0.3</v>
      </c>
      <c r="D82" s="228">
        <f>1000000000*(1-C82)</f>
      </c>
      <c r="E82" s="196">
        <f>'单币测算'!$I$16/D82</f>
      </c>
      <c r="F82" s="196">
        <f>'单币测算'!$I$16</f>
      </c>
      <c r="G82" s="330">
        <f>E82/D82</f>
      </c>
      <c r="H82" s="330">
        <f>IF(OR($D$7="",NOT(ISNUMBER(G82))),"",G82*$D$7)</f>
      </c>
      <c r="I82" s="335">
        <f>G82*1000000000</f>
      </c>
      <c r="J82" s="335">
        <f>IF($D$7="","",I82*$D$7)</f>
      </c>
      <c r="K82" s="406">
        <f>IF($I$77&gt;0,1-I82/$I$77,0)</f>
      </c>
      <c r="L82" s="135"/>
      <c r="M82"/>
    </row>
    <row r="83" ht="20" customHeight="1">
      <c r="C83" s="191" t="n">
        <v>0.2</v>
      </c>
      <c r="D83" s="228">
        <f>1000000000*(1-C83)</f>
      </c>
      <c r="E83" s="196">
        <f>'单币测算'!$I$16/D83</f>
      </c>
      <c r="F83" s="196">
        <f>'单币测算'!$I$16</f>
      </c>
      <c r="G83" s="330">
        <f>E83/D83</f>
      </c>
      <c r="H83" s="330">
        <f>IF(OR($D$7="",NOT(ISNUMBER(G83))),"",G83*$D$7)</f>
      </c>
      <c r="I83" s="335">
        <f>G83*1000000000</f>
      </c>
      <c r="J83" s="335">
        <f>IF($D$7="","",I83*$D$7)</f>
      </c>
      <c r="K83" s="406">
        <f>IF($I$77&gt;0,1-I83/$I$77,0)</f>
      </c>
      <c r="L83" s="135"/>
      <c r="M83"/>
    </row>
    <row r="84" ht="20" customHeight="1">
      <c r="C84" s="191" t="n">
        <v>0.1</v>
      </c>
      <c r="D84" s="228">
        <f>1000000000*(1-C84)</f>
      </c>
      <c r="E84" s="196">
        <f>'单币测算'!$I$16/D84</f>
      </c>
      <c r="F84" s="196">
        <f>'单币测算'!$I$16</f>
      </c>
      <c r="G84" s="330">
        <f>E84/D84</f>
      </c>
      <c r="H84" s="330">
        <f>IF(OR($D$7="",NOT(ISNUMBER(G84))),"",G84*$D$7)</f>
      </c>
      <c r="I84" s="335">
        <f>G84*1000000000</f>
      </c>
      <c r="J84" s="335">
        <f>IF($D$7="","",I84*$D$7)</f>
      </c>
      <c r="K84" s="406">
        <f>IF($I$77&gt;0,1-I84/$I$77,0)</f>
      </c>
      <c r="L84" s="135"/>
      <c r="M84"/>
    </row>
    <row r="85" ht="20" customHeight="1">
      <c r="C85" s="226" t="n">
        <v>0</v>
      </c>
      <c r="D85" s="229">
        <f>1000000000*(1-C85)</f>
      </c>
      <c r="E85" s="230">
        <f>'单币测算'!$I$16/D85</f>
      </c>
      <c r="F85" s="230">
        <f>'单币测算'!$I$16</f>
      </c>
      <c r="G85" s="410">
        <f>E85/D85</f>
      </c>
      <c r="H85" s="410">
        <f>IF(OR($D$7="",NOT(ISNUMBER(G85))),"",G85*$D$7)</f>
      </c>
      <c r="I85" s="415">
        <f>G85*1000000000</f>
      </c>
      <c r="J85" s="415">
        <f>IF($D$7="","",I85*$D$7)</f>
      </c>
      <c r="K85" s="421">
        <f>IF($I$77&gt;0,1-I85/$I$77,0)</f>
      </c>
      <c r="L85" s="424" t="str">
        <v>沉没成本</v>
      </c>
      <c r="M85" s="415">
        <f>E85</f>
      </c>
    </row>
  </sheetData>
  <mergeCells>
    <mergeCell ref="C2:L2"/>
    <mergeCell ref="C3:L3"/>
  </mergeCells>
  <dataValidations count="3">
    <dataValidation type="list" sqref="D6">
      <formula1>'Quote参数'!$E$14:$E$36</formula1>
    </dataValidation>
    <dataValidation type="decimal" operator="between" sqref="F11:F12">
      <formula1>0</formula1>
      <formula2>0.1</formula2>
    </dataValidation>
    <dataValidation type="decimal" operator="between" sqref="H14">
      <formula1>0.8</formula1>
      <formula2>0.99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6" topLeftCell="A7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5" hidden="0" customWidth="1"/>
    <col min="4" max="4" width="22" hidden="0" customWidth="1"/>
    <col min="5" max="5" width="18" hidden="0" customWidth="1"/>
    <col min="6" max="6" width="43" hidden="0" customWidth="1"/>
    <col min="7" max="7" width="3" hidden="0" customWidth="1"/>
    <col min="8" max="8" width="22" hidden="0" customWidth="1"/>
    <col min="9" max="9" width="37" hidden="0" customWidth="1"/>
    <col min="10" max="10" width="16" hidden="0" customWidth="1"/>
  </cols>
  <sheetData>
    <row r="2" ht="20" customHeight="1">
      <c r="C2" s="248" t="str">
        <v>Flap BSC 币股控筹资金测算</v>
      </c>
      <c r="D2" s="249"/>
      <c r="E2" s="249"/>
      <c r="F2" s="249"/>
      <c r="G2" s="249"/>
      <c r="H2" s="249"/>
      <c r="I2" s="249"/>
      <c r="J2" s="249"/>
    </row>
    <row r="3" ht="20" customHeight="1">
      <c r="C3" s="250" t="str">
        <v>黄色单元格为输入。Quote 预算以所选 RWA 代币计价；Gas 单独以 BNB 计价。</v>
      </c>
      <c r="D3" s="250"/>
      <c r="E3" s="250"/>
      <c r="F3" s="250"/>
      <c r="G3" s="250"/>
      <c r="H3" s="250"/>
      <c r="I3" s="250"/>
      <c r="J3" s="250"/>
    </row>
    <row r="4" ht="20" customHeight="1">
      <c r="C4" s="245"/>
      <c r="D4" s="245"/>
      <c r="E4" s="245"/>
      <c r="F4" s="245"/>
      <c r="G4" s="245"/>
      <c r="H4" s="245"/>
      <c r="I4" s="245"/>
      <c r="J4" s="245"/>
    </row>
    <row r="5" ht="20" customHeight="1">
      <c r="C5" s="245"/>
      <c r="D5" s="245"/>
      <c r="E5" s="245"/>
      <c r="F5" s="245"/>
      <c r="G5" s="245"/>
      <c r="H5" s="245"/>
      <c r="I5" s="245"/>
      <c r="J5" s="245"/>
    </row>
    <row r="6" ht="20" customHeight="1">
      <c r="C6" s="41" t="str">
        <v>输入参数</v>
      </c>
      <c r="D6" s="42"/>
      <c r="E6" s="42"/>
      <c r="F6" s="43"/>
      <c r="G6" s="245"/>
      <c r="H6" s="41" t="str">
        <v>所选 Quote 参数</v>
      </c>
      <c r="I6" s="42"/>
      <c r="J6" s="43"/>
    </row>
    <row r="7" ht="20" customHeight="1">
      <c r="C7" s="245"/>
      <c r="D7" s="245"/>
      <c r="E7" s="245"/>
      <c r="F7" s="245"/>
      <c r="G7" s="245"/>
      <c r="H7" s="245"/>
      <c r="I7" s="245"/>
      <c r="J7" s="245"/>
    </row>
    <row r="8" ht="28" customHeight="1">
      <c r="C8" s="251" t="str">
        <v>Quote</v>
      </c>
      <c r="D8" s="252">
        <f>'控筹模型'!$D$6</f>
      </c>
      <c r="E8" s="253" t="str">
        <v>23 个官方 BSC RWA Quote</v>
      </c>
      <c r="F8" s="245"/>
      <c r="G8" s="245"/>
      <c r="H8" s="254" t="str">
        <v>Quote 名称</v>
      </c>
      <c r="I8" s="255">
        <f>VLOOKUP($D$8,'Quote参数'!$E$14:$M$36,2,FALSE)</f>
      </c>
      <c r="J8" s="245"/>
    </row>
    <row r="9" ht="28" customHeight="1">
      <c r="C9" s="251" t="str">
        <v>目标控筹率</v>
      </c>
      <c r="D9" s="256">
        <f>'控筹模型'!$H$14</f>
      </c>
      <c r="E9" s="253" t="str">
        <v>预算使用目标 + 1%</v>
      </c>
      <c r="F9" s="245"/>
      <c r="G9" s="245"/>
      <c r="H9" s="254" t="str">
        <v>Quote 合约</v>
      </c>
      <c r="I9" s="257">
        <f>VLOOKUP($D$8,'Quote参数'!$E$14:$M$36,3,FALSE)</f>
      </c>
      <c r="J9" s="245"/>
    </row>
    <row r="10" ht="28" customHeight="1">
      <c r="C10" s="251" t="str">
        <v>买入税率</v>
      </c>
      <c r="D10" s="256">
        <f>'控筹模型'!$F$11</f>
      </c>
      <c r="E10" s="253" t="str">
        <v>0%–10%；0% 为标准非税模型</v>
      </c>
      <c r="F10" s="245"/>
      <c r="G10" s="245"/>
      <c r="H10" s="254" t="str">
        <v>Decimals</v>
      </c>
      <c r="I10" s="255">
        <f>VLOOKUP($D$8,'Quote参数'!$E$14:$M$36,4,FALSE)</f>
      </c>
      <c r="J10" s="245"/>
    </row>
    <row r="11" ht="28" customHeight="1">
      <c r="C11" s="251" t="str">
        <v>卖出税率</v>
      </c>
      <c r="D11" s="256">
        <f>'控筹模型'!$F$12</f>
      </c>
      <c r="E11" s="253" t="str">
        <v>0%–10%；进入双边洗筹损耗</v>
      </c>
      <c r="F11" s="245"/>
      <c r="G11" s="245"/>
      <c r="H11" s="254" t="str">
        <v>r</v>
      </c>
      <c r="I11" s="258">
        <f>VLOOKUP($D$8,'Quote参数'!$E$14:$M$36,5,FALSE)</f>
      </c>
      <c r="J11" s="245"/>
    </row>
    <row r="12" ht="28" customHeight="1">
      <c r="C12" s="251" t="str">
        <v>内盘地址套数</v>
      </c>
      <c r="D12" s="259">
        <f>'控筹模型'!$H$11</f>
      </c>
      <c r="E12" s="253" t="str">
        <v>第 2 套起计额外内盘资金</v>
      </c>
      <c r="F12" s="245"/>
      <c r="G12" s="245"/>
      <c r="H12" s="254" t="str">
        <v>h</v>
      </c>
      <c r="I12" s="258">
        <f>VLOOKUP($D$8,'Quote参数'!$E$14:$M$36,6,FALSE)</f>
      </c>
      <c r="J12" s="245"/>
    </row>
    <row r="13" ht="28" customHeight="1">
      <c r="C13" s="251" t="str">
        <v>内盘地址 / 套</v>
      </c>
      <c r="D13" s="259">
        <f>'控筹模型'!$H$10</f>
      </c>
      <c r="E13" s="253" t="str">
        <v>每套地址数</v>
      </c>
      <c r="F13" s="245"/>
      <c r="G13" s="245"/>
      <c r="H13" s="254" t="str">
        <v>k</v>
      </c>
      <c r="I13" s="258">
        <f>VLOOKUP($D$8,'Quote参数'!$E$14:$M$36,7,FALSE)</f>
      </c>
      <c r="J13" s="245"/>
    </row>
    <row r="14" ht="28" customHeight="1">
      <c r="C14" s="251" t="str">
        <v>外盘地址数</v>
      </c>
      <c r="D14" s="259">
        <f>'控筹模型'!$H$12</f>
      </c>
      <c r="E14" s="253" t="str">
        <v>外盘执行地址</v>
      </c>
      <c r="F14" s="245"/>
      <c r="G14" s="245"/>
      <c r="H14" s="254" t="str">
        <v>毕业真实 Quote</v>
      </c>
      <c r="I14" s="258">
        <f>VLOOKUP($D$8,'Quote参数'!$E$14:$M$36,8,FALSE)</f>
      </c>
      <c r="J14" s="245"/>
    </row>
    <row r="15" ht="28" customHeight="1">
      <c r="C15" s="251" t="str">
        <v>Holder 地址数</v>
      </c>
      <c r="D15" s="259">
        <f>'控筹模型'!$H$13</f>
      </c>
      <c r="E15" s="253" t="str">
        <v>分散持仓地址</v>
      </c>
      <c r="F15" s="245"/>
      <c r="G15" s="245"/>
      <c r="H15" s="254" t="str">
        <v>DEX 初始 TOKEN</v>
      </c>
      <c r="I15" s="258">
        <f>1000000000*(1-0.8)</f>
      </c>
      <c r="J15" s="245"/>
    </row>
    <row r="16" ht="28" customHeight="1">
      <c r="C16" s="251" t="str">
        <v>单地址 Gas</v>
      </c>
      <c r="D16" s="260">
        <f>'控筹模型'!$H$7</f>
      </c>
      <c r="E16" s="253" t="str">
        <v>BNB / 地址</v>
      </c>
      <c r="F16" s="245"/>
      <c r="G16" s="245"/>
      <c r="H16" s="254" t="str">
        <v>Outer K</v>
      </c>
      <c r="I16" s="258">
        <f>VLOOKUP($D$8,'Quote参数'!$E$14:$N$36,10,FALSE)</f>
      </c>
      <c r="J16" s="245"/>
    </row>
    <row r="17" ht="28" customHeight="1">
      <c r="C17" s="251" t="str">
        <v>手操 + 刷量预留</v>
      </c>
      <c r="D17" s="260">
        <f>'控筹模型'!$H$8</f>
      </c>
      <c r="E17" s="253" t="str">
        <v>所选 Quote 单位</v>
      </c>
      <c r="F17" s="245"/>
      <c r="G17" s="245"/>
      <c r="H17" s="254" t="str">
        <v>Portal 基础费</v>
      </c>
      <c r="I17" s="261">
        <f>0.01</f>
      </c>
      <c r="J17" s="245"/>
    </row>
    <row r="18" ht="28" customHeight="1">
      <c r="C18" s="251" t="str">
        <v>Quote / USDT 价格</v>
      </c>
      <c r="D18" s="262">
        <f>IF(VLOOKUP($D$8,'Quote参数'!$E$14:$P$36,12,FALSE)=0,"",VLOOKUP($D$8,'Quote参数'!$E$14:$P$36,12,FALSE))</f>
      </c>
      <c r="E18" s="253" t="str">
        <v>引用每日价格；可手动覆盖</v>
      </c>
      <c r="F18" s="245"/>
      <c r="G18" s="245"/>
      <c r="H18" s="254" t="str">
        <v>Pancake LP 费</v>
      </c>
      <c r="I18" s="261">
        <f>0.0025</f>
      </c>
      <c r="J18" s="245"/>
    </row>
    <row r="19" ht="20" customHeight="1">
      <c r="C19" s="245"/>
      <c r="D19" s="245"/>
      <c r="E19" s="245"/>
      <c r="F19" s="245"/>
      <c r="G19" s="245"/>
      <c r="H19" s="254" t="str">
        <v>毕业控筹率</v>
      </c>
      <c r="I19" s="261">
        <f>0.8</f>
      </c>
      <c r="J19" s="245"/>
    </row>
    <row r="20" ht="20" customHeight="1">
      <c r="C20" s="245"/>
      <c r="D20" s="245"/>
      <c r="E20" s="245"/>
      <c r="F20" s="245"/>
      <c r="G20" s="245"/>
      <c r="H20" s="254" t="str">
        <v>买税后净控筹上限</v>
      </c>
      <c r="I20" s="261">
        <f>$I$19+(1-$D$10)*$I$15/1000000000</f>
      </c>
      <c r="J20" s="245"/>
    </row>
    <row r="21" ht="20" customHeight="1">
      <c r="C21" s="245"/>
      <c r="D21" s="245"/>
      <c r="E21" s="245"/>
      <c r="F21" s="245"/>
      <c r="G21" s="245"/>
      <c r="H21" s="245"/>
      <c r="I21" s="245"/>
      <c r="J21" s="245"/>
    </row>
    <row r="22" ht="20" customHeight="1">
      <c r="C22" s="245"/>
      <c r="D22" s="245"/>
      <c r="E22" s="245"/>
      <c r="F22" s="245"/>
      <c r="G22" s="245"/>
      <c r="H22" s="245"/>
      <c r="I22" s="245"/>
      <c r="J22" s="245"/>
    </row>
    <row r="23" ht="20" customHeight="1">
      <c r="C23" s="41" t="str">
        <v>预算结果</v>
      </c>
      <c r="D23" s="42"/>
      <c r="E23" s="42"/>
      <c r="F23" s="43"/>
      <c r="G23" s="245"/>
      <c r="H23" s="41" t="str">
        <v>口径检查</v>
      </c>
      <c r="I23" s="42"/>
      <c r="J23" s="43"/>
    </row>
    <row r="24" ht="20" customHeight="1">
      <c r="C24" s="245"/>
      <c r="D24" s="245"/>
      <c r="E24" s="245"/>
      <c r="F24" s="245"/>
      <c r="G24" s="245"/>
      <c r="H24" s="245"/>
      <c r="I24" s="245"/>
      <c r="J24" s="245"/>
    </row>
    <row r="25" ht="24" customHeight="1">
      <c r="C25" s="58" t="str">
        <v>预算使用控筹率</v>
      </c>
      <c r="D25" s="67">
        <f>$D$9+1%</f>
      </c>
      <c r="E25" s="24" t="str">
        <v>控筹率</v>
      </c>
      <c r="F25" s="64" t="str">
        <v>目标控筹率 + 1%</v>
      </c>
      <c r="G25" s="245"/>
      <c r="H25" s="58" t="str">
        <v>机制</v>
      </c>
      <c r="I25" s="85" t="str">
        <v>10 亿总量；80% 联合曲线毕业</v>
      </c>
      <c r="J25" s="85" t="str"/>
    </row>
    <row r="26" ht="24" customHeight="1">
      <c r="C26" s="59" t="str">
        <v>模型状态</v>
      </c>
      <c r="D26" s="25">
        <f>IF(OR($D$9&lt;80%,$D$9&gt;=100%),"目标控筹率无效",IF(OR($D$10&lt;0,$D$10&gt;10%,$D$11&lt;0,$D$11&gt;10%),"税率无效",IF($D$25&gt;=$I$20,"目标+1%不可达","可达")))</f>
      </c>
      <c r="E26" s="25" t="str"/>
      <c r="F26" s="65" t="str">
        <v>目标+1% 必须低于买税后净控筹上限</v>
      </c>
      <c r="G26" s="245"/>
      <c r="H26" s="59" t="str">
        <v>联合曲线</v>
      </c>
      <c r="I26" s="86" t="str">
        <v>(x+h)(y+r)=K；每个 Quote 参数不同</v>
      </c>
      <c r="J26" s="86" t="str"/>
    </row>
    <row r="27" ht="24" customHeight="1">
      <c r="C27" s="59" t="str">
        <v>一套内盘打满</v>
      </c>
      <c r="D27" s="68">
        <f>$I$14*(1+$I$17+$D$10)</f>
      </c>
      <c r="E27" s="25">
        <f>$D$8</f>
      </c>
      <c r="F27" s="65" t="str">
        <v>毕业真实 Quote × (1% + 买税)</v>
      </c>
      <c r="G27" s="245"/>
      <c r="H27" s="59" t="str">
        <v>内盘基础费</v>
      </c>
      <c r="I27" s="86" t="str">
        <v>Portal 链上 getFeeRate：买/卖各 1%</v>
      </c>
      <c r="J27" s="86" t="str"/>
    </row>
    <row r="28" ht="24" customHeight="1">
      <c r="C28" s="59" t="str">
        <v>外盘净控筹 TOKEN</v>
      </c>
      <c r="D28" s="68">
        <f>IF($D$25&lt;$I$20,MAX(0,($D$25-$I$19)*1000000000),"")</f>
      </c>
      <c r="E28" s="25" t="str">
        <v>TOKEN</v>
      </c>
      <c r="F28" s="65" t="str">
        <v>目标+1% 相对 80% 的净增持</v>
      </c>
      <c r="G28" s="245"/>
      <c r="H28" s="59" t="str">
        <v>PreBond Tax</v>
      </c>
      <c r="I28" s="86" t="str">
        <v>买税作为额外 Quote 费叠加</v>
      </c>
      <c r="J28" s="86" t="str"/>
    </row>
    <row r="29" ht="24" customHeight="1">
      <c r="C29" s="59" t="str">
        <v>外盘需扫出 TOKEN</v>
      </c>
      <c r="D29" s="68">
        <f>IF($D$28="","",$D$28/(1-$D$10))</f>
      </c>
      <c r="E29" s="25" t="str">
        <v>TOKEN</v>
      </c>
      <c r="F29" s="65" t="str">
        <v>净增持 ÷ (1 - 买税)</v>
      </c>
      <c r="G29" s="245"/>
      <c r="H29" s="59" t="str">
        <v>DEX 买税</v>
      </c>
      <c r="I29" s="86" t="str">
        <v>从 TOKEN 输出扣除，降低净控筹上限</v>
      </c>
      <c r="J29" s="86" t="str"/>
    </row>
    <row r="30" ht="24" customHeight="1">
      <c r="C30" s="59" t="str">
        <v>目标+1% Pool TOKEN</v>
      </c>
      <c r="D30" s="68">
        <f>IF($D$29="","",$I$15-$D$29)</f>
      </c>
      <c r="E30" s="25" t="str">
        <v>TOKEN</v>
      </c>
      <c r="F30" s="65" t="str">
        <v>2 亿 - 需扫出 TOKEN</v>
      </c>
      <c r="G30" s="245"/>
      <c r="H30" s="59" t="str">
        <v>DEX LP 费</v>
      </c>
      <c r="I30" s="86" t="str">
        <v>标准 Pancake V3 0.25%</v>
      </c>
      <c r="J30" s="86" t="str"/>
    </row>
    <row r="31" ht="24" customHeight="1">
      <c r="C31" s="59" t="str">
        <v>目标+1% Pool Quote</v>
      </c>
      <c r="D31" s="68">
        <f>IF($D$30="","",$I$16/$D$30)</f>
      </c>
      <c r="E31" s="25">
        <f>$D$8</f>
      </c>
      <c r="F31" s="65" t="str">
        <v>Outer K ÷ Pool TOKEN</v>
      </c>
      <c r="G31" s="245"/>
      <c r="H31" s="59" t="str">
        <v>洗筹损耗</v>
      </c>
      <c r="I31" s="86" t="str">
        <v>目标+1% FDV × (LP 双边 + 买税 + 卖税)</v>
      </c>
      <c r="J31" s="86" t="str"/>
    </row>
    <row r="32" ht="24" customHeight="1">
      <c r="C32" s="59" t="str">
        <v>外盘净增加 Quote</v>
      </c>
      <c r="D32" s="68">
        <f>IF($D$31="","",MAX(0,$D$31-$I$14))</f>
      </c>
      <c r="E32" s="25">
        <f>$D$8</f>
      </c>
      <c r="F32" s="65" t="str">
        <v>Pool Quote - 毕业真实 Quote</v>
      </c>
      <c r="G32" s="245"/>
      <c r="H32" s="59" t="str">
        <v>价格风险</v>
      </c>
      <c r="I32" s="86" t="str">
        <v>币股 Quote 本身价格波动；本表不硬编码股票美元价</v>
      </c>
      <c r="J32" s="86" t="str"/>
    </row>
    <row r="33" ht="24" customHeight="1">
      <c r="C33" s="59" t="str">
        <v>外盘含 LP 费投入</v>
      </c>
      <c r="D33" s="68">
        <f>IF($D$32="","",$D$32*(1+$I$18))</f>
      </c>
      <c r="E33" s="25">
        <f>$D$8</f>
      </c>
      <c r="F33" s="65" t="str">
        <v>净增加 Quote × (1 + 0.25%)</v>
      </c>
      <c r="G33" s="245"/>
      <c r="H33" s="60" t="str">
        <v>参数时点</v>
      </c>
      <c r="I33" s="87" t="str">
        <v>2026-09-10 / BSC block 121074671</v>
      </c>
      <c r="J33" s="87" t="str"/>
    </row>
    <row r="34" ht="24" customHeight="1">
      <c r="C34" s="59" t="str">
        <v>目标+1% 理论累计</v>
      </c>
      <c r="D34" s="68">
        <f>IF($D$33="","",$D$27+$D$33)</f>
      </c>
      <c r="E34" s="25">
        <f>$D$8</f>
      </c>
      <c r="F34" s="65" t="str">
        <v>一套内盘 + 外盘投入</v>
      </c>
      <c r="G34" s="245"/>
      <c r="H34" s="245"/>
      <c r="I34" s="245"/>
      <c r="J34" s="245"/>
    </row>
    <row r="35" ht="24" customHeight="1">
      <c r="C35" s="59" t="str">
        <v>额外内盘资金</v>
      </c>
      <c r="D35" s="68">
        <f>$D$27*MAX(0,$D$12-1)</f>
      </c>
      <c r="E35" s="25">
        <f>$D$8</f>
      </c>
      <c r="F35" s="65" t="str">
        <v>一套内盘 × (套数 - 1)</v>
      </c>
      <c r="G35" s="245"/>
      <c r="H35" s="245"/>
      <c r="I35" s="245"/>
      <c r="J35" s="245"/>
    </row>
    <row r="36" ht="24" customHeight="1">
      <c r="C36" s="59" t="str">
        <v>目标+1% FDV</v>
      </c>
      <c r="D36" s="68">
        <f>IF($D$31="","",$D$31/$D$30*1000000000)</f>
      </c>
      <c r="E36" s="25">
        <f>$D$8</f>
      </c>
      <c r="F36" s="65" t="str">
        <v>Pool 价格 × 10 亿总量</v>
      </c>
      <c r="G36" s="245"/>
      <c r="H36" s="245"/>
      <c r="I36" s="245"/>
      <c r="J36" s="245"/>
    </row>
    <row r="37" ht="24" customHeight="1">
      <c r="C37" s="59" t="str">
        <v>洗筹总费率</v>
      </c>
      <c r="D37" s="69">
        <f>$I$18*2+$D$10+$D$11</f>
      </c>
      <c r="E37" s="25" t="str">
        <v>费率</v>
      </c>
      <c r="F37" s="65" t="str">
        <v>LP 双边 + 买税 + 卖税</v>
      </c>
      <c r="G37" s="245"/>
      <c r="H37" s="245"/>
      <c r="I37" s="245"/>
      <c r="J37" s="245"/>
    </row>
    <row r="38" ht="24" customHeight="1">
      <c r="C38" s="59" t="str">
        <v>洗筹损耗</v>
      </c>
      <c r="D38" s="68">
        <f>IF($D$36="","",$D$36*$D$37)</f>
      </c>
      <c r="E38" s="25">
        <f>$D$8</f>
      </c>
      <c r="F38" s="65" t="str">
        <v>目标+1% FDV × 洗筹总费率</v>
      </c>
      <c r="G38" s="245"/>
      <c r="H38" s="245"/>
      <c r="I38" s="245"/>
      <c r="J38" s="245"/>
    </row>
    <row r="39" ht="24" customHeight="1">
      <c r="C39" s="59" t="str">
        <v>手操 + 刷量预留</v>
      </c>
      <c r="D39" s="68">
        <f>MAX(0,$D$17)</f>
      </c>
      <c r="E39" s="25">
        <f>$D$8</f>
      </c>
      <c r="F39" s="65" t="str">
        <v>输入值</v>
      </c>
      <c r="G39" s="245"/>
      <c r="H39" s="245"/>
      <c r="I39" s="245"/>
      <c r="J39" s="245"/>
    </row>
    <row r="40" ht="24" customHeight="1">
      <c r="C40" s="79" t="str">
        <v>建议 Quote 总资金</v>
      </c>
      <c r="D40" s="80">
        <f>IF($D$34="","",SUM($D$34,$D$35,$D$38,$D$39))</f>
      </c>
      <c r="E40" s="79">
        <f>$D$8</f>
      </c>
      <c r="F40" s="81" t="str">
        <v>理论累计 + 额外内盘 + 洗筹 + 预留</v>
      </c>
      <c r="G40" s="245"/>
      <c r="H40" s="245"/>
      <c r="I40" s="245"/>
      <c r="J40" s="245"/>
    </row>
    <row r="41" ht="24" customHeight="1">
      <c r="C41" s="59" t="str">
        <v>总资金 / USDT</v>
      </c>
      <c r="D41" s="68">
        <f>IF(OR($D$40="",$D$18=""),"",$D$40*$D$18)</f>
      </c>
      <c r="E41" s="25" t="str">
        <v>USDT</v>
      </c>
      <c r="F41" s="65" t="str">
        <v>可选 Quote / USDT 价格换算</v>
      </c>
      <c r="G41" s="245"/>
      <c r="H41" s="245"/>
      <c r="I41" s="245"/>
      <c r="J41" s="245"/>
    </row>
    <row r="42" ht="24" customHeight="1">
      <c r="C42" s="59" t="str">
        <v>地址总数</v>
      </c>
      <c r="D42" s="70">
        <f>MAX(0,$D$13)*MAX(0,$D$12)+MAX(0,$D$14)+MAX(0,$D$15)</f>
      </c>
      <c r="E42" s="25" t="str">
        <v>地址</v>
      </c>
      <c r="F42" s="65" t="str">
        <v>内盘地址×套数 + 外盘 + Holder</v>
      </c>
      <c r="G42" s="245"/>
      <c r="H42" s="245"/>
      <c r="I42" s="245"/>
      <c r="J42" s="245"/>
    </row>
    <row r="43" ht="24" customHeight="1">
      <c r="C43" s="60" t="str">
        <v>Gas 总额</v>
      </c>
      <c r="D43" s="71">
        <f>$D$42*MAX(0,$D$16)</f>
      </c>
      <c r="E43" s="26" t="str">
        <v>BNB</v>
      </c>
      <c r="F43" s="66" t="str">
        <v>地址总数 × 单地址 Gas</v>
      </c>
      <c r="G43" s="245"/>
      <c r="H43" s="245"/>
      <c r="I43" s="245"/>
      <c r="J43" s="245"/>
    </row>
  </sheetData>
  <conditionalFormatting sqref="D26:D26">
    <cfRule type="containsText" dxfId="0" priority="1" operator="containsText" text="不可达"/>
    <cfRule type="containsText" dxfId="1" priority="2" operator="containsText" text="可达"/>
  </conditionalFormatting>
  <dataValidations count="2">
    <dataValidation type="list" sqref="D8">
      <formula1>'Quote参数'!$E$14:$E$36</formula1>
    </dataValidation>
    <dataValidation type="decimal" operator="between" sqref="D9:D11">
      <formula1>0</formula1>
      <formula2>0.1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xSplit="5" ySplit="7" topLeftCell="F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10" hidden="0" customWidth="1"/>
    <col min="4" max="4" width="24" hidden="0" customWidth="1"/>
    <col min="5" max="5" width="16" hidden="0" customWidth="1"/>
    <col min="6" max="6" width="10" hidden="0" customWidth="1"/>
    <col min="7" max="7" width="14" hidden="0" customWidth="1"/>
    <col min="8" max="8" width="14" hidden="0" customWidth="1"/>
    <col min="9" max="9" width="20" hidden="0" customWidth="1"/>
    <col min="10" max="10" width="18" hidden="0" customWidth="1"/>
    <col min="11" max="11" width="20" hidden="0" customWidth="1"/>
    <col min="12" max="12" width="15" hidden="0" customWidth="1"/>
    <col min="13" max="13" width="18" hidden="0" customWidth="1"/>
    <col min="14" max="14" width="18" hidden="0" customWidth="1"/>
    <col min="15" max="15" width="18" hidden="0" customWidth="1"/>
    <col min="16" max="16" width="18" hidden="0" customWidth="1"/>
    <col min="17" max="17" width="18" hidden="0" customWidth="1"/>
    <col min="18" max="18" width="18" hidden="0" customWidth="1"/>
    <col min="19" max="19" width="18" hidden="0" customWidth="1"/>
    <col min="20" max="20" width="16" hidden="0" customWidth="1"/>
    <col min="21" max="21" width="18" hidden="0" customWidth="1"/>
    <col min="22" max="22" width="15" hidden="0" customWidth="1"/>
    <col min="23" max="23" width="20" hidden="0" customWidth="1"/>
    <col min="24" max="24" width="16" hidden="0" customWidth="1"/>
    <col min="25" max="25" width="14" hidden="0" customWidth="1"/>
  </cols>
  <sheetData>
    <row r="2" ht="20" customHeight="1">
      <c r="C2" s="248" t="str">
        <v>Flap BSC 全 RWA Quote 预算</v>
      </c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</row>
    <row r="3" ht="20" customHeight="1">
      <c r="C3" s="250" t="str">
        <v>统一读取“单币测算”的目标控筹率、买税、卖税、地址和预留假设。每行使用各自的官方 r / h / k 参数。</v>
      </c>
      <c r="D3" s="250"/>
      <c r="E3" s="250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245"/>
      <c r="U4" s="245"/>
      <c r="V4" s="245"/>
      <c r="W4" s="245"/>
      <c r="X4" s="245"/>
      <c r="Y4" s="245"/>
    </row>
    <row r="5" ht="20" customHeight="1">
      <c r="C5" s="263" t="str">
        <v>目标</v>
      </c>
      <c r="D5" s="264">
        <f>'单币测算'!$D$9</f>
      </c>
      <c r="E5" s="263" t="str">
        <v>买税</v>
      </c>
      <c r="F5" s="264">
        <f>'单币测算'!$D$10</f>
      </c>
      <c r="G5" s="263" t="str">
        <v>卖税</v>
      </c>
      <c r="H5" s="264">
        <f>'单币测算'!$D$11</f>
      </c>
      <c r="I5" s="263" t="str">
        <v>内盘套数</v>
      </c>
      <c r="J5" s="265">
        <f>'单币测算'!$D$12</f>
      </c>
      <c r="K5" s="263" t="str">
        <v>LP 费</v>
      </c>
      <c r="L5" s="264" t="n">
        <v>0.0025</v>
      </c>
      <c r="M5" s="263" t="str"/>
      <c r="N5" s="263" t="str"/>
      <c r="O5" s="263" t="str"/>
      <c r="P5" s="263" t="str"/>
      <c r="Q5" s="263" t="str"/>
      <c r="R5" s="263" t="str"/>
      <c r="S5" s="263" t="str"/>
      <c r="T5" s="263" t="str"/>
      <c r="U5" s="263" t="str"/>
      <c r="V5" s="263" t="str"/>
      <c r="W5" s="263" t="str"/>
      <c r="X5" s="263" t="str"/>
      <c r="Y5" s="263" t="str"/>
    </row>
    <row r="6" ht="20" customHeight="1">
      <c r="C6" s="245"/>
      <c r="D6" s="245"/>
      <c r="E6" s="245"/>
      <c r="F6" s="245"/>
      <c r="G6" s="245"/>
      <c r="H6" s="245"/>
      <c r="I6" s="245"/>
      <c r="J6" s="245"/>
      <c r="K6" s="245"/>
      <c r="L6" s="245"/>
      <c r="M6" s="245"/>
      <c r="N6" s="245"/>
      <c r="O6" s="245"/>
      <c r="P6" s="245"/>
      <c r="Q6" s="245"/>
      <c r="R6" s="245"/>
      <c r="S6" s="245"/>
      <c r="T6" s="245"/>
      <c r="U6" s="245"/>
      <c r="V6" s="245"/>
      <c r="W6" s="245"/>
      <c r="X6" s="245"/>
      <c r="Y6" s="245"/>
    </row>
    <row r="7" ht="36" customHeight="1">
      <c r="C7" s="19" t="str">
        <v>Symbol</v>
      </c>
      <c r="D7" s="20" t="str">
        <v>名称</v>
      </c>
      <c r="E7" s="20" t="str">
        <v>类别</v>
      </c>
      <c r="F7" s="20" t="str">
        <v>Decimals</v>
      </c>
      <c r="G7" s="20" t="str">
        <v>r</v>
      </c>
      <c r="H7" s="20" t="str">
        <v>h</v>
      </c>
      <c r="I7" s="20" t="str">
        <v>k</v>
      </c>
      <c r="J7" s="20" t="str">
        <v>毕业真实 Quote</v>
      </c>
      <c r="K7" s="20" t="str">
        <v>Outer K</v>
      </c>
      <c r="L7" s="20" t="str">
        <v>净控筹上限</v>
      </c>
      <c r="M7" s="20" t="str">
        <v>一套内盘</v>
      </c>
      <c r="N7" s="20" t="str">
        <v>需扫出 TOKEN</v>
      </c>
      <c r="O7" s="20" t="str">
        <v>Pool TOKEN</v>
      </c>
      <c r="P7" s="20" t="str">
        <v>Pool Quote</v>
      </c>
      <c r="Q7" s="20" t="str">
        <v>外盘投入</v>
      </c>
      <c r="R7" s="20" t="str">
        <v>理论累计</v>
      </c>
      <c r="S7" s="20" t="str">
        <v>FDV</v>
      </c>
      <c r="T7" s="20" t="str">
        <v>洗筹总费率</v>
      </c>
      <c r="U7" s="20" t="str">
        <v>洗筹损耗</v>
      </c>
      <c r="V7" s="20" t="str">
        <v>预留</v>
      </c>
      <c r="W7" s="20" t="str">
        <v>建议 Quote 总资金</v>
      </c>
      <c r="X7" s="20" t="str">
        <v>Gas BNB</v>
      </c>
      <c r="Y7" s="21" t="str">
        <v>状态</v>
      </c>
    </row>
    <row r="8" ht="20" customHeight="1">
      <c r="C8" s="30" t="str">
        <v>SPCXB</v>
      </c>
      <c r="D8" s="30" t="str">
        <v>SpaceX</v>
      </c>
      <c r="E8" s="30" t="str">
        <v>股票 / ETF RWA</v>
      </c>
      <c r="F8" s="30" t="n">
        <v>18</v>
      </c>
      <c r="G8" s="92" t="n">
        <v>34.26749453</v>
      </c>
      <c r="H8" s="92" t="n">
        <v>107036751</v>
      </c>
      <c r="I8" s="92" t="n">
        <v>37935375809.401474</v>
      </c>
      <c r="J8" s="92" t="n">
        <v>89.28571428245735</v>
      </c>
      <c r="K8" s="92" t="n">
        <v>17857142856.491467</v>
      </c>
      <c r="L8" s="96">
        <f>0.8+(1-'单币测算'!$D$10)*0.19999999999999996</f>
      </c>
      <c r="M8" s="93">
        <f>J8*(1+0.01+'单币测算'!$D$10)</f>
      </c>
      <c r="N8" s="93">
        <f>IF('单币测算'!$D$9+1%&lt;L8,MAX(0,('单币测算'!$D$9+1%-0.8)*1000000000)/(1-'单币测算'!$D$10),"")</f>
      </c>
      <c r="O8" s="93">
        <f>IF(N8="","",199999999.99999997-N8)</f>
      </c>
      <c r="P8" s="93">
        <f>IF(O8="","",K8/O8)</f>
      </c>
      <c r="Q8" s="93">
        <f>IF(P8="","",(P8-J8)*(1+0.0025))</f>
      </c>
      <c r="R8" s="93">
        <f>IF(Q8="","",M8+Q8)</f>
      </c>
      <c r="S8" s="93">
        <f>IF(P8="","",P8/O8*1000000000)</f>
      </c>
      <c r="T8" s="67">
        <f>0.005+'单币测算'!$D$10+'单币测算'!$D$11</f>
      </c>
      <c r="U8" s="93">
        <f>IF(S8="","",S8*T8)</f>
      </c>
      <c r="V8" s="93">
        <f>'单币测算'!$D$17</f>
      </c>
      <c r="W8" s="102">
        <f>IF(R8="","",SUM(R8,M8*MAX(0,'单币测算'!$D$12-1),U8,V8))</f>
      </c>
      <c r="X8" s="93">
        <f>(MAX(0,'单币测算'!$D$13)*MAX(0,'单币测算'!$D$12)+MAX(0,'单币测算'!$D$14)+MAX(0,'单币测算'!$D$15))*MAX(0,'单币测算'!$D$16)</f>
      </c>
      <c r="Y8" s="24">
        <f>IF('单币测算'!$D$9+1%&gt;=L8,"不可达","可达")</f>
      </c>
    </row>
    <row r="9" ht="20" customHeight="1">
      <c r="C9" s="32" t="str">
        <v>SKHYB</v>
      </c>
      <c r="D9" s="32" t="str">
        <v>SK Hynix</v>
      </c>
      <c r="E9" s="32" t="str">
        <v>股票 / ETF RWA</v>
      </c>
      <c r="F9" s="32" t="n">
        <v>18</v>
      </c>
      <c r="G9" s="94" t="n">
        <v>24.38502698</v>
      </c>
      <c r="H9" s="94" t="n">
        <v>107036751</v>
      </c>
      <c r="I9" s="94" t="n">
        <v>26995121040.98654</v>
      </c>
      <c r="J9" s="94" t="n">
        <v>63.536438294320014</v>
      </c>
      <c r="K9" s="94" t="n">
        <v>12707287658.864</v>
      </c>
      <c r="L9" s="97">
        <f>0.8+(1-'单币测算'!$D$10)*0.19999999999999996</f>
      </c>
      <c r="M9" s="68">
        <f>J9*(1+0.01+'单币测算'!$D$10)</f>
      </c>
      <c r="N9" s="68">
        <f>IF('单币测算'!$D$9+1%&lt;L9,MAX(0,('单币测算'!$D$9+1%-0.8)*1000000000)/(1-'单币测算'!$D$10),"")</f>
      </c>
      <c r="O9" s="68">
        <f>IF(N9="","",199999999.99999997-N9)</f>
      </c>
      <c r="P9" s="68">
        <f>IF(O9="","",K9/O9)</f>
      </c>
      <c r="Q9" s="68">
        <f>IF(P9="","",(P9-J9)*(1+0.0025))</f>
      </c>
      <c r="R9" s="68">
        <f>IF(Q9="","",M9+Q9)</f>
      </c>
      <c r="S9" s="68">
        <f>IF(P9="","",P9/O9*1000000000)</f>
      </c>
      <c r="T9" s="69">
        <f>0.005+'单币测算'!$D$10+'单币测算'!$D$11</f>
      </c>
      <c r="U9" s="68">
        <f>IF(S9="","",S9*T9)</f>
      </c>
      <c r="V9" s="68">
        <f>'单币测算'!$D$17</f>
      </c>
      <c r="W9" s="103">
        <f>IF(R9="","",SUM(R9,M9*MAX(0,'单币测算'!$D$12-1),U9,V9))</f>
      </c>
      <c r="X9" s="68">
        <f>(MAX(0,'单币测算'!$D$13)*MAX(0,'单币测算'!$D$12)+MAX(0,'单币测算'!$D$14)+MAX(0,'单币测算'!$D$15))*MAX(0,'单币测算'!$D$16)</f>
      </c>
      <c r="Y9" s="25">
        <f>IF('单币测算'!$D$9+1%&gt;=L9,"不可达","可达")</f>
      </c>
    </row>
    <row r="10" ht="20" customHeight="1">
      <c r="C10" s="32" t="str">
        <v>SPYB</v>
      </c>
      <c r="D10" s="32" t="str">
        <v>SPY</v>
      </c>
      <c r="E10" s="32" t="str">
        <v>股票 / ETF RWA</v>
      </c>
      <c r="F10" s="32" t="n">
        <v>18</v>
      </c>
      <c r="G10" s="94" t="n">
        <v>5.13783051</v>
      </c>
      <c r="H10" s="94" t="n">
        <v>107036751</v>
      </c>
      <c r="I10" s="94" t="n">
        <v>5687767194.979073</v>
      </c>
      <c r="J10" s="94" t="n">
        <v>13.386880868863805</v>
      </c>
      <c r="K10" s="94" t="n">
        <v>2677376173.772761</v>
      </c>
      <c r="L10" s="97">
        <f>0.8+(1-'单币测算'!$D$10)*0.19999999999999996</f>
      </c>
      <c r="M10" s="68">
        <f>J10*(1+0.01+'单币测算'!$D$10)</f>
      </c>
      <c r="N10" s="68">
        <f>IF('单币测算'!$D$9+1%&lt;L10,MAX(0,('单币测算'!$D$9+1%-0.8)*1000000000)/(1-'单币测算'!$D$10),"")</f>
      </c>
      <c r="O10" s="68">
        <f>IF(N10="","",199999999.99999997-N10)</f>
      </c>
      <c r="P10" s="68">
        <f>IF(O10="","",K10/O10)</f>
      </c>
      <c r="Q10" s="68">
        <f>IF(P10="","",(P10-J10)*(1+0.0025))</f>
      </c>
      <c r="R10" s="68">
        <f>IF(Q10="","",M10+Q10)</f>
      </c>
      <c r="S10" s="68">
        <f>IF(P10="","",P10/O10*1000000000)</f>
      </c>
      <c r="T10" s="69">
        <f>0.005+'单币测算'!$D$10+'单币测算'!$D$11</f>
      </c>
      <c r="U10" s="68">
        <f>IF(S10="","",S10*T10)</f>
      </c>
      <c r="V10" s="68">
        <f>'单币测算'!$D$17</f>
      </c>
      <c r="W10" s="103">
        <f>IF(R10="","",SUM(R10,M10*MAX(0,'单币测算'!$D$12-1),U10,V10))</f>
      </c>
      <c r="X10" s="68">
        <f>(MAX(0,'单币测算'!$D$13)*MAX(0,'单币测算'!$D$12)+MAX(0,'单币测算'!$D$14)+MAX(0,'单币测算'!$D$15))*MAX(0,'单币测算'!$D$16)</f>
      </c>
      <c r="Y10" s="25">
        <f>IF('单币测算'!$D$9+1%&gt;=L10,"不可达","可达")</f>
      </c>
    </row>
    <row r="11" ht="20" customHeight="1">
      <c r="C11" s="32" t="str">
        <v>XAUT</v>
      </c>
      <c r="D11" s="32" t="str">
        <v>Tether Gold</v>
      </c>
      <c r="E11" s="32" t="str">
        <v>黄金 RWA</v>
      </c>
      <c r="F11" s="32" t="n">
        <v>6</v>
      </c>
      <c r="G11" s="94" t="n">
        <v>0.94232929</v>
      </c>
      <c r="H11" s="94" t="n">
        <v>107036751</v>
      </c>
      <c r="I11" s="94" t="n">
        <v>1043193155.5737368</v>
      </c>
      <c r="J11" s="94" t="n">
        <v>2.4552872890450823</v>
      </c>
      <c r="K11" s="94" t="n">
        <v>491057457.8090164</v>
      </c>
      <c r="L11" s="97">
        <f>0.8+(1-'单币测算'!$D$10)*0.19999999999999996</f>
      </c>
      <c r="M11" s="68">
        <f>J11*(1+0.01+'单币测算'!$D$10)</f>
      </c>
      <c r="N11" s="68">
        <f>IF('单币测算'!$D$9+1%&lt;L11,MAX(0,('单币测算'!$D$9+1%-0.8)*1000000000)/(1-'单币测算'!$D$10),"")</f>
      </c>
      <c r="O11" s="68">
        <f>IF(N11="","",199999999.99999997-N11)</f>
      </c>
      <c r="P11" s="68">
        <f>IF(O11="","",K11/O11)</f>
      </c>
      <c r="Q11" s="68">
        <f>IF(P11="","",(P11-J11)*(1+0.0025))</f>
      </c>
      <c r="R11" s="68">
        <f>IF(Q11="","",M11+Q11)</f>
      </c>
      <c r="S11" s="68">
        <f>IF(P11="","",P11/O11*1000000000)</f>
      </c>
      <c r="T11" s="69">
        <f>0.005+'单币测算'!$D$10+'单币测算'!$D$11</f>
      </c>
      <c r="U11" s="68">
        <f>IF(S11="","",S11*T11)</f>
      </c>
      <c r="V11" s="68">
        <f>'单币测算'!$D$17</f>
      </c>
      <c r="W11" s="103">
        <f>IF(R11="","",SUM(R11,M11*MAX(0,'单币测算'!$D$12-1),U11,V11))</f>
      </c>
      <c r="X11" s="68">
        <f>(MAX(0,'单币测算'!$D$13)*MAX(0,'单币测算'!$D$12)+MAX(0,'单币测算'!$D$14)+MAX(0,'单币测算'!$D$15))*MAX(0,'单币测算'!$D$16)</f>
      </c>
      <c r="Y11" s="25">
        <f>IF('单币测算'!$D$9+1%&gt;=L11,"不可达","可达")</f>
      </c>
    </row>
    <row r="12" ht="20" customHeight="1">
      <c r="C12" s="32" t="str">
        <v>QQQB</v>
      </c>
      <c r="D12" s="32" t="str">
        <v>Invesco QQQ Trust</v>
      </c>
      <c r="E12" s="32" t="str">
        <v>股票 / ETF RWA</v>
      </c>
      <c r="F12" s="32" t="n">
        <v>18</v>
      </c>
      <c r="G12" s="94" t="n">
        <v>5.68592593</v>
      </c>
      <c r="H12" s="94" t="n">
        <v>107036751</v>
      </c>
      <c r="I12" s="94" t="n">
        <v>6294528967.973853</v>
      </c>
      <c r="J12" s="94" t="n">
        <v>14.814971592765453</v>
      </c>
      <c r="K12" s="94" t="n">
        <v>2962994318.55309</v>
      </c>
      <c r="L12" s="97">
        <f>0.8+(1-'单币测算'!$D$10)*0.19999999999999996</f>
      </c>
      <c r="M12" s="68">
        <f>J12*(1+0.01+'单币测算'!$D$10)</f>
      </c>
      <c r="N12" s="68">
        <f>IF('单币测算'!$D$9+1%&lt;L12,MAX(0,('单币测算'!$D$9+1%-0.8)*1000000000)/(1-'单币测算'!$D$10),"")</f>
      </c>
      <c r="O12" s="68">
        <f>IF(N12="","",199999999.99999997-N12)</f>
      </c>
      <c r="P12" s="68">
        <f>IF(O12="","",K12/O12)</f>
      </c>
      <c r="Q12" s="68">
        <f>IF(P12="","",(P12-J12)*(1+0.0025))</f>
      </c>
      <c r="R12" s="68">
        <f>IF(Q12="","",M12+Q12)</f>
      </c>
      <c r="S12" s="68">
        <f>IF(P12="","",P12/O12*1000000000)</f>
      </c>
      <c r="T12" s="69">
        <f>0.005+'单币测算'!$D$10+'单币测算'!$D$11</f>
      </c>
      <c r="U12" s="68">
        <f>IF(S12="","",S12*T12)</f>
      </c>
      <c r="V12" s="68">
        <f>'单币测算'!$D$17</f>
      </c>
      <c r="W12" s="103">
        <f>IF(R12="","",SUM(R12,M12*MAX(0,'单币测算'!$D$12-1),U12,V12))</f>
      </c>
      <c r="X12" s="68">
        <f>(MAX(0,'单币测算'!$D$13)*MAX(0,'单币测算'!$D$12)+MAX(0,'单币测算'!$D$14)+MAX(0,'单币测算'!$D$15))*MAX(0,'单币测算'!$D$16)</f>
      </c>
      <c r="Y12" s="25">
        <f>IF('单币测算'!$D$9+1%&gt;=L12,"不可达","可达")</f>
      </c>
    </row>
    <row r="13" ht="20" customHeight="1">
      <c r="C13" s="32" t="str">
        <v>NVDAB</v>
      </c>
      <c r="D13" s="32" t="str">
        <v>NVIDIA Corp</v>
      </c>
      <c r="E13" s="32" t="str">
        <v>股票 / ETF RWA</v>
      </c>
      <c r="F13" s="32" t="n">
        <v>18</v>
      </c>
      <c r="G13" s="94" t="n">
        <v>17.36633207</v>
      </c>
      <c r="H13" s="94" t="n">
        <v>107036751</v>
      </c>
      <c r="I13" s="94" t="n">
        <v>19225167831.559906</v>
      </c>
      <c r="J13" s="94" t="n">
        <v>45.24886877792685</v>
      </c>
      <c r="K13" s="94" t="n">
        <v>9049773755.58537</v>
      </c>
      <c r="L13" s="97">
        <f>0.8+(1-'单币测算'!$D$10)*0.19999999999999996</f>
      </c>
      <c r="M13" s="68">
        <f>J13*(1+0.01+'单币测算'!$D$10)</f>
      </c>
      <c r="N13" s="68">
        <f>IF('单币测算'!$D$9+1%&lt;L13,MAX(0,('单币测算'!$D$9+1%-0.8)*1000000000)/(1-'单币测算'!$D$10),"")</f>
      </c>
      <c r="O13" s="68">
        <f>IF(N13="","",199999999.99999997-N13)</f>
      </c>
      <c r="P13" s="68">
        <f>IF(O13="","",K13/O13)</f>
      </c>
      <c r="Q13" s="68">
        <f>IF(P13="","",(P13-J13)*(1+0.0025))</f>
      </c>
      <c r="R13" s="68">
        <f>IF(Q13="","",M13+Q13)</f>
      </c>
      <c r="S13" s="68">
        <f>IF(P13="","",P13/O13*1000000000)</f>
      </c>
      <c r="T13" s="69">
        <f>0.005+'单币测算'!$D$10+'单币测算'!$D$11</f>
      </c>
      <c r="U13" s="68">
        <f>IF(S13="","",S13*T13)</f>
      </c>
      <c r="V13" s="68">
        <f>'单币测算'!$D$17</f>
      </c>
      <c r="W13" s="103">
        <f>IF(R13="","",SUM(R13,M13*MAX(0,'单币测算'!$D$12-1),U13,V13))</f>
      </c>
      <c r="X13" s="68">
        <f>(MAX(0,'单币测算'!$D$13)*MAX(0,'单币测算'!$D$12)+MAX(0,'单币测算'!$D$14)+MAX(0,'单币测算'!$D$15))*MAX(0,'单币测算'!$D$16)</f>
      </c>
      <c r="Y13" s="25">
        <f>IF('单币测算'!$D$9+1%&gt;=L13,"不可达","可达")</f>
      </c>
    </row>
    <row r="14" ht="20" customHeight="1">
      <c r="C14" s="32" t="str">
        <v>AAPLB</v>
      </c>
      <c r="D14" s="32" t="str">
        <v>Apple</v>
      </c>
      <c r="E14" s="32" t="str">
        <v>股票 / ETF RWA</v>
      </c>
      <c r="F14" s="32" t="n">
        <v>18</v>
      </c>
      <c r="G14" s="94" t="n">
        <v>11.63030303</v>
      </c>
      <c r="H14" s="94" t="n">
        <v>107036751</v>
      </c>
      <c r="I14" s="94" t="n">
        <v>12875172879.476656</v>
      </c>
      <c r="J14" s="94" t="n">
        <v>30.303350962699575</v>
      </c>
      <c r="K14" s="94" t="n">
        <v>6060670192.539914</v>
      </c>
      <c r="L14" s="97">
        <f>0.8+(1-'单币测算'!$D$10)*0.19999999999999996</f>
      </c>
      <c r="M14" s="68">
        <f>J14*(1+0.01+'单币测算'!$D$10)</f>
      </c>
      <c r="N14" s="68">
        <f>IF('单币测算'!$D$9+1%&lt;L14,MAX(0,('单币测算'!$D$9+1%-0.8)*1000000000)/(1-'单币测算'!$D$10),"")</f>
      </c>
      <c r="O14" s="68">
        <f>IF(N14="","",199999999.99999997-N14)</f>
      </c>
      <c r="P14" s="68">
        <f>IF(O14="","",K14/O14)</f>
      </c>
      <c r="Q14" s="68">
        <f>IF(P14="","",(P14-J14)*(1+0.0025))</f>
      </c>
      <c r="R14" s="68">
        <f>IF(Q14="","",M14+Q14)</f>
      </c>
      <c r="S14" s="68">
        <f>IF(P14="","",P14/O14*1000000000)</f>
      </c>
      <c r="T14" s="69">
        <f>0.005+'单币测算'!$D$10+'单币测算'!$D$11</f>
      </c>
      <c r="U14" s="68">
        <f>IF(S14="","",S14*T14)</f>
      </c>
      <c r="V14" s="68">
        <f>'单币测算'!$D$17</f>
      </c>
      <c r="W14" s="103">
        <f>IF(R14="","",SUM(R14,M14*MAX(0,'单币测算'!$D$12-1),U14,V14))</f>
      </c>
      <c r="X14" s="68">
        <f>(MAX(0,'单币测算'!$D$13)*MAX(0,'单币测算'!$D$12)+MAX(0,'单币测算'!$D$14)+MAX(0,'单币测算'!$D$15))*MAX(0,'单币测算'!$D$16)</f>
      </c>
      <c r="Y14" s="25">
        <f>IF('单币测算'!$D$9+1%&gt;=L14,"不可达","可达")</f>
      </c>
    </row>
    <row r="15" ht="20" customHeight="1">
      <c r="C15" s="32" t="str">
        <v>TSLAB</v>
      </c>
      <c r="D15" s="32" t="str">
        <v>Tesla</v>
      </c>
      <c r="E15" s="32" t="str">
        <v>股票 / ETF RWA</v>
      </c>
      <c r="F15" s="32" t="n">
        <v>18</v>
      </c>
      <c r="G15" s="94" t="n">
        <v>12.79</v>
      </c>
      <c r="H15" s="94" t="n">
        <v>107036751</v>
      </c>
      <c r="I15" s="94" t="n">
        <v>14159000045.29</v>
      </c>
      <c r="J15" s="94" t="n">
        <v>33.32500088890011</v>
      </c>
      <c r="K15" s="94" t="n">
        <v>6665000177.780021</v>
      </c>
      <c r="L15" s="97">
        <f>0.8+(1-'单币测算'!$D$10)*0.19999999999999996</f>
      </c>
      <c r="M15" s="68">
        <f>J15*(1+0.01+'单币测算'!$D$10)</f>
      </c>
      <c r="N15" s="68">
        <f>IF('单币测算'!$D$9+1%&lt;L15,MAX(0,('单币测算'!$D$9+1%-0.8)*1000000000)/(1-'单币测算'!$D$10),"")</f>
      </c>
      <c r="O15" s="68">
        <f>IF(N15="","",199999999.99999997-N15)</f>
      </c>
      <c r="P15" s="68">
        <f>IF(O15="","",K15/O15)</f>
      </c>
      <c r="Q15" s="68">
        <f>IF(P15="","",(P15-J15)*(1+0.0025))</f>
      </c>
      <c r="R15" s="68">
        <f>IF(Q15="","",M15+Q15)</f>
      </c>
      <c r="S15" s="68">
        <f>IF(P15="","",P15/O15*1000000000)</f>
      </c>
      <c r="T15" s="69">
        <f>0.005+'单币测算'!$D$10+'单币测算'!$D$11</f>
      </c>
      <c r="U15" s="68">
        <f>IF(S15="","",S15*T15)</f>
      </c>
      <c r="V15" s="68">
        <f>'单币测算'!$D$17</f>
      </c>
      <c r="W15" s="103">
        <f>IF(R15="","",SUM(R15,M15*MAX(0,'单币测算'!$D$12-1),U15,V15))</f>
      </c>
      <c r="X15" s="68">
        <f>(MAX(0,'单币测算'!$D$13)*MAX(0,'单币测算'!$D$12)+MAX(0,'单币测算'!$D$14)+MAX(0,'单币测算'!$D$15))*MAX(0,'单币测算'!$D$16)</f>
      </c>
      <c r="Y15" s="25">
        <f>IF('单币测算'!$D$9+1%&gt;=L15,"不可达","可达")</f>
      </c>
    </row>
    <row r="16" ht="20" customHeight="1">
      <c r="C16" s="32" t="str">
        <v>MSFTB</v>
      </c>
      <c r="D16" s="32" t="str">
        <v>Microsoft</v>
      </c>
      <c r="E16" s="32" t="str">
        <v>股票 / ETF RWA</v>
      </c>
      <c r="F16" s="32" t="n">
        <v>18</v>
      </c>
      <c r="G16" s="94" t="n">
        <v>8.52666667</v>
      </c>
      <c r="H16" s="94" t="n">
        <v>107036751</v>
      </c>
      <c r="I16" s="94" t="n">
        <v>9439333367.21679</v>
      </c>
      <c r="J16" s="94" t="n">
        <v>22.216667267951905</v>
      </c>
      <c r="K16" s="94" t="n">
        <v>4443333453.590381</v>
      </c>
      <c r="L16" s="97">
        <f>0.8+(1-'单币测算'!$D$10)*0.19999999999999996</f>
      </c>
      <c r="M16" s="68">
        <f>J16*(1+0.01+'单币测算'!$D$10)</f>
      </c>
      <c r="N16" s="68">
        <f>IF('单币测算'!$D$9+1%&lt;L16,MAX(0,('单币测算'!$D$9+1%-0.8)*1000000000)/(1-'单币测算'!$D$10),"")</f>
      </c>
      <c r="O16" s="68">
        <f>IF(N16="","",199999999.99999997-N16)</f>
      </c>
      <c r="P16" s="68">
        <f>IF(O16="","",K16/O16)</f>
      </c>
      <c r="Q16" s="68">
        <f>IF(P16="","",(P16-J16)*(1+0.0025))</f>
      </c>
      <c r="R16" s="68">
        <f>IF(Q16="","",M16+Q16)</f>
      </c>
      <c r="S16" s="68">
        <f>IF(P16="","",P16/O16*1000000000)</f>
      </c>
      <c r="T16" s="69">
        <f>0.005+'单币测算'!$D$10+'单币测算'!$D$11</f>
      </c>
      <c r="U16" s="68">
        <f>IF(S16="","",S16*T16)</f>
      </c>
      <c r="V16" s="68">
        <f>'单币测算'!$D$17</f>
      </c>
      <c r="W16" s="103">
        <f>IF(R16="","",SUM(R16,M16*MAX(0,'单币测算'!$D$12-1),U16,V16))</f>
      </c>
      <c r="X16" s="68">
        <f>(MAX(0,'单币测算'!$D$13)*MAX(0,'单币测算'!$D$12)+MAX(0,'单币测算'!$D$14)+MAX(0,'单币测算'!$D$15))*MAX(0,'单币测算'!$D$16)</f>
      </c>
      <c r="Y16" s="25">
        <f>IF('单币测算'!$D$9+1%&gt;=L16,"不可达","可达")</f>
      </c>
    </row>
    <row r="17" ht="20" customHeight="1">
      <c r="C17" s="32" t="str">
        <v>GOOGLB</v>
      </c>
      <c r="D17" s="32" t="str">
        <v>Alphabet</v>
      </c>
      <c r="E17" s="32" t="str">
        <v>股票 / ETF RWA</v>
      </c>
      <c r="F17" s="32" t="n">
        <v>18</v>
      </c>
      <c r="G17" s="94" t="n">
        <v>11.63030303</v>
      </c>
      <c r="H17" s="94" t="n">
        <v>107036751</v>
      </c>
      <c r="I17" s="94" t="n">
        <v>12875172879.476656</v>
      </c>
      <c r="J17" s="94" t="n">
        <v>30.303350962699575</v>
      </c>
      <c r="K17" s="94" t="n">
        <v>6060670192.539914</v>
      </c>
      <c r="L17" s="97">
        <f>0.8+(1-'单币测算'!$D$10)*0.19999999999999996</f>
      </c>
      <c r="M17" s="68">
        <f>J17*(1+0.01+'单币测算'!$D$10)</f>
      </c>
      <c r="N17" s="68">
        <f>IF('单币测算'!$D$9+1%&lt;L17,MAX(0,('单币测算'!$D$9+1%-0.8)*1000000000)/(1-'单币测算'!$D$10),"")</f>
      </c>
      <c r="O17" s="68">
        <f>IF(N17="","",199999999.99999997-N17)</f>
      </c>
      <c r="P17" s="68">
        <f>IF(O17="","",K17/O17)</f>
      </c>
      <c r="Q17" s="68">
        <f>IF(P17="","",(P17-J17)*(1+0.0025))</f>
      </c>
      <c r="R17" s="68">
        <f>IF(Q17="","",M17+Q17)</f>
      </c>
      <c r="S17" s="68">
        <f>IF(P17="","",P17/O17*1000000000)</f>
      </c>
      <c r="T17" s="69">
        <f>0.005+'单币测算'!$D$10+'单币测算'!$D$11</f>
      </c>
      <c r="U17" s="68">
        <f>IF(S17="","",S17*T17)</f>
      </c>
      <c r="V17" s="68">
        <f>'单币测算'!$D$17</f>
      </c>
      <c r="W17" s="103">
        <f>IF(R17="","",SUM(R17,M17*MAX(0,'单币测算'!$D$12-1),U17,V17))</f>
      </c>
      <c r="X17" s="68">
        <f>(MAX(0,'单币测算'!$D$13)*MAX(0,'单币测算'!$D$12)+MAX(0,'单币测算'!$D$14)+MAX(0,'单币测算'!$D$15))*MAX(0,'单币测算'!$D$16)</f>
      </c>
      <c r="Y17" s="25">
        <f>IF('单币测算'!$D$9+1%&gt;=L17,"不可达","可达")</f>
      </c>
    </row>
    <row r="18" ht="20" customHeight="1">
      <c r="C18" s="32" t="str">
        <v>HOODB</v>
      </c>
      <c r="D18" s="32" t="str">
        <v>Robinhood</v>
      </c>
      <c r="E18" s="32" t="str">
        <v>股票 / ETF RWA</v>
      </c>
      <c r="F18" s="32" t="n">
        <v>18</v>
      </c>
      <c r="G18" s="94" t="n">
        <v>34.26749453</v>
      </c>
      <c r="H18" s="94" t="n">
        <v>107036751</v>
      </c>
      <c r="I18" s="94" t="n">
        <v>37935375809.401474</v>
      </c>
      <c r="J18" s="94" t="n">
        <v>89.28571428245735</v>
      </c>
      <c r="K18" s="94" t="n">
        <v>17857142856.491467</v>
      </c>
      <c r="L18" s="97">
        <f>0.8+(1-'单币测算'!$D$10)*0.19999999999999996</f>
      </c>
      <c r="M18" s="68">
        <f>J18*(1+0.01+'单币测算'!$D$10)</f>
      </c>
      <c r="N18" s="68">
        <f>IF('单币测算'!$D$9+1%&lt;L18,MAX(0,('单币测算'!$D$9+1%-0.8)*1000000000)/(1-'单币测算'!$D$10),"")</f>
      </c>
      <c r="O18" s="68">
        <f>IF(N18="","",199999999.99999997-N18)</f>
      </c>
      <c r="P18" s="68">
        <f>IF(O18="","",K18/O18)</f>
      </c>
      <c r="Q18" s="68">
        <f>IF(P18="","",(P18-J18)*(1+0.0025))</f>
      </c>
      <c r="R18" s="68">
        <f>IF(Q18="","",M18+Q18)</f>
      </c>
      <c r="S18" s="68">
        <f>IF(P18="","",P18/O18*1000000000)</f>
      </c>
      <c r="T18" s="69">
        <f>0.005+'单币测算'!$D$10+'单币测算'!$D$11</f>
      </c>
      <c r="U18" s="68">
        <f>IF(S18="","",S18*T18)</f>
      </c>
      <c r="V18" s="68">
        <f>'单币测算'!$D$17</f>
      </c>
      <c r="W18" s="103">
        <f>IF(R18="","",SUM(R18,M18*MAX(0,'单币测算'!$D$12-1),U18,V18))</f>
      </c>
      <c r="X18" s="68">
        <f>(MAX(0,'单币测算'!$D$13)*MAX(0,'单币测算'!$D$12)+MAX(0,'单币测算'!$D$14)+MAX(0,'单币测算'!$D$15))*MAX(0,'单币测算'!$D$16)</f>
      </c>
      <c r="Y18" s="25">
        <f>IF('单币测算'!$D$9+1%&gt;=L18,"不可达","可达")</f>
      </c>
    </row>
    <row r="19" ht="20" customHeight="1">
      <c r="C19" s="32" t="str">
        <v>BABAB</v>
      </c>
      <c r="D19" s="32" t="str">
        <v>Alibaba</v>
      </c>
      <c r="E19" s="32" t="str">
        <v>股票 / ETF RWA</v>
      </c>
      <c r="F19" s="32" t="n">
        <v>18</v>
      </c>
      <c r="G19" s="94" t="n">
        <v>30.696</v>
      </c>
      <c r="H19" s="94" t="n">
        <v>107036751</v>
      </c>
      <c r="I19" s="94" t="n">
        <v>33981600108.696</v>
      </c>
      <c r="J19" s="94" t="n">
        <v>79.98000213336024</v>
      </c>
      <c r="K19" s="94" t="n">
        <v>15996000426.672047</v>
      </c>
      <c r="L19" s="97">
        <f>0.8+(1-'单币测算'!$D$10)*0.19999999999999996</f>
      </c>
      <c r="M19" s="68">
        <f>J19*(1+0.01+'单币测算'!$D$10)</f>
      </c>
      <c r="N19" s="68">
        <f>IF('单币测算'!$D$9+1%&lt;L19,MAX(0,('单币测算'!$D$9+1%-0.8)*1000000000)/(1-'单币测算'!$D$10),"")</f>
      </c>
      <c r="O19" s="68">
        <f>IF(N19="","",199999999.99999997-N19)</f>
      </c>
      <c r="P19" s="68">
        <f>IF(O19="","",K19/O19)</f>
      </c>
      <c r="Q19" s="68">
        <f>IF(P19="","",(P19-J19)*(1+0.0025))</f>
      </c>
      <c r="R19" s="68">
        <f>IF(Q19="","",M19+Q19)</f>
      </c>
      <c r="S19" s="68">
        <f>IF(P19="","",P19/O19*1000000000)</f>
      </c>
      <c r="T19" s="69">
        <f>0.005+'单币测算'!$D$10+'单币测算'!$D$11</f>
      </c>
      <c r="U19" s="68">
        <f>IF(S19="","",S19*T19)</f>
      </c>
      <c r="V19" s="68">
        <f>'单币测算'!$D$17</f>
      </c>
      <c r="W19" s="103">
        <f>IF(R19="","",SUM(R19,M19*MAX(0,'单币测算'!$D$12-1),U19,V19))</f>
      </c>
      <c r="X19" s="68">
        <f>(MAX(0,'单币测算'!$D$13)*MAX(0,'单币测算'!$D$12)+MAX(0,'单币测算'!$D$14)+MAX(0,'单币测算'!$D$15))*MAX(0,'单币测算'!$D$16)</f>
      </c>
      <c r="Y19" s="25">
        <f>IF('单币测算'!$D$9+1%&gt;=L19,"不可达","可达")</f>
      </c>
    </row>
    <row r="20" ht="20" customHeight="1">
      <c r="C20" s="32" t="str">
        <v>GMEB</v>
      </c>
      <c r="D20" s="32" t="str">
        <v>GameStop</v>
      </c>
      <c r="E20" s="32" t="str">
        <v>股票 / ETF RWA</v>
      </c>
      <c r="F20" s="32" t="n">
        <v>18</v>
      </c>
      <c r="G20" s="94" t="n">
        <v>177.68330498</v>
      </c>
      <c r="H20" s="94" t="n">
        <v>107036751</v>
      </c>
      <c r="I20" s="94" t="n">
        <v>196701948652.0013</v>
      </c>
      <c r="J20" s="94" t="n">
        <v>462.96296297116555</v>
      </c>
      <c r="K20" s="94" t="n">
        <v>92592592594.2331</v>
      </c>
      <c r="L20" s="97">
        <f>0.8+(1-'单币测算'!$D$10)*0.19999999999999996</f>
      </c>
      <c r="M20" s="68">
        <f>J20*(1+0.01+'单币测算'!$D$10)</f>
      </c>
      <c r="N20" s="68">
        <f>IF('单币测算'!$D$9+1%&lt;L20,MAX(0,('单币测算'!$D$9+1%-0.8)*1000000000)/(1-'单币测算'!$D$10),"")</f>
      </c>
      <c r="O20" s="68">
        <f>IF(N20="","",199999999.99999997-N20)</f>
      </c>
      <c r="P20" s="68">
        <f>IF(O20="","",K20/O20)</f>
      </c>
      <c r="Q20" s="68">
        <f>IF(P20="","",(P20-J20)*(1+0.0025))</f>
      </c>
      <c r="R20" s="68">
        <f>IF(Q20="","",M20+Q20)</f>
      </c>
      <c r="S20" s="68">
        <f>IF(P20="","",P20/O20*1000000000)</f>
      </c>
      <c r="T20" s="69">
        <f>0.005+'单币测算'!$D$10+'单币测算'!$D$11</f>
      </c>
      <c r="U20" s="68">
        <f>IF(S20="","",S20*T20)</f>
      </c>
      <c r="V20" s="68">
        <f>'单币测算'!$D$17</f>
      </c>
      <c r="W20" s="103">
        <f>IF(R20="","",SUM(R20,M20*MAX(0,'单币测算'!$D$12-1),U20,V20))</f>
      </c>
      <c r="X20" s="68">
        <f>(MAX(0,'单币测算'!$D$13)*MAX(0,'单币测算'!$D$12)+MAX(0,'单币测算'!$D$14)+MAX(0,'单币测算'!$D$15))*MAX(0,'单币测算'!$D$16)</f>
      </c>
      <c r="Y20" s="25">
        <f>IF('单币测算'!$D$9+1%&gt;=L20,"不可达","可达")</f>
      </c>
    </row>
    <row r="21" ht="20" customHeight="1">
      <c r="C21" s="32" t="str">
        <v>NFLXB</v>
      </c>
      <c r="D21" s="32" t="str">
        <v>Netflix</v>
      </c>
      <c r="E21" s="32" t="str">
        <v>股票 / ETF RWA</v>
      </c>
      <c r="F21" s="32" t="n">
        <v>18</v>
      </c>
      <c r="G21" s="94" t="n">
        <v>51.16</v>
      </c>
      <c r="H21" s="94" t="n">
        <v>107036751</v>
      </c>
      <c r="I21" s="94" t="n">
        <v>56636000181.16</v>
      </c>
      <c r="J21" s="94" t="n">
        <v>133.30000355560043</v>
      </c>
      <c r="K21" s="94" t="n">
        <v>26660000711.120083</v>
      </c>
      <c r="L21" s="97">
        <f>0.8+(1-'单币测算'!$D$10)*0.19999999999999996</f>
      </c>
      <c r="M21" s="68">
        <f>J21*(1+0.01+'单币测算'!$D$10)</f>
      </c>
      <c r="N21" s="68">
        <f>IF('单币测算'!$D$9+1%&lt;L21,MAX(0,('单币测算'!$D$9+1%-0.8)*1000000000)/(1-'单币测算'!$D$10),"")</f>
      </c>
      <c r="O21" s="68">
        <f>IF(N21="","",199999999.99999997-N21)</f>
      </c>
      <c r="P21" s="68">
        <f>IF(O21="","",K21/O21)</f>
      </c>
      <c r="Q21" s="68">
        <f>IF(P21="","",(P21-J21)*(1+0.0025))</f>
      </c>
      <c r="R21" s="68">
        <f>IF(Q21="","",M21+Q21)</f>
      </c>
      <c r="S21" s="68">
        <f>IF(P21="","",P21/O21*1000000000)</f>
      </c>
      <c r="T21" s="69">
        <f>0.005+'单币测算'!$D$10+'单币测算'!$D$11</f>
      </c>
      <c r="U21" s="68">
        <f>IF(S21="","",S21*T21)</f>
      </c>
      <c r="V21" s="68">
        <f>'单币测算'!$D$17</f>
      </c>
      <c r="W21" s="103">
        <f>IF(R21="","",SUM(R21,M21*MAX(0,'单币测算'!$D$12-1),U21,V21))</f>
      </c>
      <c r="X21" s="68">
        <f>(MAX(0,'单币测算'!$D$13)*MAX(0,'单币测算'!$D$12)+MAX(0,'单币测算'!$D$14)+MAX(0,'单币测算'!$D$15))*MAX(0,'单币测算'!$D$16)</f>
      </c>
      <c r="Y21" s="25">
        <f>IF('单币测算'!$D$9+1%&gt;=L21,"不可达","可达")</f>
      </c>
    </row>
    <row r="22" ht="20" customHeight="1">
      <c r="C22" s="32" t="str">
        <v>MSTRB</v>
      </c>
      <c r="D22" s="32" t="str">
        <v>Strategy</v>
      </c>
      <c r="E22" s="32" t="str">
        <v>股票 / ETF RWA</v>
      </c>
      <c r="F22" s="32" t="n">
        <v>18</v>
      </c>
      <c r="G22" s="94" t="n">
        <v>34.26749453</v>
      </c>
      <c r="H22" s="94" t="n">
        <v>107036751</v>
      </c>
      <c r="I22" s="94" t="n">
        <v>37935375809.401474</v>
      </c>
      <c r="J22" s="94" t="n">
        <v>89.28571428245735</v>
      </c>
      <c r="K22" s="94" t="n">
        <v>17857142856.491467</v>
      </c>
      <c r="L22" s="97">
        <f>0.8+(1-'单币测算'!$D$10)*0.19999999999999996</f>
      </c>
      <c r="M22" s="68">
        <f>J22*(1+0.01+'单币测算'!$D$10)</f>
      </c>
      <c r="N22" s="68">
        <f>IF('单币测算'!$D$9+1%&lt;L22,MAX(0,('单币测算'!$D$9+1%-0.8)*1000000000)/(1-'单币测算'!$D$10),"")</f>
      </c>
      <c r="O22" s="68">
        <f>IF(N22="","",199999999.99999997-N22)</f>
      </c>
      <c r="P22" s="68">
        <f>IF(O22="","",K22/O22)</f>
      </c>
      <c r="Q22" s="68">
        <f>IF(P22="","",(P22-J22)*(1+0.0025))</f>
      </c>
      <c r="R22" s="68">
        <f>IF(Q22="","",M22+Q22)</f>
      </c>
      <c r="S22" s="68">
        <f>IF(P22="","",P22/O22*1000000000)</f>
      </c>
      <c r="T22" s="69">
        <f>0.005+'单币测算'!$D$10+'单币测算'!$D$11</f>
      </c>
      <c r="U22" s="68">
        <f>IF(S22="","",S22*T22)</f>
      </c>
      <c r="V22" s="68">
        <f>'单币测算'!$D$17</f>
      </c>
      <c r="W22" s="103">
        <f>IF(R22="","",SUM(R22,M22*MAX(0,'单币测算'!$D$12-1),U22,V22))</f>
      </c>
      <c r="X22" s="68">
        <f>(MAX(0,'单币测算'!$D$13)*MAX(0,'单币测算'!$D$12)+MAX(0,'单币测算'!$D$14)+MAX(0,'单币测算'!$D$15))*MAX(0,'单币测算'!$D$16)</f>
      </c>
      <c r="Y22" s="25">
        <f>IF('单币测算'!$D$9+1%&gt;=L22,"不可达","可达")</f>
      </c>
    </row>
    <row r="23" ht="20" customHeight="1">
      <c r="C23" s="32" t="str">
        <v>DJTB</v>
      </c>
      <c r="D23" s="32" t="str">
        <v>Trump Media &amp; Technology Group Corp</v>
      </c>
      <c r="E23" s="32" t="str">
        <v>股票 / ETF RWA</v>
      </c>
      <c r="F23" s="32" t="n">
        <v>18</v>
      </c>
      <c r="G23" s="94" t="n">
        <v>383.7</v>
      </c>
      <c r="H23" s="94" t="n">
        <v>107036751</v>
      </c>
      <c r="I23" s="94" t="n">
        <v>424770001358.7</v>
      </c>
      <c r="J23" s="94" t="n">
        <v>999.7500266670031</v>
      </c>
      <c r="K23" s="94" t="n">
        <v>199950005333.4006</v>
      </c>
      <c r="L23" s="97">
        <f>0.8+(1-'单币测算'!$D$10)*0.19999999999999996</f>
      </c>
      <c r="M23" s="68">
        <f>J23*(1+0.01+'单币测算'!$D$10)</f>
      </c>
      <c r="N23" s="68">
        <f>IF('单币测算'!$D$9+1%&lt;L23,MAX(0,('单币测算'!$D$9+1%-0.8)*1000000000)/(1-'单币测算'!$D$10),"")</f>
      </c>
      <c r="O23" s="68">
        <f>IF(N23="","",199999999.99999997-N23)</f>
      </c>
      <c r="P23" s="68">
        <f>IF(O23="","",K23/O23)</f>
      </c>
      <c r="Q23" s="68">
        <f>IF(P23="","",(P23-J23)*(1+0.0025))</f>
      </c>
      <c r="R23" s="68">
        <f>IF(Q23="","",M23+Q23)</f>
      </c>
      <c r="S23" s="68">
        <f>IF(P23="","",P23/O23*1000000000)</f>
      </c>
      <c r="T23" s="69">
        <f>0.005+'单币测算'!$D$10+'单币测算'!$D$11</f>
      </c>
      <c r="U23" s="68">
        <f>IF(S23="","",S23*T23)</f>
      </c>
      <c r="V23" s="68">
        <f>'单币测算'!$D$17</f>
      </c>
      <c r="W23" s="103">
        <f>IF(R23="","",SUM(R23,M23*MAX(0,'单币测算'!$D$12-1),U23,V23))</f>
      </c>
      <c r="X23" s="68">
        <f>(MAX(0,'单币测算'!$D$13)*MAX(0,'单币测算'!$D$12)+MAX(0,'单币测算'!$D$14)+MAX(0,'单币测算'!$D$15))*MAX(0,'单币测算'!$D$16)</f>
      </c>
      <c r="Y23" s="25">
        <f>IF('单币测算'!$D$9+1%&gt;=L23,"不可达","可达")</f>
      </c>
    </row>
    <row r="24" ht="20" customHeight="1">
      <c r="C24" s="32" t="str">
        <v>SOXSB</v>
      </c>
      <c r="D24" s="32" t="str">
        <v>Direxion Semiconductor Bear 3X ETF</v>
      </c>
      <c r="E24" s="32" t="str">
        <v>股票 / ETF RWA</v>
      </c>
      <c r="F24" s="32" t="n">
        <v>18</v>
      </c>
      <c r="G24" s="94" t="n">
        <v>76.74</v>
      </c>
      <c r="H24" s="94" t="n">
        <v>107036751</v>
      </c>
      <c r="I24" s="94" t="n">
        <v>84954000271.74</v>
      </c>
      <c r="J24" s="94" t="n">
        <v>199.9500053334006</v>
      </c>
      <c r="K24" s="94" t="n">
        <v>39990001066.680115</v>
      </c>
      <c r="L24" s="97">
        <f>0.8+(1-'单币测算'!$D$10)*0.19999999999999996</f>
      </c>
      <c r="M24" s="68">
        <f>J24*(1+0.01+'单币测算'!$D$10)</f>
      </c>
      <c r="N24" s="68">
        <f>IF('单币测算'!$D$9+1%&lt;L24,MAX(0,('单币测算'!$D$9+1%-0.8)*1000000000)/(1-'单币测算'!$D$10),"")</f>
      </c>
      <c r="O24" s="68">
        <f>IF(N24="","",199999999.99999997-N24)</f>
      </c>
      <c r="P24" s="68">
        <f>IF(O24="","",K24/O24)</f>
      </c>
      <c r="Q24" s="68">
        <f>IF(P24="","",(P24-J24)*(1+0.0025))</f>
      </c>
      <c r="R24" s="68">
        <f>IF(Q24="","",M24+Q24)</f>
      </c>
      <c r="S24" s="68">
        <f>IF(P24="","",P24/O24*1000000000)</f>
      </c>
      <c r="T24" s="69">
        <f>0.005+'单币测算'!$D$10+'单币测算'!$D$11</f>
      </c>
      <c r="U24" s="68">
        <f>IF(S24="","",S24*T24)</f>
      </c>
      <c r="V24" s="68">
        <f>'单币测算'!$D$17</f>
      </c>
      <c r="W24" s="103">
        <f>IF(R24="","",SUM(R24,M24*MAX(0,'单币测算'!$D$12-1),U24,V24))</f>
      </c>
      <c r="X24" s="68">
        <f>(MAX(0,'单币测算'!$D$13)*MAX(0,'单币测算'!$D$12)+MAX(0,'单币测算'!$D$14)+MAX(0,'单币测算'!$D$15))*MAX(0,'单币测算'!$D$16)</f>
      </c>
      <c r="Y24" s="25">
        <f>IF('单币测算'!$D$9+1%&gt;=L24,"不可达","可达")</f>
      </c>
    </row>
    <row r="25" ht="20" customHeight="1">
      <c r="C25" s="32" t="str">
        <v>SOXLB</v>
      </c>
      <c r="D25" s="32" t="str">
        <v>Semicon Bull 3X ETF</v>
      </c>
      <c r="E25" s="32" t="str">
        <v>股票 / ETF RWA</v>
      </c>
      <c r="F25" s="32" t="n">
        <v>18</v>
      </c>
      <c r="G25" s="94" t="n">
        <v>34.88181818</v>
      </c>
      <c r="H25" s="94" t="n">
        <v>107036751</v>
      </c>
      <c r="I25" s="94" t="n">
        <v>38615454668.972725</v>
      </c>
      <c r="J25" s="94" t="n">
        <v>90.88636606245481</v>
      </c>
      <c r="K25" s="94" t="n">
        <v>18177273212.49096</v>
      </c>
      <c r="L25" s="97">
        <f>0.8+(1-'单币测算'!$D$10)*0.19999999999999996</f>
      </c>
      <c r="M25" s="68">
        <f>J25*(1+0.01+'单币测算'!$D$10)</f>
      </c>
      <c r="N25" s="68">
        <f>IF('单币测算'!$D$9+1%&lt;L25,MAX(0,('单币测算'!$D$9+1%-0.8)*1000000000)/(1-'单币测算'!$D$10),"")</f>
      </c>
      <c r="O25" s="68">
        <f>IF(N25="","",199999999.99999997-N25)</f>
      </c>
      <c r="P25" s="68">
        <f>IF(O25="","",K25/O25)</f>
      </c>
      <c r="Q25" s="68">
        <f>IF(P25="","",(P25-J25)*(1+0.0025))</f>
      </c>
      <c r="R25" s="68">
        <f>IF(Q25="","",M25+Q25)</f>
      </c>
      <c r="S25" s="68">
        <f>IF(P25="","",P25/O25*1000000000)</f>
      </c>
      <c r="T25" s="69">
        <f>0.005+'单币测算'!$D$10+'单币测算'!$D$11</f>
      </c>
      <c r="U25" s="68">
        <f>IF(S25="","",S25*T25)</f>
      </c>
      <c r="V25" s="68">
        <f>'单币测算'!$D$17</f>
      </c>
      <c r="W25" s="103">
        <f>IF(R25="","",SUM(R25,M25*MAX(0,'单币测算'!$D$12-1),U25,V25))</f>
      </c>
      <c r="X25" s="68">
        <f>(MAX(0,'单币测算'!$D$13)*MAX(0,'单币测算'!$D$12)+MAX(0,'单币测算'!$D$14)+MAX(0,'单币测算'!$D$15))*MAX(0,'单币测算'!$D$16)</f>
      </c>
      <c r="Y25" s="25">
        <f>IF('单币测算'!$D$9+1%&gt;=L25,"不可达","可达")</f>
      </c>
    </row>
    <row r="26" ht="20" customHeight="1">
      <c r="C26" s="32" t="str">
        <v>MRNAB</v>
      </c>
      <c r="D26" s="32" t="str">
        <v>Moderna</v>
      </c>
      <c r="E26" s="32" t="str">
        <v>股票 / ETF RWA</v>
      </c>
      <c r="F26" s="32" t="n">
        <v>18</v>
      </c>
      <c r="G26" s="94" t="n">
        <v>24.38502698</v>
      </c>
      <c r="H26" s="94" t="n">
        <v>107036751</v>
      </c>
      <c r="I26" s="94" t="n">
        <v>26995121040.98654</v>
      </c>
      <c r="J26" s="94" t="n">
        <v>63.536438294320014</v>
      </c>
      <c r="K26" s="94" t="n">
        <v>12707287658.864</v>
      </c>
      <c r="L26" s="97">
        <f>0.8+(1-'单币测算'!$D$10)*0.19999999999999996</f>
      </c>
      <c r="M26" s="68">
        <f>J26*(1+0.01+'单币测算'!$D$10)</f>
      </c>
      <c r="N26" s="68">
        <f>IF('单币测算'!$D$9+1%&lt;L26,MAX(0,('单币测算'!$D$9+1%-0.8)*1000000000)/(1-'单币测算'!$D$10),"")</f>
      </c>
      <c r="O26" s="68">
        <f>IF(N26="","",199999999.99999997-N26)</f>
      </c>
      <c r="P26" s="68">
        <f>IF(O26="","",K26/O26)</f>
      </c>
      <c r="Q26" s="68">
        <f>IF(P26="","",(P26-J26)*(1+0.0025))</f>
      </c>
      <c r="R26" s="68">
        <f>IF(Q26="","",M26+Q26)</f>
      </c>
      <c r="S26" s="68">
        <f>IF(P26="","",P26/O26*1000000000)</f>
      </c>
      <c r="T26" s="69">
        <f>0.005+'单币测算'!$D$10+'单币测算'!$D$11</f>
      </c>
      <c r="U26" s="68">
        <f>IF(S26="","",S26*T26)</f>
      </c>
      <c r="V26" s="68">
        <f>'单币测算'!$D$17</f>
      </c>
      <c r="W26" s="103">
        <f>IF(R26="","",SUM(R26,M26*MAX(0,'单币测算'!$D$12-1),U26,V26))</f>
      </c>
      <c r="X26" s="68">
        <f>(MAX(0,'单币测算'!$D$13)*MAX(0,'单币测算'!$D$12)+MAX(0,'单币测算'!$D$14)+MAX(0,'单币测算'!$D$15))*MAX(0,'单币测算'!$D$16)</f>
      </c>
      <c r="Y26" s="25">
        <f>IF('单币测算'!$D$9+1%&gt;=L26,"不可达","可达")</f>
      </c>
    </row>
    <row r="27" ht="20" customHeight="1">
      <c r="C27" s="32" t="str">
        <v>FLNCB</v>
      </c>
      <c r="D27" s="32" t="str">
        <v>Fluence Energy</v>
      </c>
      <c r="E27" s="32" t="str">
        <v>股票 / ETF RWA</v>
      </c>
      <c r="F27" s="32" t="n">
        <v>18</v>
      </c>
      <c r="G27" s="94" t="n">
        <v>383.7</v>
      </c>
      <c r="H27" s="94" t="n">
        <v>107036751</v>
      </c>
      <c r="I27" s="94" t="n">
        <v>424770001358.7</v>
      </c>
      <c r="J27" s="94" t="n">
        <v>999.7500266670031</v>
      </c>
      <c r="K27" s="94" t="n">
        <v>199950005333.4006</v>
      </c>
      <c r="L27" s="97">
        <f>0.8+(1-'单币测算'!$D$10)*0.19999999999999996</f>
      </c>
      <c r="M27" s="68">
        <f>J27*(1+0.01+'单币测算'!$D$10)</f>
      </c>
      <c r="N27" s="68">
        <f>IF('单币测算'!$D$9+1%&lt;L27,MAX(0,('单币测算'!$D$9+1%-0.8)*1000000000)/(1-'单币测算'!$D$10),"")</f>
      </c>
      <c r="O27" s="68">
        <f>IF(N27="","",199999999.99999997-N27)</f>
      </c>
      <c r="P27" s="68">
        <f>IF(O27="","",K27/O27)</f>
      </c>
      <c r="Q27" s="68">
        <f>IF(P27="","",(P27-J27)*(1+0.0025))</f>
      </c>
      <c r="R27" s="68">
        <f>IF(Q27="","",M27+Q27)</f>
      </c>
      <c r="S27" s="68">
        <f>IF(P27="","",P27/O27*1000000000)</f>
      </c>
      <c r="T27" s="69">
        <f>0.005+'单币测算'!$D$10+'单币测算'!$D$11</f>
      </c>
      <c r="U27" s="68">
        <f>IF(S27="","",S27*T27)</f>
      </c>
      <c r="V27" s="68">
        <f>'单币测算'!$D$17</f>
      </c>
      <c r="W27" s="103">
        <f>IF(R27="","",SUM(R27,M27*MAX(0,'单币测算'!$D$12-1),U27,V27))</f>
      </c>
      <c r="X27" s="68">
        <f>(MAX(0,'单币测算'!$D$13)*MAX(0,'单币测算'!$D$12)+MAX(0,'单币测算'!$D$14)+MAX(0,'单币测算'!$D$15))*MAX(0,'单币测算'!$D$16)</f>
      </c>
      <c r="Y27" s="25">
        <f>IF('单币测算'!$D$9+1%&gt;=L27,"不可达","可达")</f>
      </c>
    </row>
    <row r="28" ht="20" customHeight="1">
      <c r="C28" s="32" t="str">
        <v>FXIon</v>
      </c>
      <c r="D28" s="32" t="str">
        <v>iShares China Large-Cap ETF</v>
      </c>
      <c r="E28" s="32" t="str">
        <v>股票 / ETF RWA</v>
      </c>
      <c r="F28" s="32" t="n">
        <v>18</v>
      </c>
      <c r="G28" s="94" t="n">
        <v>109.62857143</v>
      </c>
      <c r="H28" s="94" t="n">
        <v>107036751</v>
      </c>
      <c r="I28" s="94" t="n">
        <v>121362857531.05714</v>
      </c>
      <c r="J28" s="94" t="n">
        <v>285.64286476057237</v>
      </c>
      <c r="K28" s="94" t="n">
        <v>57128572952.11446</v>
      </c>
      <c r="L28" s="97">
        <f>0.8+(1-'单币测算'!$D$10)*0.19999999999999996</f>
      </c>
      <c r="M28" s="68">
        <f>J28*(1+0.01+'单币测算'!$D$10)</f>
      </c>
      <c r="N28" s="68">
        <f>IF('单币测算'!$D$9+1%&lt;L28,MAX(0,('单币测算'!$D$9+1%-0.8)*1000000000)/(1-'单币测算'!$D$10),"")</f>
      </c>
      <c r="O28" s="68">
        <f>IF(N28="","",199999999.99999997-N28)</f>
      </c>
      <c r="P28" s="68">
        <f>IF(O28="","",K28/O28)</f>
      </c>
      <c r="Q28" s="68">
        <f>IF(P28="","",(P28-J28)*(1+0.0025))</f>
      </c>
      <c r="R28" s="68">
        <f>IF(Q28="","",M28+Q28)</f>
      </c>
      <c r="S28" s="68">
        <f>IF(P28="","",P28/O28*1000000000)</f>
      </c>
      <c r="T28" s="69">
        <f>0.005+'单币测算'!$D$10+'单币测算'!$D$11</f>
      </c>
      <c r="U28" s="68">
        <f>IF(S28="","",S28*T28)</f>
      </c>
      <c r="V28" s="68">
        <f>'单币测算'!$D$17</f>
      </c>
      <c r="W28" s="103">
        <f>IF(R28="","",SUM(R28,M28*MAX(0,'单币测算'!$D$12-1),U28,V28))</f>
      </c>
      <c r="X28" s="68">
        <f>(MAX(0,'单币测算'!$D$13)*MAX(0,'单币测算'!$D$12)+MAX(0,'单币测算'!$D$14)+MAX(0,'单币测算'!$D$15))*MAX(0,'单币测算'!$D$16)</f>
      </c>
      <c r="Y28" s="25">
        <f>IF('单币测算'!$D$9+1%&gt;=L28,"不可达","可达")</f>
      </c>
    </row>
    <row r="29" ht="20" customHeight="1">
      <c r="C29" s="32" t="str">
        <v>BMNRB</v>
      </c>
      <c r="D29" s="32" t="str">
        <v>BitMine Immersion Technologies</v>
      </c>
      <c r="E29" s="32" t="str">
        <v>股票 / ETF RWA</v>
      </c>
      <c r="F29" s="32" t="n">
        <v>18</v>
      </c>
      <c r="G29" s="94" t="n">
        <v>153.48</v>
      </c>
      <c r="H29" s="94" t="n">
        <v>107036751</v>
      </c>
      <c r="I29" s="94" t="n">
        <v>169908000543.48</v>
      </c>
      <c r="J29" s="94" t="n">
        <v>399.9000106668012</v>
      </c>
      <c r="K29" s="94" t="n">
        <v>79980002133.36023</v>
      </c>
      <c r="L29" s="97">
        <f>0.8+(1-'单币测算'!$D$10)*0.19999999999999996</f>
      </c>
      <c r="M29" s="68">
        <f>J29*(1+0.01+'单币测算'!$D$10)</f>
      </c>
      <c r="N29" s="68">
        <f>IF('单币测算'!$D$9+1%&lt;L29,MAX(0,('单币测算'!$D$9+1%-0.8)*1000000000)/(1-'单币测算'!$D$10),"")</f>
      </c>
      <c r="O29" s="68">
        <f>IF(N29="","",199999999.99999997-N29)</f>
      </c>
      <c r="P29" s="68">
        <f>IF(O29="","",K29/O29)</f>
      </c>
      <c r="Q29" s="68">
        <f>IF(P29="","",(P29-J29)*(1+0.0025))</f>
      </c>
      <c r="R29" s="68">
        <f>IF(Q29="","",M29+Q29)</f>
      </c>
      <c r="S29" s="68">
        <f>IF(P29="","",P29/O29*1000000000)</f>
      </c>
      <c r="T29" s="69">
        <f>0.005+'单币测算'!$D$10+'单币测算'!$D$11</f>
      </c>
      <c r="U29" s="68">
        <f>IF(S29="","",S29*T29)</f>
      </c>
      <c r="V29" s="68">
        <f>'单币测算'!$D$17</f>
      </c>
      <c r="W29" s="103">
        <f>IF(R29="","",SUM(R29,M29*MAX(0,'单币测算'!$D$12-1),U29,V29))</f>
      </c>
      <c r="X29" s="68">
        <f>(MAX(0,'单币测算'!$D$13)*MAX(0,'单币测算'!$D$12)+MAX(0,'单币测算'!$D$14)+MAX(0,'单币测算'!$D$15))*MAX(0,'单币测算'!$D$16)</f>
      </c>
      <c r="Y29" s="25">
        <f>IF('单币测算'!$D$9+1%&gt;=L29,"不可达","可达")</f>
      </c>
    </row>
    <row r="30" ht="20" customHeight="1">
      <c r="C30" s="34" t="str">
        <v>BILIon</v>
      </c>
      <c r="D30" s="34" t="str">
        <v>Bilibili</v>
      </c>
      <c r="E30" s="34" t="str">
        <v>股票 / ETF RWA</v>
      </c>
      <c r="F30" s="34" t="n">
        <v>18</v>
      </c>
      <c r="G30" s="95" t="n">
        <v>239.8125</v>
      </c>
      <c r="H30" s="95" t="n">
        <v>107036751</v>
      </c>
      <c r="I30" s="95" t="n">
        <v>265481250849.1875</v>
      </c>
      <c r="J30" s="95" t="n">
        <v>624.843766666877</v>
      </c>
      <c r="K30" s="95" t="n">
        <v>124968753333.37537</v>
      </c>
      <c r="L30" s="98">
        <f>0.8+(1-'单币测算'!$D$10)*0.19999999999999996</f>
      </c>
      <c r="M30" s="71">
        <f>J30*(1+0.01+'单币测算'!$D$10)</f>
      </c>
      <c r="N30" s="71">
        <f>IF('单币测算'!$D$9+1%&lt;L30,MAX(0,('单币测算'!$D$9+1%-0.8)*1000000000)/(1-'单币测算'!$D$10),"")</f>
      </c>
      <c r="O30" s="71">
        <f>IF(N30="","",199999999.99999997-N30)</f>
      </c>
      <c r="P30" s="71">
        <f>IF(O30="","",K30/O30)</f>
      </c>
      <c r="Q30" s="71">
        <f>IF(P30="","",(P30-J30)*(1+0.0025))</f>
      </c>
      <c r="R30" s="71">
        <f>IF(Q30="","",M30+Q30)</f>
      </c>
      <c r="S30" s="71">
        <f>IF(P30="","",P30/O30*1000000000)</f>
      </c>
      <c r="T30" s="99">
        <f>0.005+'单币测算'!$D$10+'单币测算'!$D$11</f>
      </c>
      <c r="U30" s="71">
        <f>IF(S30="","",S30*T30)</f>
      </c>
      <c r="V30" s="71">
        <f>'单币测算'!$D$17</f>
      </c>
      <c r="W30" s="104">
        <f>IF(R30="","",SUM(R30,M30*MAX(0,'单币测算'!$D$12-1),U30,V30))</f>
      </c>
      <c r="X30" s="71">
        <f>(MAX(0,'单币测算'!$D$13)*MAX(0,'单币测算'!$D$12)+MAX(0,'单币测算'!$D$14)+MAX(0,'单币测算'!$D$15))*MAX(0,'单币测算'!$D$16)</f>
      </c>
      <c r="Y30" s="26">
        <f>IF('单币测算'!$D$9+1%&gt;=L30,"不可达","可达")</f>
      </c>
    </row>
  </sheetData>
  <conditionalFormatting sqref="Y8:Y30">
    <cfRule type="containsText" dxfId="2" priority="1" operator="containsText" text="不可达"/>
    <cfRule type="containsText" dxfId="3" priority="2" operator="containsText" text="可达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ySplit="8" topLeftCell="A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12" hidden="0" customWidth="1"/>
    <col min="4" max="4" width="19" hidden="0" customWidth="1"/>
    <col min="5" max="5" width="19" hidden="0" customWidth="1"/>
    <col min="6" max="6" width="19" hidden="0" customWidth="1"/>
    <col min="7" max="7" width="20" hidden="0" customWidth="1"/>
    <col min="8" max="8" width="19" hidden="0" customWidth="1"/>
    <col min="9" max="9" width="19" hidden="0" customWidth="1"/>
    <col min="10" max="10" width="19" hidden="0" customWidth="1"/>
    <col min="11" max="11" width="19" hidden="0" customWidth="1"/>
  </cols>
  <sheetData>
    <row r="2" ht="20" customHeight="1">
      <c r="C2" s="248" t="str">
        <v>Flap BSC 选中 Quote 曲线</v>
      </c>
      <c r="D2" s="249"/>
      <c r="E2" s="249"/>
      <c r="F2" s="249"/>
      <c r="G2" s="249"/>
      <c r="H2" s="249"/>
      <c r="I2" s="249"/>
      <c r="J2" s="249"/>
      <c r="K2" s="249"/>
    </row>
    <row r="3" ht="20" customHeight="1">
      <c r="C3" s="250" t="str">
        <v>读取“单币测算”的 Quote 与买税。内盘税以额外 Quote 费计；外盘买税从 TOKEN 输出扣除。</v>
      </c>
      <c r="D3" s="250"/>
      <c r="E3" s="250"/>
      <c r="F3" s="250"/>
      <c r="G3" s="250"/>
      <c r="H3" s="250"/>
      <c r="I3" s="250"/>
      <c r="J3" s="250"/>
      <c r="K3" s="25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</row>
    <row r="5" ht="20" customHeight="1">
      <c r="C5" s="263" t="str">
        <v>当前 Quote</v>
      </c>
      <c r="D5" s="263">
        <f>'单币测算'!$D$8</f>
      </c>
      <c r="E5" s="263" t="str">
        <v>买税</v>
      </c>
      <c r="F5" s="266">
        <f>'单币测算'!$D$10</f>
      </c>
      <c r="G5" s="266" t="str">
        <v>卖税</v>
      </c>
      <c r="H5" s="266">
        <f>'单币测算'!$D$11</f>
      </c>
      <c r="I5" s="266" t="str">
        <v>净控筹上限</v>
      </c>
      <c r="J5" s="266">
        <f>'单币测算'!$I$20</f>
      </c>
      <c r="K5" s="263" t="str"/>
    </row>
    <row r="6" ht="20" customHeight="1">
      <c r="C6" s="245"/>
      <c r="D6" s="245"/>
      <c r="E6" s="245"/>
      <c r="F6" s="245"/>
      <c r="G6" s="245"/>
      <c r="H6" s="245"/>
      <c r="I6" s="245"/>
      <c r="J6" s="245"/>
      <c r="K6" s="245"/>
    </row>
    <row r="7" ht="20" customHeight="1">
      <c r="C7" s="41" t="str">
        <v>内盘联合曲线</v>
      </c>
      <c r="D7" s="42"/>
      <c r="E7" s="42"/>
      <c r="F7" s="42"/>
      <c r="G7" s="42"/>
      <c r="H7" s="42"/>
      <c r="I7" s="42"/>
      <c r="J7" s="43"/>
      <c r="K7" s="245"/>
    </row>
    <row r="8" ht="36" customHeight="1">
      <c r="C8" s="19" t="str">
        <v>控筹率</v>
      </c>
      <c r="D8" s="20" t="str">
        <v>Pool TOKEN + h</v>
      </c>
      <c r="E8" s="20" t="str">
        <v>Pool Quote + r</v>
      </c>
      <c r="F8" s="433" t="str">
        <v>价格</v>
      </c>
      <c r="G8" s="433" t="str">
        <v>价格 / USDT</v>
      </c>
      <c r="H8" s="433" t="str">
        <v>FDV（Quote）</v>
      </c>
      <c r="I8" s="433" t="str">
        <v>区间净 Quote</v>
      </c>
      <c r="J8" s="433" t="str">
        <v>区间含费</v>
      </c>
      <c r="K8" s="439" t="str">
        <v>累计含费</v>
      </c>
    </row>
    <row r="9" ht="20" customHeight="1">
      <c r="C9" s="106" t="n">
        <v>0</v>
      </c>
      <c r="D9" s="93">
        <f>1000000000+'单币测算'!$I$12-1000000000*C9</f>
      </c>
      <c r="E9" s="93">
        <f>'单币测算'!$I$13/D9</f>
      </c>
      <c r="F9" s="448">
        <f>E9/D9</f>
      </c>
      <c r="G9" s="451">
        <f>IF(OR('单币测算'!$D$18="",NOT(ISNUMBER(F9))),"",F9*'单币测算'!$D$18)</f>
      </c>
      <c r="H9" s="448">
        <f>F9*1000000000</f>
      </c>
      <c r="I9" s="448">
        <f>0</f>
      </c>
      <c r="J9" s="448">
        <f>0</f>
      </c>
      <c r="K9" s="448">
        <f>(E9-'单币测算'!$I$11)*(1+0.01+'单币测算'!$D$10)</f>
      </c>
    </row>
    <row r="10" ht="20" customHeight="1">
      <c r="C10" s="107" t="n">
        <v>0.1</v>
      </c>
      <c r="D10" s="68">
        <f>1000000000+'单币测算'!$I$12-1000000000*C10</f>
      </c>
      <c r="E10" s="68">
        <f>'单币测算'!$I$13/D10</f>
      </c>
      <c r="F10" s="460">
        <f>E10/D10</f>
      </c>
      <c r="G10" s="463">
        <f>IF(OR('单币测算'!$D$18="",NOT(ISNUMBER(F10))),"",F10*'单币测算'!$D$18)</f>
      </c>
      <c r="H10" s="460">
        <f>F10*1000000000</f>
      </c>
      <c r="I10" s="460">
        <f>E10-E9</f>
      </c>
      <c r="J10" s="460">
        <f>I10*(1+0.01+'单币测算'!$D$10)</f>
      </c>
      <c r="K10" s="460">
        <f>(E10-'单币测算'!$I$11)*(1+0.01+'单币测算'!$D$10)</f>
      </c>
    </row>
    <row r="11" ht="20" customHeight="1">
      <c r="C11" s="107" t="n">
        <v>0.2</v>
      </c>
      <c r="D11" s="68">
        <f>1000000000+'单币测算'!$I$12-1000000000*C11</f>
      </c>
      <c r="E11" s="68">
        <f>'单币测算'!$I$13/D11</f>
      </c>
      <c r="F11" s="460">
        <f>E11/D11</f>
      </c>
      <c r="G11" s="463">
        <f>IF(OR('单币测算'!$D$18="",NOT(ISNUMBER(F11))),"",F11*'单币测算'!$D$18)</f>
      </c>
      <c r="H11" s="460">
        <f>F11*1000000000</f>
      </c>
      <c r="I11" s="460">
        <f>E11-E10</f>
      </c>
      <c r="J11" s="460">
        <f>I11*(1+0.01+'单币测算'!$D$10)</f>
      </c>
      <c r="K11" s="460">
        <f>(E11-'单币测算'!$I$11)*(1+0.01+'单币测算'!$D$10)</f>
      </c>
    </row>
    <row r="12" ht="20" customHeight="1">
      <c r="C12" s="107" t="n">
        <v>0.3</v>
      </c>
      <c r="D12" s="68">
        <f>1000000000+'单币测算'!$I$12-1000000000*C12</f>
      </c>
      <c r="E12" s="68">
        <f>'单币测算'!$I$13/D12</f>
      </c>
      <c r="F12" s="460">
        <f>E12/D12</f>
      </c>
      <c r="G12" s="463">
        <f>IF(OR('单币测算'!$D$18="",NOT(ISNUMBER(F12))),"",F12*'单币测算'!$D$18)</f>
      </c>
      <c r="H12" s="460">
        <f>F12*1000000000</f>
      </c>
      <c r="I12" s="460">
        <f>E12-E11</f>
      </c>
      <c r="J12" s="460">
        <f>I12*(1+0.01+'单币测算'!$D$10)</f>
      </c>
      <c r="K12" s="460">
        <f>(E12-'单币测算'!$I$11)*(1+0.01+'单币测算'!$D$10)</f>
      </c>
    </row>
    <row r="13" ht="20" customHeight="1">
      <c r="C13" s="107" t="n">
        <v>0.4</v>
      </c>
      <c r="D13" s="68">
        <f>1000000000+'单币测算'!$I$12-1000000000*C13</f>
      </c>
      <c r="E13" s="68">
        <f>'单币测算'!$I$13/D13</f>
      </c>
      <c r="F13" s="460">
        <f>E13/D13</f>
      </c>
      <c r="G13" s="463">
        <f>IF(OR('单币测算'!$D$18="",NOT(ISNUMBER(F13))),"",F13*'单币测算'!$D$18)</f>
      </c>
      <c r="H13" s="460">
        <f>F13*1000000000</f>
      </c>
      <c r="I13" s="460">
        <f>E13-E12</f>
      </c>
      <c r="J13" s="460">
        <f>I13*(1+0.01+'单币测算'!$D$10)</f>
      </c>
      <c r="K13" s="460">
        <f>(E13-'单币测算'!$I$11)*(1+0.01+'单币测算'!$D$10)</f>
      </c>
    </row>
    <row r="14" ht="20" customHeight="1">
      <c r="C14" s="107" t="n">
        <v>0.5</v>
      </c>
      <c r="D14" s="68">
        <f>1000000000+'单币测算'!$I$12-1000000000*C14</f>
      </c>
      <c r="E14" s="68">
        <f>'单币测算'!$I$13/D14</f>
      </c>
      <c r="F14" s="460">
        <f>E14/D14</f>
      </c>
      <c r="G14" s="463">
        <f>IF(OR('单币测算'!$D$18="",NOT(ISNUMBER(F14))),"",F14*'单币测算'!$D$18)</f>
      </c>
      <c r="H14" s="460">
        <f>F14*1000000000</f>
      </c>
      <c r="I14" s="460">
        <f>E14-E13</f>
      </c>
      <c r="J14" s="460">
        <f>I14*(1+0.01+'单币测算'!$D$10)</f>
      </c>
      <c r="K14" s="460">
        <f>(E14-'单币测算'!$I$11)*(1+0.01+'单币测算'!$D$10)</f>
      </c>
    </row>
    <row r="15" ht="20" customHeight="1">
      <c r="C15" s="107" t="n">
        <v>0.6</v>
      </c>
      <c r="D15" s="68">
        <f>1000000000+'单币测算'!$I$12-1000000000*C15</f>
      </c>
      <c r="E15" s="68">
        <f>'单币测算'!$I$13/D15</f>
      </c>
      <c r="F15" s="460">
        <f>E15/D15</f>
      </c>
      <c r="G15" s="463">
        <f>IF(OR('单币测算'!$D$18="",NOT(ISNUMBER(F15))),"",F15*'单币测算'!$D$18)</f>
      </c>
      <c r="H15" s="460">
        <f>F15*1000000000</f>
      </c>
      <c r="I15" s="460">
        <f>E15-E14</f>
      </c>
      <c r="J15" s="460">
        <f>I15*(1+0.01+'单币测算'!$D$10)</f>
      </c>
      <c r="K15" s="460">
        <f>(E15-'单币测算'!$I$11)*(1+0.01+'单币测算'!$D$10)</f>
      </c>
    </row>
    <row r="16" ht="20" customHeight="1">
      <c r="C16" s="107" t="n">
        <v>0.7</v>
      </c>
      <c r="D16" s="68">
        <f>1000000000+'单币测算'!$I$12-1000000000*C16</f>
      </c>
      <c r="E16" s="68">
        <f>'单币测算'!$I$13/D16</f>
      </c>
      <c r="F16" s="460">
        <f>E16/D16</f>
      </c>
      <c r="G16" s="463">
        <f>IF(OR('单币测算'!$D$18="",NOT(ISNUMBER(F16))),"",F16*'单币测算'!$D$18)</f>
      </c>
      <c r="H16" s="460">
        <f>F16*1000000000</f>
      </c>
      <c r="I16" s="460">
        <f>E16-E15</f>
      </c>
      <c r="J16" s="460">
        <f>I16*(1+0.01+'单币测算'!$D$10)</f>
      </c>
      <c r="K16" s="460">
        <f>(E16-'单币测算'!$I$11)*(1+0.01+'单币测算'!$D$10)</f>
      </c>
    </row>
    <row r="17" ht="20" customHeight="1">
      <c r="C17" s="108" t="n">
        <v>0.8</v>
      </c>
      <c r="D17" s="71">
        <f>1000000000+'单币测算'!$I$12-1000000000*C17</f>
      </c>
      <c r="E17" s="71">
        <f>'单币测算'!$I$13/D17</f>
      </c>
      <c r="F17" s="467">
        <f>E17/D17</f>
      </c>
      <c r="G17" s="470">
        <f>IF(OR('单币测算'!$D$18="",NOT(ISNUMBER(F17))),"",F17*'单币测算'!$D$18)</f>
      </c>
      <c r="H17" s="467">
        <f>F17*1000000000</f>
      </c>
      <c r="I17" s="467">
        <f>E17-E16</f>
      </c>
      <c r="J17" s="467">
        <f>I17*(1+0.01+'单币测算'!$D$10)</f>
      </c>
      <c r="K17" s="467">
        <f>(E17-'单币测算'!$I$11)*(1+0.01+'单币测算'!$D$10)</f>
      </c>
    </row>
    <row r="18" ht="20" customHeight="1">
      <c r="C18" s="245"/>
      <c r="D18" s="245"/>
      <c r="E18" s="245"/>
      <c r="F18" s="245"/>
      <c r="G18" s="245"/>
      <c r="H18" s="245"/>
      <c r="I18" s="245"/>
      <c r="J18" s="245"/>
      <c r="K18" s="245"/>
    </row>
    <row r="19" ht="20" customHeight="1">
      <c r="C19" s="245"/>
      <c r="D19" s="245"/>
      <c r="E19" s="245"/>
      <c r="F19" s="245"/>
      <c r="G19" s="245"/>
      <c r="H19" s="245"/>
      <c r="I19" s="245"/>
      <c r="J19" s="245"/>
      <c r="K19" s="245"/>
    </row>
    <row r="20" ht="20" customHeight="1">
      <c r="C20" s="41" t="str">
        <v>Pancake 外盘净控筹曲线</v>
      </c>
      <c r="D20" s="42"/>
      <c r="E20" s="42"/>
      <c r="F20" s="42"/>
      <c r="G20" s="42"/>
      <c r="H20" s="42"/>
      <c r="I20" s="42"/>
      <c r="J20" s="42"/>
      <c r="K20" s="43"/>
    </row>
    <row r="21" ht="36" customHeight="1">
      <c r="C21" s="19" t="str">
        <v>控筹率</v>
      </c>
      <c r="D21" s="20" t="str">
        <v>净增 TOKEN</v>
      </c>
      <c r="E21" s="20" t="str">
        <v>需扫出 TOKEN</v>
      </c>
      <c r="F21" s="20" t="str">
        <v>Pool TOKEN</v>
      </c>
      <c r="G21" s="20" t="str">
        <v>Pool Quote</v>
      </c>
      <c r="H21" s="20" t="str">
        <v>外盘含 LP 费</v>
      </c>
      <c r="I21" s="20" t="str">
        <v>理论累计</v>
      </c>
      <c r="J21" s="20" t="str">
        <v>FDV（Quote）</v>
      </c>
      <c r="K21" s="21" t="str">
        <v>状态</v>
      </c>
    </row>
    <row r="22" ht="20" customHeight="1">
      <c r="C22" s="106" t="n">
        <v>0.8</v>
      </c>
      <c r="D22" s="93">
        <f>0</f>
      </c>
      <c r="E22" s="93">
        <f>0</f>
      </c>
      <c r="F22" s="93">
        <f>'单币测算'!$I$15</f>
      </c>
      <c r="G22" s="93">
        <f>'单币测算'!$I$14</f>
      </c>
      <c r="H22" s="93">
        <f>0</f>
      </c>
      <c r="I22" s="93">
        <f>'单币测算'!$D$27</f>
      </c>
      <c r="J22" s="93">
        <f>'单币测算'!$I$14/'单币测算'!$I$15*1000000000</f>
      </c>
      <c r="K22" s="24">
        <f>"可达"</f>
      </c>
    </row>
    <row r="23" ht="20" customHeight="1">
      <c r="C23" s="107" t="n">
        <v>0.805</v>
      </c>
      <c r="D23" s="68">
        <f>IF(C23&lt;'单币测算'!$I$20,MAX(0,(C23-0.8)*1000000000),"")</f>
      </c>
      <c r="E23" s="68">
        <f>IF(D23="","",D23/(1-'单币测算'!$D$10))</f>
      </c>
      <c r="F23" s="68">
        <f>IF(E23="","",199999999.99999997-E23)</f>
      </c>
      <c r="G23" s="68">
        <f>IF(F23="","",'单币测算'!$I$16/F23)</f>
      </c>
      <c r="H23" s="68">
        <f>IF(G23="","",(G23-'单币测算'!$I$14)*(1+0.0025))</f>
      </c>
      <c r="I23" s="68">
        <f>IF(H23="","",'单币测算'!$D$27+H23)</f>
      </c>
      <c r="J23" s="68">
        <f>IF(G23="","",G23/F23*1000000000)</f>
      </c>
      <c r="K23" s="25">
        <f>IF(C23&gt;='单币测算'!$I$20,"不可达","可达")</f>
      </c>
    </row>
    <row r="24" ht="20" customHeight="1">
      <c r="C24" s="107" t="n">
        <v>0.81</v>
      </c>
      <c r="D24" s="68">
        <f>IF(C24&lt;'单币测算'!$I$20,MAX(0,(C24-0.8)*1000000000),"")</f>
      </c>
      <c r="E24" s="68">
        <f>IF(D24="","",D24/(1-'单币测算'!$D$10))</f>
      </c>
      <c r="F24" s="68">
        <f>IF(E24="","",199999999.99999997-E24)</f>
      </c>
      <c r="G24" s="68">
        <f>IF(F24="","",'单币测算'!$I$16/F24)</f>
      </c>
      <c r="H24" s="68">
        <f>IF(G24="","",(G24-'单币测算'!$I$14)*(1+0.0025))</f>
      </c>
      <c r="I24" s="68">
        <f>IF(H24="","",'单币测算'!$D$27+H24)</f>
      </c>
      <c r="J24" s="68">
        <f>IF(G24="","",G24/F24*1000000000)</f>
      </c>
      <c r="K24" s="25">
        <f>IF(C24&gt;='单币测算'!$I$20,"不可达","可达")</f>
      </c>
    </row>
    <row r="25" ht="20" customHeight="1">
      <c r="C25" s="107" t="n">
        <v>0.8150000000000001</v>
      </c>
      <c r="D25" s="68">
        <f>IF(C25&lt;'单币测算'!$I$20,MAX(0,(C25-0.8)*1000000000),"")</f>
      </c>
      <c r="E25" s="68">
        <f>IF(D25="","",D25/(1-'单币测算'!$D$10))</f>
      </c>
      <c r="F25" s="68">
        <f>IF(E25="","",199999999.99999997-E25)</f>
      </c>
      <c r="G25" s="68">
        <f>IF(F25="","",'单币测算'!$I$16/F25)</f>
      </c>
      <c r="H25" s="68">
        <f>IF(G25="","",(G25-'单币测算'!$I$14)*(1+0.0025))</f>
      </c>
      <c r="I25" s="68">
        <f>IF(H25="","",'单币测算'!$D$27+H25)</f>
      </c>
      <c r="J25" s="68">
        <f>IF(G25="","",G25/F25*1000000000)</f>
      </c>
      <c r="K25" s="25">
        <f>IF(C25&gt;='单币测算'!$I$20,"不可达","可达")</f>
      </c>
    </row>
    <row r="26" ht="20" customHeight="1">
      <c r="C26" s="107" t="n">
        <v>0.8200000000000001</v>
      </c>
      <c r="D26" s="68">
        <f>IF(C26&lt;'单币测算'!$I$20,MAX(0,(C26-0.8)*1000000000),"")</f>
      </c>
      <c r="E26" s="68">
        <f>IF(D26="","",D26/(1-'单币测算'!$D$10))</f>
      </c>
      <c r="F26" s="68">
        <f>IF(E26="","",199999999.99999997-E26)</f>
      </c>
      <c r="G26" s="68">
        <f>IF(F26="","",'单币测算'!$I$16/F26)</f>
      </c>
      <c r="H26" s="68">
        <f>IF(G26="","",(G26-'单币测算'!$I$14)*(1+0.0025))</f>
      </c>
      <c r="I26" s="68">
        <f>IF(H26="","",'单币测算'!$D$27+H26)</f>
      </c>
      <c r="J26" s="68">
        <f>IF(G26="","",G26/F26*1000000000)</f>
      </c>
      <c r="K26" s="25">
        <f>IF(C26&gt;='单币测算'!$I$20,"不可达","可达")</f>
      </c>
    </row>
    <row r="27" ht="20" customHeight="1">
      <c r="C27" s="107" t="n">
        <v>0.8250000000000001</v>
      </c>
      <c r="D27" s="68">
        <f>IF(C27&lt;'单币测算'!$I$20,MAX(0,(C27-0.8)*1000000000),"")</f>
      </c>
      <c r="E27" s="68">
        <f>IF(D27="","",D27/(1-'单币测算'!$D$10))</f>
      </c>
      <c r="F27" s="68">
        <f>IF(E27="","",199999999.99999997-E27)</f>
      </c>
      <c r="G27" s="68">
        <f>IF(F27="","",'单币测算'!$I$16/F27)</f>
      </c>
      <c r="H27" s="68">
        <f>IF(G27="","",(G27-'单币测算'!$I$14)*(1+0.0025))</f>
      </c>
      <c r="I27" s="68">
        <f>IF(H27="","",'单币测算'!$D$27+H27)</f>
      </c>
      <c r="J27" s="68">
        <f>IF(G27="","",G27/F27*1000000000)</f>
      </c>
      <c r="K27" s="25">
        <f>IF(C27&gt;='单币测算'!$I$20,"不可达","可达")</f>
      </c>
    </row>
    <row r="28" ht="20" customHeight="1">
      <c r="C28" s="107" t="n">
        <v>0.8300000000000001</v>
      </c>
      <c r="D28" s="68">
        <f>IF(C28&lt;'单币测算'!$I$20,MAX(0,(C28-0.8)*1000000000),"")</f>
      </c>
      <c r="E28" s="68">
        <f>IF(D28="","",D28/(1-'单币测算'!$D$10))</f>
      </c>
      <c r="F28" s="68">
        <f>IF(E28="","",199999999.99999997-E28)</f>
      </c>
      <c r="G28" s="68">
        <f>IF(F28="","",'单币测算'!$I$16/F28)</f>
      </c>
      <c r="H28" s="68">
        <f>IF(G28="","",(G28-'单币测算'!$I$14)*(1+0.0025))</f>
      </c>
      <c r="I28" s="68">
        <f>IF(H28="","",'单币测算'!$D$27+H28)</f>
      </c>
      <c r="J28" s="68">
        <f>IF(G28="","",G28/F28*1000000000)</f>
      </c>
      <c r="K28" s="25">
        <f>IF(C28&gt;='单币测算'!$I$20,"不可达","可达")</f>
      </c>
    </row>
    <row r="29" ht="20" customHeight="1">
      <c r="C29" s="107" t="n">
        <v>0.8350000000000001</v>
      </c>
      <c r="D29" s="68">
        <f>IF(C29&lt;'单币测算'!$I$20,MAX(0,(C29-0.8)*1000000000),"")</f>
      </c>
      <c r="E29" s="68">
        <f>IF(D29="","",D29/(1-'单币测算'!$D$10))</f>
      </c>
      <c r="F29" s="68">
        <f>IF(E29="","",199999999.99999997-E29)</f>
      </c>
      <c r="G29" s="68">
        <f>IF(F29="","",'单币测算'!$I$16/F29)</f>
      </c>
      <c r="H29" s="68">
        <f>IF(G29="","",(G29-'单币测算'!$I$14)*(1+0.0025))</f>
      </c>
      <c r="I29" s="68">
        <f>IF(H29="","",'单币测算'!$D$27+H29)</f>
      </c>
      <c r="J29" s="68">
        <f>IF(G29="","",G29/F29*1000000000)</f>
      </c>
      <c r="K29" s="25">
        <f>IF(C29&gt;='单币测算'!$I$20,"不可达","可达")</f>
      </c>
    </row>
    <row r="30" ht="20" customHeight="1">
      <c r="C30" s="107" t="n">
        <v>0.8400000000000001</v>
      </c>
      <c r="D30" s="68">
        <f>IF(C30&lt;'单币测算'!$I$20,MAX(0,(C30-0.8)*1000000000),"")</f>
      </c>
      <c r="E30" s="68">
        <f>IF(D30="","",D30/(1-'单币测算'!$D$10))</f>
      </c>
      <c r="F30" s="68">
        <f>IF(E30="","",199999999.99999997-E30)</f>
      </c>
      <c r="G30" s="68">
        <f>IF(F30="","",'单币测算'!$I$16/F30)</f>
      </c>
      <c r="H30" s="68">
        <f>IF(G30="","",(G30-'单币测算'!$I$14)*(1+0.0025))</f>
      </c>
      <c r="I30" s="68">
        <f>IF(H30="","",'单币测算'!$D$27+H30)</f>
      </c>
      <c r="J30" s="68">
        <f>IF(G30="","",G30/F30*1000000000)</f>
      </c>
      <c r="K30" s="25">
        <f>IF(C30&gt;='单币测算'!$I$20,"不可达","可达")</f>
      </c>
    </row>
    <row r="31" ht="20" customHeight="1">
      <c r="C31" s="107" t="n">
        <v>0.8450000000000001</v>
      </c>
      <c r="D31" s="68">
        <f>IF(C31&lt;'单币测算'!$I$20,MAX(0,(C31-0.8)*1000000000),"")</f>
      </c>
      <c r="E31" s="68">
        <f>IF(D31="","",D31/(1-'单币测算'!$D$10))</f>
      </c>
      <c r="F31" s="68">
        <f>IF(E31="","",199999999.99999997-E31)</f>
      </c>
      <c r="G31" s="68">
        <f>IF(F31="","",'单币测算'!$I$16/F31)</f>
      </c>
      <c r="H31" s="68">
        <f>IF(G31="","",(G31-'单币测算'!$I$14)*(1+0.0025))</f>
      </c>
      <c r="I31" s="68">
        <f>IF(H31="","",'单币测算'!$D$27+H31)</f>
      </c>
      <c r="J31" s="68">
        <f>IF(G31="","",G31/F31*1000000000)</f>
      </c>
      <c r="K31" s="25">
        <f>IF(C31&gt;='单币测算'!$I$20,"不可达","可达")</f>
      </c>
    </row>
    <row r="32" ht="20" customHeight="1">
      <c r="C32" s="107" t="n">
        <v>0.8500000000000001</v>
      </c>
      <c r="D32" s="68">
        <f>IF(C32&lt;'单币测算'!$I$20,MAX(0,(C32-0.8)*1000000000),"")</f>
      </c>
      <c r="E32" s="68">
        <f>IF(D32="","",D32/(1-'单币测算'!$D$10))</f>
      </c>
      <c r="F32" s="68">
        <f>IF(E32="","",199999999.99999997-E32)</f>
      </c>
      <c r="G32" s="68">
        <f>IF(F32="","",'单币测算'!$I$16/F32)</f>
      </c>
      <c r="H32" s="68">
        <f>IF(G32="","",(G32-'单币测算'!$I$14)*(1+0.0025))</f>
      </c>
      <c r="I32" s="68">
        <f>IF(H32="","",'单币测算'!$D$27+H32)</f>
      </c>
      <c r="J32" s="68">
        <f>IF(G32="","",G32/F32*1000000000)</f>
      </c>
      <c r="K32" s="25">
        <f>IF(C32&gt;='单币测算'!$I$20,"不可达","可达")</f>
      </c>
    </row>
    <row r="33" ht="20" customHeight="1">
      <c r="C33" s="107" t="n">
        <v>0.8550000000000001</v>
      </c>
      <c r="D33" s="68">
        <f>IF(C33&lt;'单币测算'!$I$20,MAX(0,(C33-0.8)*1000000000),"")</f>
      </c>
      <c r="E33" s="68">
        <f>IF(D33="","",D33/(1-'单币测算'!$D$10))</f>
      </c>
      <c r="F33" s="68">
        <f>IF(E33="","",199999999.99999997-E33)</f>
      </c>
      <c r="G33" s="68">
        <f>IF(F33="","",'单币测算'!$I$16/F33)</f>
      </c>
      <c r="H33" s="68">
        <f>IF(G33="","",(G33-'单币测算'!$I$14)*(1+0.0025))</f>
      </c>
      <c r="I33" s="68">
        <f>IF(H33="","",'单币测算'!$D$27+H33)</f>
      </c>
      <c r="J33" s="68">
        <f>IF(G33="","",G33/F33*1000000000)</f>
      </c>
      <c r="K33" s="25">
        <f>IF(C33&gt;='单币测算'!$I$20,"不可达","可达")</f>
      </c>
    </row>
    <row r="34" ht="20" customHeight="1">
      <c r="C34" s="107" t="n">
        <v>0.8600000000000001</v>
      </c>
      <c r="D34" s="68">
        <f>IF(C34&lt;'单币测算'!$I$20,MAX(0,(C34-0.8)*1000000000),"")</f>
      </c>
      <c r="E34" s="68">
        <f>IF(D34="","",D34/(1-'单币测算'!$D$10))</f>
      </c>
      <c r="F34" s="68">
        <f>IF(E34="","",199999999.99999997-E34)</f>
      </c>
      <c r="G34" s="68">
        <f>IF(F34="","",'单币测算'!$I$16/F34)</f>
      </c>
      <c r="H34" s="68">
        <f>IF(G34="","",(G34-'单币测算'!$I$14)*(1+0.0025))</f>
      </c>
      <c r="I34" s="68">
        <f>IF(H34="","",'单币测算'!$D$27+H34)</f>
      </c>
      <c r="J34" s="68">
        <f>IF(G34="","",G34/F34*1000000000)</f>
      </c>
      <c r="K34" s="25">
        <f>IF(C34&gt;='单币测算'!$I$20,"不可达","可达")</f>
      </c>
    </row>
    <row r="35" ht="20" customHeight="1">
      <c r="C35" s="107" t="n">
        <v>0.865</v>
      </c>
      <c r="D35" s="68">
        <f>IF(C35&lt;'单币测算'!$I$20,MAX(0,(C35-0.8)*1000000000),"")</f>
      </c>
      <c r="E35" s="68">
        <f>IF(D35="","",D35/(1-'单币测算'!$D$10))</f>
      </c>
      <c r="F35" s="68">
        <f>IF(E35="","",199999999.99999997-E35)</f>
      </c>
      <c r="G35" s="68">
        <f>IF(F35="","",'单币测算'!$I$16/F35)</f>
      </c>
      <c r="H35" s="68">
        <f>IF(G35="","",(G35-'单币测算'!$I$14)*(1+0.0025))</f>
      </c>
      <c r="I35" s="68">
        <f>IF(H35="","",'单币测算'!$D$27+H35)</f>
      </c>
      <c r="J35" s="68">
        <f>IF(G35="","",G35/F35*1000000000)</f>
      </c>
      <c r="K35" s="25">
        <f>IF(C35&gt;='单币测算'!$I$20,"不可达","可达")</f>
      </c>
    </row>
    <row r="36" ht="20" customHeight="1">
      <c r="C36" s="107" t="n">
        <v>0.8700000000000001</v>
      </c>
      <c r="D36" s="68">
        <f>IF(C36&lt;'单币测算'!$I$20,MAX(0,(C36-0.8)*1000000000),"")</f>
      </c>
      <c r="E36" s="68">
        <f>IF(D36="","",D36/(1-'单币测算'!$D$10))</f>
      </c>
      <c r="F36" s="68">
        <f>IF(E36="","",199999999.99999997-E36)</f>
      </c>
      <c r="G36" s="68">
        <f>IF(F36="","",'单币测算'!$I$16/F36)</f>
      </c>
      <c r="H36" s="68">
        <f>IF(G36="","",(G36-'单币测算'!$I$14)*(1+0.0025))</f>
      </c>
      <c r="I36" s="68">
        <f>IF(H36="","",'单币测算'!$D$27+H36)</f>
      </c>
      <c r="J36" s="68">
        <f>IF(G36="","",G36/F36*1000000000)</f>
      </c>
      <c r="K36" s="25">
        <f>IF(C36&gt;='单币测算'!$I$20,"不可达","可达")</f>
      </c>
    </row>
    <row r="37" ht="20" customHeight="1">
      <c r="C37" s="107" t="n">
        <v>0.875</v>
      </c>
      <c r="D37" s="68">
        <f>IF(C37&lt;'单币测算'!$I$20,MAX(0,(C37-0.8)*1000000000),"")</f>
      </c>
      <c r="E37" s="68">
        <f>IF(D37="","",D37/(1-'单币测算'!$D$10))</f>
      </c>
      <c r="F37" s="68">
        <f>IF(E37="","",199999999.99999997-E37)</f>
      </c>
      <c r="G37" s="68">
        <f>IF(F37="","",'单币测算'!$I$16/F37)</f>
      </c>
      <c r="H37" s="68">
        <f>IF(G37="","",(G37-'单币测算'!$I$14)*(1+0.0025))</f>
      </c>
      <c r="I37" s="68">
        <f>IF(H37="","",'单币测算'!$D$27+H37)</f>
      </c>
      <c r="J37" s="68">
        <f>IF(G37="","",G37/F37*1000000000)</f>
      </c>
      <c r="K37" s="25">
        <f>IF(C37&gt;='单币测算'!$I$20,"不可达","可达")</f>
      </c>
    </row>
    <row r="38" ht="20" customHeight="1">
      <c r="C38" s="107" t="n">
        <v>0.88</v>
      </c>
      <c r="D38" s="68">
        <f>IF(C38&lt;'单币测算'!$I$20,MAX(0,(C38-0.8)*1000000000),"")</f>
      </c>
      <c r="E38" s="68">
        <f>IF(D38="","",D38/(1-'单币测算'!$D$10))</f>
      </c>
      <c r="F38" s="68">
        <f>IF(E38="","",199999999.99999997-E38)</f>
      </c>
      <c r="G38" s="68">
        <f>IF(F38="","",'单币测算'!$I$16/F38)</f>
      </c>
      <c r="H38" s="68">
        <f>IF(G38="","",(G38-'单币测算'!$I$14)*(1+0.0025))</f>
      </c>
      <c r="I38" s="68">
        <f>IF(H38="","",'单币测算'!$D$27+H38)</f>
      </c>
      <c r="J38" s="68">
        <f>IF(G38="","",G38/F38*1000000000)</f>
      </c>
      <c r="K38" s="25">
        <f>IF(C38&gt;='单币测算'!$I$20,"不可达","可达")</f>
      </c>
    </row>
    <row r="39" ht="20" customHeight="1">
      <c r="C39" s="107" t="n">
        <v>0.885</v>
      </c>
      <c r="D39" s="68">
        <f>IF(C39&lt;'单币测算'!$I$20,MAX(0,(C39-0.8)*1000000000),"")</f>
      </c>
      <c r="E39" s="68">
        <f>IF(D39="","",D39/(1-'单币测算'!$D$10))</f>
      </c>
      <c r="F39" s="68">
        <f>IF(E39="","",199999999.99999997-E39)</f>
      </c>
      <c r="G39" s="68">
        <f>IF(F39="","",'单币测算'!$I$16/F39)</f>
      </c>
      <c r="H39" s="68">
        <f>IF(G39="","",(G39-'单币测算'!$I$14)*(1+0.0025))</f>
      </c>
      <c r="I39" s="68">
        <f>IF(H39="","",'单币测算'!$D$27+H39)</f>
      </c>
      <c r="J39" s="68">
        <f>IF(G39="","",G39/F39*1000000000)</f>
      </c>
      <c r="K39" s="25">
        <f>IF(C39&gt;='单币测算'!$I$20,"不可达","可达")</f>
      </c>
    </row>
    <row r="40" ht="20" customHeight="1">
      <c r="C40" s="107" t="n">
        <v>0.89</v>
      </c>
      <c r="D40" s="68">
        <f>IF(C40&lt;'单币测算'!$I$20,MAX(0,(C40-0.8)*1000000000),"")</f>
      </c>
      <c r="E40" s="68">
        <f>IF(D40="","",D40/(1-'单币测算'!$D$10))</f>
      </c>
      <c r="F40" s="68">
        <f>IF(E40="","",199999999.99999997-E40)</f>
      </c>
      <c r="G40" s="68">
        <f>IF(F40="","",'单币测算'!$I$16/F40)</f>
      </c>
      <c r="H40" s="68">
        <f>IF(G40="","",(G40-'单币测算'!$I$14)*(1+0.0025))</f>
      </c>
      <c r="I40" s="68">
        <f>IF(H40="","",'单币测算'!$D$27+H40)</f>
      </c>
      <c r="J40" s="68">
        <f>IF(G40="","",G40/F40*1000000000)</f>
      </c>
      <c r="K40" s="25">
        <f>IF(C40&gt;='单币测算'!$I$20,"不可达","可达")</f>
      </c>
    </row>
    <row r="41" ht="20" customHeight="1">
      <c r="C41" s="107" t="n">
        <v>0.895</v>
      </c>
      <c r="D41" s="68">
        <f>IF(C41&lt;'单币测算'!$I$20,MAX(0,(C41-0.8)*1000000000),"")</f>
      </c>
      <c r="E41" s="68">
        <f>IF(D41="","",D41/(1-'单币测算'!$D$10))</f>
      </c>
      <c r="F41" s="68">
        <f>IF(E41="","",199999999.99999997-E41)</f>
      </c>
      <c r="G41" s="68">
        <f>IF(F41="","",'单币测算'!$I$16/F41)</f>
      </c>
      <c r="H41" s="68">
        <f>IF(G41="","",(G41-'单币测算'!$I$14)*(1+0.0025))</f>
      </c>
      <c r="I41" s="68">
        <f>IF(H41="","",'单币测算'!$D$27+H41)</f>
      </c>
      <c r="J41" s="68">
        <f>IF(G41="","",G41/F41*1000000000)</f>
      </c>
      <c r="K41" s="25">
        <f>IF(C41&gt;='单币测算'!$I$20,"不可达","可达")</f>
      </c>
    </row>
    <row r="42" ht="20" customHeight="1">
      <c r="C42" s="107" t="n">
        <v>0.9</v>
      </c>
      <c r="D42" s="68">
        <f>IF(C42&lt;'单币测算'!$I$20,MAX(0,(C42-0.8)*1000000000),"")</f>
      </c>
      <c r="E42" s="68">
        <f>IF(D42="","",D42/(1-'单币测算'!$D$10))</f>
      </c>
      <c r="F42" s="68">
        <f>IF(E42="","",199999999.99999997-E42)</f>
      </c>
      <c r="G42" s="68">
        <f>IF(F42="","",'单币测算'!$I$16/F42)</f>
      </c>
      <c r="H42" s="68">
        <f>IF(G42="","",(G42-'单币测算'!$I$14)*(1+0.0025))</f>
      </c>
      <c r="I42" s="68">
        <f>IF(H42="","",'单币测算'!$D$27+H42)</f>
      </c>
      <c r="J42" s="68">
        <f>IF(G42="","",G42/F42*1000000000)</f>
      </c>
      <c r="K42" s="25">
        <f>IF(C42&gt;='单币测算'!$I$20,"不可达","可达")</f>
      </c>
    </row>
    <row r="43" ht="20" customHeight="1">
      <c r="C43" s="107" t="n">
        <v>0.905</v>
      </c>
      <c r="D43" s="68">
        <f>IF(C43&lt;'单币测算'!$I$20,MAX(0,(C43-0.8)*1000000000),"")</f>
      </c>
      <c r="E43" s="68">
        <f>IF(D43="","",D43/(1-'单币测算'!$D$10))</f>
      </c>
      <c r="F43" s="68">
        <f>IF(E43="","",199999999.99999997-E43)</f>
      </c>
      <c r="G43" s="68">
        <f>IF(F43="","",'单币测算'!$I$16/F43)</f>
      </c>
      <c r="H43" s="68">
        <f>IF(G43="","",(G43-'单币测算'!$I$14)*(1+0.0025))</f>
      </c>
      <c r="I43" s="68">
        <f>IF(H43="","",'单币测算'!$D$27+H43)</f>
      </c>
      <c r="J43" s="68">
        <f>IF(G43="","",G43/F43*1000000000)</f>
      </c>
      <c r="K43" s="25">
        <f>IF(C43&gt;='单币测算'!$I$20,"不可达","可达")</f>
      </c>
    </row>
    <row r="44" ht="20" customHeight="1">
      <c r="C44" s="107" t="n">
        <v>0.91</v>
      </c>
      <c r="D44" s="68">
        <f>IF(C44&lt;'单币测算'!$I$20,MAX(0,(C44-0.8)*1000000000),"")</f>
      </c>
      <c r="E44" s="68">
        <f>IF(D44="","",D44/(1-'单币测算'!$D$10))</f>
      </c>
      <c r="F44" s="68">
        <f>IF(E44="","",199999999.99999997-E44)</f>
      </c>
      <c r="G44" s="68">
        <f>IF(F44="","",'单币测算'!$I$16/F44)</f>
      </c>
      <c r="H44" s="68">
        <f>IF(G44="","",(G44-'单币测算'!$I$14)*(1+0.0025))</f>
      </c>
      <c r="I44" s="68">
        <f>IF(H44="","",'单币测算'!$D$27+H44)</f>
      </c>
      <c r="J44" s="68">
        <f>IF(G44="","",G44/F44*1000000000)</f>
      </c>
      <c r="K44" s="25">
        <f>IF(C44&gt;='单币测算'!$I$20,"不可达","可达")</f>
      </c>
    </row>
    <row r="45" ht="20" customHeight="1">
      <c r="C45" s="107" t="n">
        <v>0.915</v>
      </c>
      <c r="D45" s="68">
        <f>IF(C45&lt;'单币测算'!$I$20,MAX(0,(C45-0.8)*1000000000),"")</f>
      </c>
      <c r="E45" s="68">
        <f>IF(D45="","",D45/(1-'单币测算'!$D$10))</f>
      </c>
      <c r="F45" s="68">
        <f>IF(E45="","",199999999.99999997-E45)</f>
      </c>
      <c r="G45" s="68">
        <f>IF(F45="","",'单币测算'!$I$16/F45)</f>
      </c>
      <c r="H45" s="68">
        <f>IF(G45="","",(G45-'单币测算'!$I$14)*(1+0.0025))</f>
      </c>
      <c r="I45" s="68">
        <f>IF(H45="","",'单币测算'!$D$27+H45)</f>
      </c>
      <c r="J45" s="68">
        <f>IF(G45="","",G45/F45*1000000000)</f>
      </c>
      <c r="K45" s="25">
        <f>IF(C45&gt;='单币测算'!$I$20,"不可达","可达")</f>
      </c>
    </row>
    <row r="46" ht="20" customHeight="1">
      <c r="C46" s="107" t="n">
        <v>0.92</v>
      </c>
      <c r="D46" s="68">
        <f>IF(C46&lt;'单币测算'!$I$20,MAX(0,(C46-0.8)*1000000000),"")</f>
      </c>
      <c r="E46" s="68">
        <f>IF(D46="","",D46/(1-'单币测算'!$D$10))</f>
      </c>
      <c r="F46" s="68">
        <f>IF(E46="","",199999999.99999997-E46)</f>
      </c>
      <c r="G46" s="68">
        <f>IF(F46="","",'单币测算'!$I$16/F46)</f>
      </c>
      <c r="H46" s="68">
        <f>IF(G46="","",(G46-'单币测算'!$I$14)*(1+0.0025))</f>
      </c>
      <c r="I46" s="68">
        <f>IF(H46="","",'单币测算'!$D$27+H46)</f>
      </c>
      <c r="J46" s="68">
        <f>IF(G46="","",G46/F46*1000000000)</f>
      </c>
      <c r="K46" s="25">
        <f>IF(C46&gt;='单币测算'!$I$20,"不可达","可达")</f>
      </c>
    </row>
    <row r="47" ht="20" customHeight="1">
      <c r="C47" s="107" t="n">
        <v>0.925</v>
      </c>
      <c r="D47" s="68">
        <f>IF(C47&lt;'单币测算'!$I$20,MAX(0,(C47-0.8)*1000000000),"")</f>
      </c>
      <c r="E47" s="68">
        <f>IF(D47="","",D47/(1-'单币测算'!$D$10))</f>
      </c>
      <c r="F47" s="68">
        <f>IF(E47="","",199999999.99999997-E47)</f>
      </c>
      <c r="G47" s="68">
        <f>IF(F47="","",'单币测算'!$I$16/F47)</f>
      </c>
      <c r="H47" s="68">
        <f>IF(G47="","",(G47-'单币测算'!$I$14)*(1+0.0025))</f>
      </c>
      <c r="I47" s="68">
        <f>IF(H47="","",'单币测算'!$D$27+H47)</f>
      </c>
      <c r="J47" s="68">
        <f>IF(G47="","",G47/F47*1000000000)</f>
      </c>
      <c r="K47" s="25">
        <f>IF(C47&gt;='单币测算'!$I$20,"不可达","可达")</f>
      </c>
    </row>
    <row r="48" ht="20" customHeight="1">
      <c r="C48" s="107" t="n">
        <v>0.93</v>
      </c>
      <c r="D48" s="68">
        <f>IF(C48&lt;'单币测算'!$I$20,MAX(0,(C48-0.8)*1000000000),"")</f>
      </c>
      <c r="E48" s="68">
        <f>IF(D48="","",D48/(1-'单币测算'!$D$10))</f>
      </c>
      <c r="F48" s="68">
        <f>IF(E48="","",199999999.99999997-E48)</f>
      </c>
      <c r="G48" s="68">
        <f>IF(F48="","",'单币测算'!$I$16/F48)</f>
      </c>
      <c r="H48" s="68">
        <f>IF(G48="","",(G48-'单币测算'!$I$14)*(1+0.0025))</f>
      </c>
      <c r="I48" s="68">
        <f>IF(H48="","",'单币测算'!$D$27+H48)</f>
      </c>
      <c r="J48" s="68">
        <f>IF(G48="","",G48/F48*1000000000)</f>
      </c>
      <c r="K48" s="25">
        <f>IF(C48&gt;='单币测算'!$I$20,"不可达","可达")</f>
      </c>
    </row>
    <row r="49" ht="20" customHeight="1">
      <c r="C49" s="107" t="n">
        <v>0.935</v>
      </c>
      <c r="D49" s="68">
        <f>IF(C49&lt;'单币测算'!$I$20,MAX(0,(C49-0.8)*1000000000),"")</f>
      </c>
      <c r="E49" s="68">
        <f>IF(D49="","",D49/(1-'单币测算'!$D$10))</f>
      </c>
      <c r="F49" s="68">
        <f>IF(E49="","",199999999.99999997-E49)</f>
      </c>
      <c r="G49" s="68">
        <f>IF(F49="","",'单币测算'!$I$16/F49)</f>
      </c>
      <c r="H49" s="68">
        <f>IF(G49="","",(G49-'单币测算'!$I$14)*(1+0.0025))</f>
      </c>
      <c r="I49" s="68">
        <f>IF(H49="","",'单币测算'!$D$27+H49)</f>
      </c>
      <c r="J49" s="68">
        <f>IF(G49="","",G49/F49*1000000000)</f>
      </c>
      <c r="K49" s="25">
        <f>IF(C49&gt;='单币测算'!$I$20,"不可达","可达")</f>
      </c>
    </row>
    <row r="50" ht="20" customHeight="1">
      <c r="C50" s="107" t="n">
        <v>0.9400000000000001</v>
      </c>
      <c r="D50" s="68">
        <f>IF(C50&lt;'单币测算'!$I$20,MAX(0,(C50-0.8)*1000000000),"")</f>
      </c>
      <c r="E50" s="68">
        <f>IF(D50="","",D50/(1-'单币测算'!$D$10))</f>
      </c>
      <c r="F50" s="68">
        <f>IF(E50="","",199999999.99999997-E50)</f>
      </c>
      <c r="G50" s="68">
        <f>IF(F50="","",'单币测算'!$I$16/F50)</f>
      </c>
      <c r="H50" s="68">
        <f>IF(G50="","",(G50-'单币测算'!$I$14)*(1+0.0025))</f>
      </c>
      <c r="I50" s="68">
        <f>IF(H50="","",'单币测算'!$D$27+H50)</f>
      </c>
      <c r="J50" s="68">
        <f>IF(G50="","",G50/F50*1000000000)</f>
      </c>
      <c r="K50" s="25">
        <f>IF(C50&gt;='单币测算'!$I$20,"不可达","可达")</f>
      </c>
    </row>
    <row r="51" ht="20" customHeight="1">
      <c r="C51" s="107" t="n">
        <v>0.9450000000000001</v>
      </c>
      <c r="D51" s="68">
        <f>IF(C51&lt;'单币测算'!$I$20,MAX(0,(C51-0.8)*1000000000),"")</f>
      </c>
      <c r="E51" s="68">
        <f>IF(D51="","",D51/(1-'单币测算'!$D$10))</f>
      </c>
      <c r="F51" s="68">
        <f>IF(E51="","",199999999.99999997-E51)</f>
      </c>
      <c r="G51" s="68">
        <f>IF(F51="","",'单币测算'!$I$16/F51)</f>
      </c>
      <c r="H51" s="68">
        <f>IF(G51="","",(G51-'单币测算'!$I$14)*(1+0.0025))</f>
      </c>
      <c r="I51" s="68">
        <f>IF(H51="","",'单币测算'!$D$27+H51)</f>
      </c>
      <c r="J51" s="68">
        <f>IF(G51="","",G51/F51*1000000000)</f>
      </c>
      <c r="K51" s="25">
        <f>IF(C51&gt;='单币测算'!$I$20,"不可达","可达")</f>
      </c>
    </row>
    <row r="52" ht="20" customHeight="1">
      <c r="C52" s="107" t="n">
        <v>0.9500000000000001</v>
      </c>
      <c r="D52" s="68">
        <f>IF(C52&lt;'单币测算'!$I$20,MAX(0,(C52-0.8)*1000000000),"")</f>
      </c>
      <c r="E52" s="68">
        <f>IF(D52="","",D52/(1-'单币测算'!$D$10))</f>
      </c>
      <c r="F52" s="68">
        <f>IF(E52="","",199999999.99999997-E52)</f>
      </c>
      <c r="G52" s="68">
        <f>IF(F52="","",'单币测算'!$I$16/F52)</f>
      </c>
      <c r="H52" s="68">
        <f>IF(G52="","",(G52-'单币测算'!$I$14)*(1+0.0025))</f>
      </c>
      <c r="I52" s="68">
        <f>IF(H52="","",'单币测算'!$D$27+H52)</f>
      </c>
      <c r="J52" s="68">
        <f>IF(G52="","",G52/F52*1000000000)</f>
      </c>
      <c r="K52" s="25">
        <f>IF(C52&gt;='单币测算'!$I$20,"不可达","可达")</f>
      </c>
    </row>
    <row r="53" ht="20" customHeight="1">
      <c r="C53" s="107" t="n">
        <v>0.9550000000000001</v>
      </c>
      <c r="D53" s="68">
        <f>IF(C53&lt;'单币测算'!$I$20,MAX(0,(C53-0.8)*1000000000),"")</f>
      </c>
      <c r="E53" s="68">
        <f>IF(D53="","",D53/(1-'单币测算'!$D$10))</f>
      </c>
      <c r="F53" s="68">
        <f>IF(E53="","",199999999.99999997-E53)</f>
      </c>
      <c r="G53" s="68">
        <f>IF(F53="","",'单币测算'!$I$16/F53)</f>
      </c>
      <c r="H53" s="68">
        <f>IF(G53="","",(G53-'单币测算'!$I$14)*(1+0.0025))</f>
      </c>
      <c r="I53" s="68">
        <f>IF(H53="","",'单币测算'!$D$27+H53)</f>
      </c>
      <c r="J53" s="68">
        <f>IF(G53="","",G53/F53*1000000000)</f>
      </c>
      <c r="K53" s="25">
        <f>IF(C53&gt;='单币测算'!$I$20,"不可达","可达")</f>
      </c>
    </row>
    <row r="54" ht="20" customHeight="1">
      <c r="C54" s="107" t="n">
        <v>0.9600000000000001</v>
      </c>
      <c r="D54" s="68">
        <f>IF(C54&lt;'单币测算'!$I$20,MAX(0,(C54-0.8)*1000000000),"")</f>
      </c>
      <c r="E54" s="68">
        <f>IF(D54="","",D54/(1-'单币测算'!$D$10))</f>
      </c>
      <c r="F54" s="68">
        <f>IF(E54="","",199999999.99999997-E54)</f>
      </c>
      <c r="G54" s="68">
        <f>IF(F54="","",'单币测算'!$I$16/F54)</f>
      </c>
      <c r="H54" s="68">
        <f>IF(G54="","",(G54-'单币测算'!$I$14)*(1+0.0025))</f>
      </c>
      <c r="I54" s="68">
        <f>IF(H54="","",'单币测算'!$D$27+H54)</f>
      </c>
      <c r="J54" s="68">
        <f>IF(G54="","",G54/F54*1000000000)</f>
      </c>
      <c r="K54" s="25">
        <f>IF(C54&gt;='单币测算'!$I$20,"不可达","可达")</f>
      </c>
    </row>
    <row r="55" ht="20" customHeight="1">
      <c r="C55" s="107" t="n">
        <v>0.9650000000000001</v>
      </c>
      <c r="D55" s="68">
        <f>IF(C55&lt;'单币测算'!$I$20,MAX(0,(C55-0.8)*1000000000),"")</f>
      </c>
      <c r="E55" s="68">
        <f>IF(D55="","",D55/(1-'单币测算'!$D$10))</f>
      </c>
      <c r="F55" s="68">
        <f>IF(E55="","",199999999.99999997-E55)</f>
      </c>
      <c r="G55" s="68">
        <f>IF(F55="","",'单币测算'!$I$16/F55)</f>
      </c>
      <c r="H55" s="68">
        <f>IF(G55="","",(G55-'单币测算'!$I$14)*(1+0.0025))</f>
      </c>
      <c r="I55" s="68">
        <f>IF(H55="","",'单币测算'!$D$27+H55)</f>
      </c>
      <c r="J55" s="68">
        <f>IF(G55="","",G55/F55*1000000000)</f>
      </c>
      <c r="K55" s="25">
        <f>IF(C55&gt;='单币测算'!$I$20,"不可达","可达")</f>
      </c>
    </row>
    <row r="56" ht="20" customHeight="1">
      <c r="C56" s="107" t="n">
        <v>0.9700000000000001</v>
      </c>
      <c r="D56" s="68">
        <f>IF(C56&lt;'单币测算'!$I$20,MAX(0,(C56-0.8)*1000000000),"")</f>
      </c>
      <c r="E56" s="68">
        <f>IF(D56="","",D56/(1-'单币测算'!$D$10))</f>
      </c>
      <c r="F56" s="68">
        <f>IF(E56="","",199999999.99999997-E56)</f>
      </c>
      <c r="G56" s="68">
        <f>IF(F56="","",'单币测算'!$I$16/F56)</f>
      </c>
      <c r="H56" s="68">
        <f>IF(G56="","",(G56-'单币测算'!$I$14)*(1+0.0025))</f>
      </c>
      <c r="I56" s="68">
        <f>IF(H56="","",'单币测算'!$D$27+H56)</f>
      </c>
      <c r="J56" s="68">
        <f>IF(G56="","",G56/F56*1000000000)</f>
      </c>
      <c r="K56" s="25">
        <f>IF(C56&gt;='单币测算'!$I$20,"不可达","可达")</f>
      </c>
    </row>
    <row r="57" ht="20" customHeight="1">
      <c r="C57" s="107" t="n">
        <v>0.9750000000000001</v>
      </c>
      <c r="D57" s="68">
        <f>IF(C57&lt;'单币测算'!$I$20,MAX(0,(C57-0.8)*1000000000),"")</f>
      </c>
      <c r="E57" s="68">
        <f>IF(D57="","",D57/(1-'单币测算'!$D$10))</f>
      </c>
      <c r="F57" s="68">
        <f>IF(E57="","",199999999.99999997-E57)</f>
      </c>
      <c r="G57" s="68">
        <f>IF(F57="","",'单币测算'!$I$16/F57)</f>
      </c>
      <c r="H57" s="68">
        <f>IF(G57="","",(G57-'单币测算'!$I$14)*(1+0.0025))</f>
      </c>
      <c r="I57" s="68">
        <f>IF(H57="","",'单币测算'!$D$27+H57)</f>
      </c>
      <c r="J57" s="68">
        <f>IF(G57="","",G57/F57*1000000000)</f>
      </c>
      <c r="K57" s="25">
        <f>IF(C57&gt;='单币测算'!$I$20,"不可达","可达")</f>
      </c>
    </row>
    <row r="58" ht="20" customHeight="1">
      <c r="C58" s="107" t="n">
        <v>0.98</v>
      </c>
      <c r="D58" s="68">
        <f>IF(C58&lt;'单币测算'!$I$20,MAX(0,(C58-0.8)*1000000000),"")</f>
      </c>
      <c r="E58" s="68">
        <f>IF(D58="","",D58/(1-'单币测算'!$D$10))</f>
      </c>
      <c r="F58" s="68">
        <f>IF(E58="","",199999999.99999997-E58)</f>
      </c>
      <c r="G58" s="68">
        <f>IF(F58="","",'单币测算'!$I$16/F58)</f>
      </c>
      <c r="H58" s="68">
        <f>IF(G58="","",(G58-'单币测算'!$I$14)*(1+0.0025))</f>
      </c>
      <c r="I58" s="68">
        <f>IF(H58="","",'单币测算'!$D$27+H58)</f>
      </c>
      <c r="J58" s="68">
        <f>IF(G58="","",G58/F58*1000000000)</f>
      </c>
      <c r="K58" s="25">
        <f>IF(C58&gt;='单币测算'!$I$20,"不可达","可达")</f>
      </c>
    </row>
    <row r="59" ht="20" customHeight="1">
      <c r="C59" s="107" t="n">
        <v>0.9850000000000001</v>
      </c>
      <c r="D59" s="68">
        <f>IF(C59&lt;'单币测算'!$I$20,MAX(0,(C59-0.8)*1000000000),"")</f>
      </c>
      <c r="E59" s="68">
        <f>IF(D59="","",D59/(1-'单币测算'!$D$10))</f>
      </c>
      <c r="F59" s="68">
        <f>IF(E59="","",199999999.99999997-E59)</f>
      </c>
      <c r="G59" s="68">
        <f>IF(F59="","",'单币测算'!$I$16/F59)</f>
      </c>
      <c r="H59" s="68">
        <f>IF(G59="","",(G59-'单币测算'!$I$14)*(1+0.0025))</f>
      </c>
      <c r="I59" s="68">
        <f>IF(H59="","",'单币测算'!$D$27+H59)</f>
      </c>
      <c r="J59" s="68">
        <f>IF(G59="","",G59/F59*1000000000)</f>
      </c>
      <c r="K59" s="25">
        <f>IF(C59&gt;='单币测算'!$I$20,"不可达","可达")</f>
      </c>
    </row>
    <row r="60" ht="20" customHeight="1">
      <c r="C60" s="107" t="n">
        <v>0.99</v>
      </c>
      <c r="D60" s="68">
        <f>IF(C60&lt;'单币测算'!$I$20,MAX(0,(C60-0.8)*1000000000),"")</f>
      </c>
      <c r="E60" s="68">
        <f>IF(D60="","",D60/(1-'单币测算'!$D$10))</f>
      </c>
      <c r="F60" s="68">
        <f>IF(E60="","",199999999.99999997-E60)</f>
      </c>
      <c r="G60" s="68">
        <f>IF(F60="","",'单币测算'!$I$16/F60)</f>
      </c>
      <c r="H60" s="68">
        <f>IF(G60="","",(G60-'单币测算'!$I$14)*(1+0.0025))</f>
      </c>
      <c r="I60" s="68">
        <f>IF(H60="","",'单币测算'!$D$27+H60)</f>
      </c>
      <c r="J60" s="68">
        <f>IF(G60="","",G60/F60*1000000000)</f>
      </c>
      <c r="K60" s="25">
        <f>IF(C60&gt;='单币测算'!$I$20,"不可达","可达")</f>
      </c>
    </row>
    <row r="61" ht="20" customHeight="1">
      <c r="C61" s="107" t="n">
        <v>0.9950000000000001</v>
      </c>
      <c r="D61" s="68">
        <f>IF(C61&lt;'单币测算'!$I$20,MAX(0,(C61-0.8)*1000000000),"")</f>
      </c>
      <c r="E61" s="68">
        <f>IF(D61="","",D61/(1-'单币测算'!$D$10))</f>
      </c>
      <c r="F61" s="68">
        <f>IF(E61="","",199999999.99999997-E61)</f>
      </c>
      <c r="G61" s="68">
        <f>IF(F61="","",'单币测算'!$I$16/F61)</f>
      </c>
      <c r="H61" s="68">
        <f>IF(G61="","",(G61-'单币测算'!$I$14)*(1+0.0025))</f>
      </c>
      <c r="I61" s="68">
        <f>IF(H61="","",'单币测算'!$D$27+H61)</f>
      </c>
      <c r="J61" s="68">
        <f>IF(G61="","",G61/F61*1000000000)</f>
      </c>
      <c r="K61" s="25">
        <f>IF(C61&gt;='单币测算'!$I$20,"不可达","可达")</f>
      </c>
    </row>
    <row r="62" ht="20" customHeight="1">
      <c r="C62" s="108" t="n">
        <v>1</v>
      </c>
      <c r="D62" s="71">
        <f>IF(C62&lt;'单币测算'!$I$20,MAX(0,(C62-0.8)*1000000000),"")</f>
      </c>
      <c r="E62" s="71">
        <f>IF(D62="","",D62/(1-'单币测算'!$D$10))</f>
      </c>
      <c r="F62" s="71">
        <f>IF(E62="","",199999999.99999997-E62)</f>
      </c>
      <c r="G62" s="71">
        <f>IF(F62="","",'单币测算'!$I$16/F62)</f>
      </c>
      <c r="H62" s="71">
        <f>IF(G62="","",(G62-'单币测算'!$I$14)*(1+0.0025))</f>
      </c>
      <c r="I62" s="71">
        <f>IF(H62="","",'单币测算'!$D$27+H62)</f>
      </c>
      <c r="J62" s="71">
        <f>IF(G62="","",G62/F62*1000000000)</f>
      </c>
      <c r="K62" s="26">
        <f>IF(C62&gt;='单币测算'!$I$20,"不可达","可达")</f>
      </c>
    </row>
  </sheetData>
  <conditionalFormatting sqref="K22:K62">
    <cfRule type="containsText" dxfId="4" priority="1" operator="containsText" text="不可达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8" hidden="0" customWidth="1"/>
    <col min="18" max="18" width="55" hidden="0" customWidth="1"/>
    <col min="19" max="19" width="32" hidden="0" customWidth="1"/>
  </cols>
  <sheetData>
    <row r="2" ht="20" customHeight="1">
      <c r="C2" s="248" t="str">
        <v>Flap BSC RWA Quote 参数</v>
      </c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</row>
    <row r="3" ht="20" customHeight="1">
      <c r="C3" s="250" t="str">
        <v>2026-09-10 官方接口快照：23 个 RWA Quote。现有 Launch 参数固定；新 Launch 应重新读取官方接口。</v>
      </c>
      <c r="D3" s="250"/>
      <c r="E3" s="250"/>
      <c r="F3" s="250"/>
      <c r="G3" s="250"/>
      <c r="H3" s="250"/>
      <c r="I3" s="250"/>
      <c r="J3" s="250"/>
      <c r="K3" s="250"/>
      <c r="L3" s="250"/>
      <c r="M3" s="250"/>
      <c r="N3" s="250"/>
      <c r="O3" s="25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</row>
    <row r="5" ht="20" customHeight="1">
      <c r="C5" s="267" t="str">
        <v>Flap Portal</v>
      </c>
      <c r="D5" s="268" t="str">
        <v>​0xe2cE6ab80874Fa9Fa2aAE65D277Dd6B8e65C9De0 · 核验区块 121074671 · Portal 买/卖基础费 1.00% / 1.00% · 标准 Pancake V3 LP 费 0.25%</v>
      </c>
      <c r="E5" s="268"/>
      <c r="F5" s="268"/>
      <c r="G5" s="268"/>
      <c r="H5" s="268"/>
      <c r="I5" s="268"/>
      <c r="J5" s="268"/>
      <c r="K5" s="268"/>
      <c r="L5" s="268"/>
      <c r="M5" s="268"/>
      <c r="N5" s="268"/>
      <c r="O5" s="268"/>
      <c r="P5" t="str">
        <v>每日价格快照</v>
      </c>
      <c r="Q5" t="str">
        <v>网站下载时读取最新发布版</v>
      </c>
      <c r="R5" t="str">
        <v>切换 Quote 自动引用此页</v>
      </c>
      <c r="S5" t="str">
        <v>本地可手动更新价格</v>
      </c>
    </row>
    <row r="6" ht="20" customHeight="1">
      <c r="C6" s="267" t="str">
        <v>Quote API</v>
      </c>
      <c r="D6" s="268" t="str">
        <v>​https://flap.sh/api/launch/quote-tokens</v>
      </c>
      <c r="E6" s="268"/>
      <c r="F6" s="268"/>
      <c r="G6" s="268"/>
      <c r="H6" s="268"/>
      <c r="I6" s="268"/>
      <c r="J6" s="268"/>
      <c r="K6" s="268"/>
      <c r="L6" s="268"/>
      <c r="M6" s="268"/>
      <c r="N6" s="268"/>
      <c r="O6" s="268"/>
    </row>
    <row r="7" ht="20" customHeight="1">
      <c r="C7" s="267" t="str">
        <v>联合曲线文档</v>
      </c>
      <c r="D7" s="268" t="str">
        <v>​https://docs.flap.sh/flap/developers/basic-and-mechanism/bonding-curve</v>
      </c>
      <c r="E7" s="268"/>
      <c r="F7" s="268"/>
      <c r="G7" s="268"/>
      <c r="H7" s="268"/>
      <c r="I7" s="268"/>
      <c r="J7" s="268"/>
      <c r="K7" s="268"/>
      <c r="L7" s="268"/>
      <c r="M7" s="268"/>
      <c r="N7" s="268"/>
      <c r="O7" s="268"/>
    </row>
    <row r="8" ht="20" customHeight="1">
      <c r="C8" s="267" t="str">
        <v>PreBond Tax 文档</v>
      </c>
      <c r="D8" s="268" t="str">
        <v>​https://docs.flap.sh/flap/developers/basic-and-mechanism/flap-tax-token/prebond-tax</v>
      </c>
      <c r="E8" s="268"/>
      <c r="F8" s="268"/>
      <c r="G8" s="268"/>
      <c r="H8" s="268"/>
      <c r="I8" s="268"/>
      <c r="J8" s="268"/>
      <c r="K8" s="268"/>
      <c r="L8" s="268"/>
      <c r="M8" s="268"/>
      <c r="N8" s="268"/>
      <c r="O8" s="268"/>
    </row>
    <row r="9" ht="20" customHeight="1">
      <c r="C9" s="267" t="str">
        <v>Portal 接口</v>
      </c>
      <c r="D9" s="268" t="str">
        <v>​https://github.com/flap-sh/FlapVaultExample/blob/main/src/flap/IPortal.sol</v>
      </c>
      <c r="E9" s="268"/>
      <c r="F9" s="268"/>
      <c r="G9" s="268"/>
      <c r="H9" s="268"/>
      <c r="I9" s="268"/>
      <c r="J9" s="268"/>
      <c r="K9" s="268"/>
      <c r="L9" s="268"/>
      <c r="M9" s="268"/>
      <c r="N9" s="268"/>
      <c r="O9" s="268"/>
    </row>
    <row r="10" ht="20" customHeight="1">
      <c r="C10" s="267" t="str">
        <v>发射机制</v>
      </c>
      <c r="D10" s="268" t="str">
        <v>​10 亿总量；80% 联合曲线毕业；剩余 2 亿 TOKEN 与真实 Quote 储备进入 DEX。</v>
      </c>
      <c r="E10" s="268"/>
      <c r="F10" s="268"/>
      <c r="G10" s="268"/>
      <c r="H10" s="268"/>
      <c r="I10" s="268"/>
      <c r="J10" s="268"/>
      <c r="K10" s="268"/>
      <c r="L10" s="268"/>
      <c r="M10" s="268"/>
      <c r="N10" s="268"/>
      <c r="O10" s="268"/>
    </row>
    <row r="11" ht="20" customHeight="1">
      <c r="C11" s="267" t="str">
        <v>税率口径</v>
      </c>
      <c r="D11" s="268" t="str">
        <v>​Tax V3 买税/卖税逐币设置。内盘税作为额外 Quote 费；DEX 买税从 TOKEN 输出扣除。</v>
      </c>
      <c r="E11" s="268"/>
      <c r="F11" s="268"/>
      <c r="G11" s="268"/>
      <c r="H11" s="268"/>
      <c r="I11" s="268"/>
      <c r="J11" s="268"/>
      <c r="K11" s="268"/>
      <c r="L11" s="268"/>
      <c r="M11" s="268"/>
      <c r="N11" s="268"/>
      <c r="O11" s="268"/>
    </row>
    <row r="12" ht="20" customHeight="1">
      <c r="C12" s="245"/>
      <c r="D12" s="245"/>
      <c r="E12" s="245"/>
      <c r="F12" s="245"/>
      <c r="G12" s="245"/>
      <c r="H12" s="245"/>
      <c r="I12" s="245"/>
      <c r="J12" s="245"/>
      <c r="K12" s="245"/>
      <c r="L12" s="245"/>
      <c r="M12" s="245"/>
      <c r="N12" s="245"/>
      <c r="O12" s="245"/>
    </row>
    <row r="13" ht="36" customHeight="1">
      <c r="C13" s="19" t="str">
        <v>序号</v>
      </c>
      <c r="D13" s="20" t="str">
        <v>类别</v>
      </c>
      <c r="E13" s="20" t="str">
        <v>Symbol</v>
      </c>
      <c r="F13" s="20" t="str">
        <v>名称</v>
      </c>
      <c r="G13" s="20" t="str">
        <v>Quote 合约</v>
      </c>
      <c r="H13" s="20" t="str">
        <v>Decimals</v>
      </c>
      <c r="I13" s="20" t="str">
        <v>r</v>
      </c>
      <c r="J13" s="20" t="str">
        <v>h</v>
      </c>
      <c r="K13" s="20" t="str">
        <v>k</v>
      </c>
      <c r="L13" s="20" t="str">
        <v>毕业真实 Quote</v>
      </c>
      <c r="M13" s="20" t="str">
        <v>DEX 初始 TOKEN</v>
      </c>
      <c r="N13" s="20" t="str">
        <v>Outer K</v>
      </c>
      <c r="O13" s="21" t="str">
        <v>数据日期</v>
      </c>
      <c r="P13" s="7" t="str">
        <v>Quote / USDT 价格</v>
      </c>
      <c r="Q13" s="7" t="str">
        <v>价格时间 / UTC</v>
      </c>
      <c r="R13" s="7" t="str">
        <v>价格来源</v>
      </c>
      <c r="S13" s="7" t="str">
        <v>说明</v>
      </c>
    </row>
    <row r="14" ht="36" customHeight="1">
      <c r="C14" s="24" t="n">
        <v>1</v>
      </c>
      <c r="D14" s="24" t="str">
        <v>股票 / ETF RWA</v>
      </c>
      <c r="E14" s="30" t="str">
        <v>SPCXB</v>
      </c>
      <c r="F14" s="30" t="str">
        <v>SpaceX</v>
      </c>
      <c r="G14" s="31" t="str">
        <v>​0xbe9D156892E55e7154BcD3cB0FEA677F9D3103E1</v>
      </c>
      <c r="H14" s="31" t="n">
        <v>18</v>
      </c>
      <c r="I14" s="31" t="n">
        <v>34.26749453</v>
      </c>
      <c r="J14" s="31" t="n">
        <v>107036751</v>
      </c>
      <c r="K14" s="31" t="n">
        <v>37935375809.401474</v>
      </c>
      <c r="L14" s="31" t="n">
        <v>89.28571428245735</v>
      </c>
      <c r="M14" s="31" t="n">
        <v>200000000</v>
      </c>
      <c r="N14" s="31" t="n">
        <v>17857142856.491467</v>
      </c>
      <c r="O14" s="30" t="str">
        <v>2026-09-10</v>
      </c>
      <c r="P14" s="472">
        <v>155.04118</v>
      </c>
      <c r="Q14" s="473">
        <v>46283.225819375</v>
      </c>
      <c r="R14" s="474" t="inlineStr">
        <is>
          <t>https://dexscreener.com/bsc/0x977daffc095b33872e2741c19568925015c35b4d</t>
        </is>
      </c>
      <c r="S14" s="474" t="inlineStr">
        <is>
          <t>每日 Quote 代币池价；本地可手动更新</t>
        </is>
      </c>
    </row>
    <row r="15" ht="36" customHeight="1">
      <c r="C15" s="25" t="n">
        <v>2</v>
      </c>
      <c r="D15" s="25" t="str">
        <v>股票 / ETF RWA</v>
      </c>
      <c r="E15" s="32" t="str">
        <v>SKHYB</v>
      </c>
      <c r="F15" s="32" t="str">
        <v>SK Hynix</v>
      </c>
      <c r="G15" s="33" t="str">
        <v>​0xCA750eF65f295BBECd685Abf54e82CAf297BDB61</v>
      </c>
      <c r="H15" s="33" t="n">
        <v>18</v>
      </c>
      <c r="I15" s="33" t="n">
        <v>24.38502698</v>
      </c>
      <c r="J15" s="33" t="n">
        <v>107036751</v>
      </c>
      <c r="K15" s="33" t="n">
        <v>26995121040.98654</v>
      </c>
      <c r="L15" s="33" t="n">
        <v>63.536438294320014</v>
      </c>
      <c r="M15" s="33" t="n">
        <v>200000000</v>
      </c>
      <c r="N15" s="33" t="n">
        <v>12707287658.864</v>
      </c>
      <c r="O15" s="32" t="str">
        <v>2026-09-10</v>
      </c>
      <c r="P15" s="472">
        <v>185.7996</v>
      </c>
      <c r="Q15" s="473">
        <v>46283.22582570602</v>
      </c>
      <c r="R15" s="474" t="inlineStr">
        <is>
          <t>https://dexscreener.com/bsc/0xd7d30f434b12f7ed9b0ae11ff1c754745a10ad52</t>
        </is>
      </c>
      <c r="S15" s="474" t="inlineStr">
        <is>
          <t>每日 Quote 代币池价；本地可手动更新</t>
        </is>
      </c>
    </row>
    <row r="16" ht="36" customHeight="1">
      <c r="C16" s="25" t="n">
        <v>3</v>
      </c>
      <c r="D16" s="25" t="str">
        <v>股票 / ETF RWA</v>
      </c>
      <c r="E16" s="32" t="str">
        <v>SPYB</v>
      </c>
      <c r="F16" s="32" t="str">
        <v>SPY</v>
      </c>
      <c r="G16" s="33" t="str">
        <v>​0x7138b48df7D98D7e3cc221BfE7192D0a178182D8</v>
      </c>
      <c r="H16" s="33" t="n">
        <v>18</v>
      </c>
      <c r="I16" s="33" t="n">
        <v>5.13783051</v>
      </c>
      <c r="J16" s="33" t="n">
        <v>107036751</v>
      </c>
      <c r="K16" s="33" t="n">
        <v>5687767194.979073</v>
      </c>
      <c r="L16" s="33" t="n">
        <v>13.386880868863805</v>
      </c>
      <c r="M16" s="33" t="n">
        <v>200000000</v>
      </c>
      <c r="N16" s="33" t="n">
        <v>2677376173.772761</v>
      </c>
      <c r="O16" s="32" t="str">
        <v>2026-09-10</v>
      </c>
      <c r="P16" s="472">
        <v>763.6584</v>
      </c>
      <c r="Q16" s="473">
        <v>46283.22583083333</v>
      </c>
      <c r="R16" s="474" t="inlineStr">
        <is>
          <t>https://dexscreener.com/bsc/0x7aa6d92fc369a8c1edc631a3aac44efb0808ddbf</t>
        </is>
      </c>
      <c r="S16" s="474" t="inlineStr">
        <is>
          <t>每日 Quote 代币池价；本地可手动更新</t>
        </is>
      </c>
    </row>
    <row r="17" ht="36" customHeight="1">
      <c r="C17" s="25" t="n">
        <v>4</v>
      </c>
      <c r="D17" s="25" t="str">
        <v>黄金 RWA</v>
      </c>
      <c r="E17" s="32" t="str">
        <v>XAUT</v>
      </c>
      <c r="F17" s="32" t="str">
        <v>Tether Gold</v>
      </c>
      <c r="G17" s="33" t="str">
        <v>​0x21cAef8A43163Eea865baeE23b9C2E327696A3bf</v>
      </c>
      <c r="H17" s="33" t="n">
        <v>6</v>
      </c>
      <c r="I17" s="33" t="n">
        <v>0.94232929</v>
      </c>
      <c r="J17" s="33" t="n">
        <v>107036751</v>
      </c>
      <c r="K17" s="33" t="n">
        <v>1043193155.5737368</v>
      </c>
      <c r="L17" s="33" t="n">
        <v>2.4552872890450823</v>
      </c>
      <c r="M17" s="33" t="n">
        <v>200000000</v>
      </c>
      <c r="N17" s="33" t="n">
        <v>491057457.8090164</v>
      </c>
      <c r="O17" s="32" t="str">
        <v>2026-09-10</v>
      </c>
      <c r="P17" s="472">
        <v>4365.8708</v>
      </c>
      <c r="Q17" s="473">
        <v>46283.225837060185</v>
      </c>
      <c r="R17" s="474" t="inlineStr">
        <is>
          <t>https://dexscreener.com/bsc/0x83a0a8a723262651ae9c54bbba929f167443bc59</t>
        </is>
      </c>
      <c r="S17" s="474" t="inlineStr">
        <is>
          <t>每日 Quote 代币池价；本地可手动更新</t>
        </is>
      </c>
    </row>
    <row r="18" ht="36" customHeight="1">
      <c r="C18" s="25" t="n">
        <v>5</v>
      </c>
      <c r="D18" s="25" t="str">
        <v>股票 / ETF RWA</v>
      </c>
      <c r="E18" s="32" t="str">
        <v>QQQB</v>
      </c>
      <c r="F18" s="32" t="str">
        <v>Invesco QQQ Trust</v>
      </c>
      <c r="G18" s="33" t="str">
        <v>​0x205812CdBed920aFf76C6580abD681a46D11efc7</v>
      </c>
      <c r="H18" s="33" t="n">
        <v>18</v>
      </c>
      <c r="I18" s="33" t="n">
        <v>5.68592593</v>
      </c>
      <c r="J18" s="33" t="n">
        <v>107036751</v>
      </c>
      <c r="K18" s="33" t="n">
        <v>6294528967.973853</v>
      </c>
      <c r="L18" s="33" t="n">
        <v>14.814971592765453</v>
      </c>
      <c r="M18" s="33" t="n">
        <v>200000000</v>
      </c>
      <c r="N18" s="33" t="n">
        <v>2962994318.55309</v>
      </c>
      <c r="O18" s="32" t="str">
        <v>2026-09-10</v>
      </c>
      <c r="P18" s="472">
        <v>719.01659</v>
      </c>
      <c r="Q18" s="473">
        <v>46283.225842465275</v>
      </c>
      <c r="R18" s="474" t="inlineStr">
        <is>
          <t>https://dexscreener.com/bsc/0xe531fcb1f5a195de7608b9f4f9518544c2cdb693</t>
        </is>
      </c>
      <c r="S18" s="474" t="inlineStr">
        <is>
          <t>每日 Quote 代币池价；本地可手动更新</t>
        </is>
      </c>
    </row>
    <row r="19" ht="36" customHeight="1">
      <c r="C19" s="25" t="n">
        <v>6</v>
      </c>
      <c r="D19" s="25" t="str">
        <v>股票 / ETF RWA</v>
      </c>
      <c r="E19" s="32" t="str">
        <v>NVDAB</v>
      </c>
      <c r="F19" s="32" t="str">
        <v>NVIDIA Corp</v>
      </c>
      <c r="G19" s="33" t="str">
        <v>​0x02Fca66C1D1aFB4E2A7884261eB00F63598a7436</v>
      </c>
      <c r="H19" s="33" t="n">
        <v>18</v>
      </c>
      <c r="I19" s="33" t="n">
        <v>17.36633207</v>
      </c>
      <c r="J19" s="33" t="n">
        <v>107036751</v>
      </c>
      <c r="K19" s="33" t="n">
        <v>19225167831.559906</v>
      </c>
      <c r="L19" s="33" t="n">
        <v>45.24886877792685</v>
      </c>
      <c r="M19" s="33" t="n">
        <v>200000000</v>
      </c>
      <c r="N19" s="33" t="n">
        <v>9049773755.58537</v>
      </c>
      <c r="O19" s="32" t="str">
        <v>2026-09-10</v>
      </c>
      <c r="P19" s="472">
        <v>220.3786</v>
      </c>
      <c r="Q19" s="473">
        <v>46283.22584795139</v>
      </c>
      <c r="R19" s="474" t="inlineStr">
        <is>
          <t>https://dexscreener.com/bsc/0x8fb4243b553ac29ba088acf00b9b7da24bd6690c</t>
        </is>
      </c>
      <c r="S19" s="474" t="inlineStr">
        <is>
          <t>每日 Quote 代币池价；本地可手动更新</t>
        </is>
      </c>
    </row>
    <row r="20" ht="36" customHeight="1">
      <c r="C20" s="25" t="n">
        <v>7</v>
      </c>
      <c r="D20" s="25" t="str">
        <v>股票 / ETF RWA</v>
      </c>
      <c r="E20" s="32" t="str">
        <v>AAPLB</v>
      </c>
      <c r="F20" s="32" t="str">
        <v>Apple</v>
      </c>
      <c r="G20" s="33" t="str">
        <v>​0x431a3BEE82E2ca41e49895CbECE5bB0F76A89b7A</v>
      </c>
      <c r="H20" s="33" t="n">
        <v>18</v>
      </c>
      <c r="I20" s="33" t="n">
        <v>11.63030303</v>
      </c>
      <c r="J20" s="33" t="n">
        <v>107036751</v>
      </c>
      <c r="K20" s="33" t="n">
        <v>12875172879.476656</v>
      </c>
      <c r="L20" s="33" t="n">
        <v>30.303350962699575</v>
      </c>
      <c r="M20" s="33" t="n">
        <v>200000000</v>
      </c>
      <c r="N20" s="33" t="n">
        <v>6060670192.539914</v>
      </c>
      <c r="O20" s="32" t="str">
        <v>2026-09-10</v>
      </c>
      <c r="P20" s="472">
        <v>336.9242</v>
      </c>
      <c r="Q20" s="473">
        <v>46283.22585391204</v>
      </c>
      <c r="R20" s="474" t="inlineStr">
        <is>
          <t>https://dexscreener.com/bsc/0xe9b9998b2ec5430d2246c7f1f8d9f298c97d7365</t>
        </is>
      </c>
      <c r="S20" s="474" t="inlineStr">
        <is>
          <t>每日 Quote 代币池价；本地可手动更新</t>
        </is>
      </c>
    </row>
    <row r="21" ht="36" customHeight="1">
      <c r="C21" s="25" t="n">
        <v>8</v>
      </c>
      <c r="D21" s="25" t="str">
        <v>股票 / ETF RWA</v>
      </c>
      <c r="E21" s="32" t="str">
        <v>TSLAB</v>
      </c>
      <c r="F21" s="32" t="str">
        <v>Tesla</v>
      </c>
      <c r="G21" s="33" t="str">
        <v>​0x5b1910eAaD6450E50f816082Aa078C41F10C292f</v>
      </c>
      <c r="H21" s="33" t="n">
        <v>18</v>
      </c>
      <c r="I21" s="33" t="n">
        <v>12.79</v>
      </c>
      <c r="J21" s="33" t="n">
        <v>107036751</v>
      </c>
      <c r="K21" s="33" t="n">
        <v>14159000045.29</v>
      </c>
      <c r="L21" s="33" t="n">
        <v>33.32500088890011</v>
      </c>
      <c r="M21" s="33" t="n">
        <v>200000000</v>
      </c>
      <c r="N21" s="33" t="n">
        <v>6665000177.780021</v>
      </c>
      <c r="O21" s="32" t="str">
        <v>2026-09-10</v>
      </c>
      <c r="P21" s="472">
        <v>367.2234</v>
      </c>
      <c r="Q21" s="473">
        <v>46283.22585956018</v>
      </c>
      <c r="R21" s="474" t="inlineStr">
        <is>
          <t>https://dexscreener.com/bsc/0xb0f5e5400e8f0f7c242f2b7740c004f020579c41</t>
        </is>
      </c>
      <c r="S21" s="474" t="inlineStr">
        <is>
          <t>每日 Quote 代币池价；本地可手动更新</t>
        </is>
      </c>
    </row>
    <row r="22" ht="36" customHeight="1">
      <c r="C22" s="25" t="n">
        <v>9</v>
      </c>
      <c r="D22" s="25" t="str">
        <v>股票 / ETF RWA</v>
      </c>
      <c r="E22" s="32" t="str">
        <v>MSFTB</v>
      </c>
      <c r="F22" s="32" t="str">
        <v>Microsoft</v>
      </c>
      <c r="G22" s="33" t="str">
        <v>​0x80106cb3EAD06659A5ad19DF39D9b4733863B9b0</v>
      </c>
      <c r="H22" s="33" t="n">
        <v>18</v>
      </c>
      <c r="I22" s="33" t="n">
        <v>8.52666667</v>
      </c>
      <c r="J22" s="33" t="n">
        <v>107036751</v>
      </c>
      <c r="K22" s="33" t="n">
        <v>9439333367.21679</v>
      </c>
      <c r="L22" s="33" t="n">
        <v>22.216667267951905</v>
      </c>
      <c r="M22" s="33" t="n">
        <v>200000000</v>
      </c>
      <c r="N22" s="33" t="n">
        <v>4443333453.590381</v>
      </c>
      <c r="O22" s="32" t="str">
        <v>2026-09-10</v>
      </c>
      <c r="P22" s="472">
        <v>497.3293</v>
      </c>
      <c r="Q22" s="473">
        <v>46283.225865567125</v>
      </c>
      <c r="R22" s="474" t="inlineStr">
        <is>
          <t>https://dexscreener.com/bsc/0x5018b018ceb7645c927c5cf246786f89ebcbe7ea</t>
        </is>
      </c>
      <c r="S22" s="474" t="inlineStr">
        <is>
          <t>每日 Quote 代币池价；本地可手动更新</t>
        </is>
      </c>
    </row>
    <row r="23" ht="36" customHeight="1">
      <c r="C23" s="25" t="n">
        <v>10</v>
      </c>
      <c r="D23" s="25" t="str">
        <v>股票 / ETF RWA</v>
      </c>
      <c r="E23" s="32" t="str">
        <v>GOOGLB</v>
      </c>
      <c r="F23" s="32" t="str">
        <v>Alphabet</v>
      </c>
      <c r="G23" s="33" t="str">
        <v>​0x3F53De71c126BdaBAe20f9cD64848d317f6C3238</v>
      </c>
      <c r="H23" s="33" t="n">
        <v>18</v>
      </c>
      <c r="I23" s="33" t="n">
        <v>11.63030303</v>
      </c>
      <c r="J23" s="33" t="n">
        <v>107036751</v>
      </c>
      <c r="K23" s="33" t="n">
        <v>12875172879.476656</v>
      </c>
      <c r="L23" s="33" t="n">
        <v>30.303350962699575</v>
      </c>
      <c r="M23" s="33" t="n">
        <v>200000000</v>
      </c>
      <c r="N23" s="33" t="n">
        <v>6060670192.539914</v>
      </c>
      <c r="O23" s="32" t="str">
        <v>2026-09-10</v>
      </c>
      <c r="P23" s="472">
        <v>353.1767</v>
      </c>
      <c r="Q23" s="473">
        <v>46283.22587113426</v>
      </c>
      <c r="R23" s="474" t="inlineStr">
        <is>
          <t>https://dexscreener.com/bsc/0x89001d846f7ca36ee089f73eefc25657e1798144</t>
        </is>
      </c>
      <c r="S23" s="474" t="inlineStr">
        <is>
          <t>每日 Quote 代币池价；本地可手动更新</t>
        </is>
      </c>
    </row>
    <row r="24" ht="36" customHeight="1">
      <c r="C24" s="25" t="n">
        <v>11</v>
      </c>
      <c r="D24" s="25" t="str">
        <v>股票 / ETF RWA</v>
      </c>
      <c r="E24" s="32" t="str">
        <v>HOODB</v>
      </c>
      <c r="F24" s="32" t="str">
        <v>Robinhood</v>
      </c>
      <c r="G24" s="33" t="str">
        <v>​0xA394dCEa3fd3847fD793afBFd163E2e3858B7c65</v>
      </c>
      <c r="H24" s="33" t="n">
        <v>18</v>
      </c>
      <c r="I24" s="33" t="n">
        <v>34.26749453</v>
      </c>
      <c r="J24" s="33" t="n">
        <v>107036751</v>
      </c>
      <c r="K24" s="33" t="n">
        <v>37935375809.401474</v>
      </c>
      <c r="L24" s="33" t="n">
        <v>89.28571428245735</v>
      </c>
      <c r="M24" s="33" t="n">
        <v>200000000</v>
      </c>
      <c r="N24" s="33" t="n">
        <v>17857142856.491467</v>
      </c>
      <c r="O24" s="32" t="str">
        <v>2026-09-10</v>
      </c>
      <c r="P24" s="472">
        <v>112.2211</v>
      </c>
      <c r="Q24" s="473">
        <v>46283.22587689815</v>
      </c>
      <c r="R24" s="474" t="inlineStr">
        <is>
          <t>https://dexscreener.com/bsc/0xfeef70ff6f58f0a900e28a77e5a8945afb343923</t>
        </is>
      </c>
      <c r="S24" s="474" t="inlineStr">
        <is>
          <t>每日 Quote 代币池价；本地可手动更新</t>
        </is>
      </c>
    </row>
    <row r="25" ht="36" customHeight="1">
      <c r="C25" s="25" t="n">
        <v>12</v>
      </c>
      <c r="D25" s="25" t="str">
        <v>股票 / ETF RWA</v>
      </c>
      <c r="E25" s="32" t="str">
        <v>BABAB</v>
      </c>
      <c r="F25" s="32" t="str">
        <v>Alibaba</v>
      </c>
      <c r="G25" s="33" t="str">
        <v>​0x4eF9d3062c7F6ebA4AAE4990c5036598C6eff4ec</v>
      </c>
      <c r="H25" s="33" t="n">
        <v>18</v>
      </c>
      <c r="I25" s="33" t="n">
        <v>30.696</v>
      </c>
      <c r="J25" s="33" t="n">
        <v>107036751</v>
      </c>
      <c r="K25" s="33" t="n">
        <v>33981600108.696</v>
      </c>
      <c r="L25" s="33" t="n">
        <v>79.98000213336024</v>
      </c>
      <c r="M25" s="33" t="n">
        <v>200000000</v>
      </c>
      <c r="N25" s="33" t="n">
        <v>15996000426.672047</v>
      </c>
      <c r="O25" s="32" t="str">
        <v>2026-09-10</v>
      </c>
      <c r="P25" s="472">
        <v>111.717</v>
      </c>
      <c r="Q25" s="473">
        <v>46283.225883148145</v>
      </c>
      <c r="R25" s="474" t="inlineStr">
        <is>
          <t>https://dexscreener.com/bsc/0xfd95cb1391999006eb91797a7c62acfe88b20292</t>
        </is>
      </c>
      <c r="S25" s="474" t="inlineStr">
        <is>
          <t>每日 Quote 代币池价；本地可手动更新</t>
        </is>
      </c>
    </row>
    <row r="26" ht="36" customHeight="1">
      <c r="C26" s="25" t="n">
        <v>13</v>
      </c>
      <c r="D26" s="25" t="str">
        <v>股票 / ETF RWA</v>
      </c>
      <c r="E26" s="32" t="str">
        <v>GMEB</v>
      </c>
      <c r="F26" s="32" t="str">
        <v>GameStop</v>
      </c>
      <c r="G26" s="33" t="str">
        <v>​0x46cEeFDa28Dd7207059ed19B0acdc026955bb15C</v>
      </c>
      <c r="H26" s="33" t="n">
        <v>18</v>
      </c>
      <c r="I26" s="33" t="n">
        <v>177.68330498</v>
      </c>
      <c r="J26" s="33" t="n">
        <v>107036751</v>
      </c>
      <c r="K26" s="33" t="n">
        <v>196701948652.0013</v>
      </c>
      <c r="L26" s="33" t="n">
        <v>462.96296297116555</v>
      </c>
      <c r="M26" s="33" t="n">
        <v>200000000</v>
      </c>
      <c r="N26" s="33" t="n">
        <v>92592592594.2331</v>
      </c>
      <c r="O26" s="32" t="str">
        <v>2026-09-10</v>
      </c>
      <c r="P26" s="472">
        <v>22.8523</v>
      </c>
      <c r="Q26" s="473">
        <v>46283.22588871528</v>
      </c>
      <c r="R26" s="474" t="inlineStr">
        <is>
          <t>https://dexscreener.com/bsc/0x908d49048eb3a7bedfd238972403842805eaf2be</t>
        </is>
      </c>
      <c r="S26" s="474" t="inlineStr">
        <is>
          <t>每日 Quote 代币池价；本地可手动更新</t>
        </is>
      </c>
    </row>
    <row r="27" ht="36" customHeight="1">
      <c r="C27" s="25" t="n">
        <v>14</v>
      </c>
      <c r="D27" s="25" t="str">
        <v>股票 / ETF RWA</v>
      </c>
      <c r="E27" s="32" t="str">
        <v>NFLXB</v>
      </c>
      <c r="F27" s="32" t="str">
        <v>Netflix</v>
      </c>
      <c r="G27" s="33" t="str">
        <v>​0xD6829Ea836b6FA224d099D40E54B31262f874631</v>
      </c>
      <c r="H27" s="33" t="n">
        <v>18</v>
      </c>
      <c r="I27" s="33" t="n">
        <v>51.16</v>
      </c>
      <c r="J27" s="33" t="n">
        <v>107036751</v>
      </c>
      <c r="K27" s="33" t="n">
        <v>56636000181.16</v>
      </c>
      <c r="L27" s="33" t="n">
        <v>133.30000355560043</v>
      </c>
      <c r="M27" s="33" t="n">
        <v>200000000</v>
      </c>
      <c r="N27" s="33" t="n">
        <v>26660000711.120083</v>
      </c>
      <c r="O27" s="32" t="str">
        <v>2026-09-10</v>
      </c>
      <c r="P27" s="472">
        <v>75.6531</v>
      </c>
      <c r="Q27" s="473">
        <v>46283.22589429398</v>
      </c>
      <c r="R27" s="474" t="inlineStr">
        <is>
          <t>https://dexscreener.com/bsc/0xafab4441d8b354bba790229c0e235e7e6187b3d0</t>
        </is>
      </c>
      <c r="S27" s="474" t="inlineStr">
        <is>
          <t>每日 Quote 代币池价；本地可手动更新</t>
        </is>
      </c>
    </row>
    <row r="28" ht="36" customHeight="1">
      <c r="C28" s="25" t="n">
        <v>15</v>
      </c>
      <c r="D28" s="25" t="str">
        <v>股票 / ETF RWA</v>
      </c>
      <c r="E28" s="32" t="str">
        <v>MSTRB</v>
      </c>
      <c r="F28" s="32" t="str">
        <v>Strategy</v>
      </c>
      <c r="G28" s="33" t="str">
        <v>​0xE87afb3076AeB0f9B14E368DE8145ae6a2826A14</v>
      </c>
      <c r="H28" s="33" t="n">
        <v>18</v>
      </c>
      <c r="I28" s="33" t="n">
        <v>34.26749453</v>
      </c>
      <c r="J28" s="33" t="n">
        <v>107036751</v>
      </c>
      <c r="K28" s="33" t="n">
        <v>37935375809.401474</v>
      </c>
      <c r="L28" s="33" t="n">
        <v>89.28571428245735</v>
      </c>
      <c r="M28" s="33" t="n">
        <v>200000000</v>
      </c>
      <c r="N28" s="33" t="n">
        <v>17857142856.491467</v>
      </c>
      <c r="O28" s="32" t="str">
        <v>2026-09-10</v>
      </c>
      <c r="P28" s="472">
        <v>135.5947</v>
      </c>
      <c r="Q28" s="473">
        <v>46283.225900405094</v>
      </c>
      <c r="R28" s="474" t="inlineStr">
        <is>
          <t>https://dexscreener.com/bsc/0x692081209619735f25700557078ab084d3e5d007</t>
        </is>
      </c>
      <c r="S28" s="474" t="inlineStr">
        <is>
          <t>每日 Quote 代币池价；本地可手动更新</t>
        </is>
      </c>
    </row>
    <row r="29" ht="36" customHeight="1">
      <c r="C29" s="25" t="n">
        <v>16</v>
      </c>
      <c r="D29" s="25" t="str">
        <v>股票 / ETF RWA</v>
      </c>
      <c r="E29" s="32" t="str">
        <v>DJTB</v>
      </c>
      <c r="F29" s="32" t="str">
        <v>Trump Media &amp; Technology Group Corp</v>
      </c>
      <c r="G29" s="33" t="str">
        <v>​0xF2ec508422174Ee564de98187db9359D318AFB6b</v>
      </c>
      <c r="H29" s="33" t="n">
        <v>18</v>
      </c>
      <c r="I29" s="33" t="n">
        <v>383.7</v>
      </c>
      <c r="J29" s="33" t="n">
        <v>107036751</v>
      </c>
      <c r="K29" s="33" t="n">
        <v>424770001358.7</v>
      </c>
      <c r="L29" s="33" t="n">
        <v>999.7500266670031</v>
      </c>
      <c r="M29" s="33" t="n">
        <v>200000000</v>
      </c>
      <c r="N29" s="33" t="n">
        <v>199950005333.4006</v>
      </c>
      <c r="O29" s="32" t="str">
        <v>2026-09-10</v>
      </c>
      <c r="P29" s="472">
        <v>8.7421</v>
      </c>
      <c r="Q29" s="473">
        <v>46283.225906203705</v>
      </c>
      <c r="R29" s="474" t="inlineStr">
        <is>
          <t>https://dexscreener.com/bsc/0x9aadbd51515432dbb77c0a7f69c2b2c211f0c837</t>
        </is>
      </c>
      <c r="S29" s="474" t="inlineStr">
        <is>
          <t>每日 Quote 代币池价；本地可手动更新</t>
        </is>
      </c>
    </row>
    <row r="30" ht="36" customHeight="1">
      <c r="C30" s="25" t="n">
        <v>17</v>
      </c>
      <c r="D30" s="25" t="str">
        <v>股票 / ETF RWA</v>
      </c>
      <c r="E30" s="32" t="str">
        <v>SOXSB</v>
      </c>
      <c r="F30" s="32" t="str">
        <v>Direxion Semiconductor Bear 3X ETF</v>
      </c>
      <c r="G30" s="33" t="str">
        <v>​0xE28Cd11C99AF2df76bb8aDA4Cd0ef3904378280F</v>
      </c>
      <c r="H30" s="33" t="n">
        <v>18</v>
      </c>
      <c r="I30" s="33" t="n">
        <v>76.74</v>
      </c>
      <c r="J30" s="33" t="n">
        <v>107036751</v>
      </c>
      <c r="K30" s="33" t="n">
        <v>84954000271.74</v>
      </c>
      <c r="L30" s="33" t="n">
        <v>199.9500053334006</v>
      </c>
      <c r="M30" s="33" t="n">
        <v>200000000</v>
      </c>
      <c r="N30" s="33" t="n">
        <v>39990001066.680115</v>
      </c>
      <c r="O30" s="32" t="str">
        <v>2026-09-10</v>
      </c>
      <c r="P30" s="472">
        <v>44.5233</v>
      </c>
      <c r="Q30" s="473">
        <v>46283.22591173611</v>
      </c>
      <c r="R30" s="474" t="inlineStr">
        <is>
          <t>https://dexscreener.com/bsc/0xd5c0572126a707196aaba2b6952d67fc2a140651</t>
        </is>
      </c>
      <c r="S30" s="474" t="inlineStr">
        <is>
          <t>每日 Quote 代币池价；本地可手动更新</t>
        </is>
      </c>
    </row>
    <row r="31" ht="36" customHeight="1">
      <c r="C31" s="25" t="n">
        <v>18</v>
      </c>
      <c r="D31" s="25" t="str">
        <v>股票 / ETF RWA</v>
      </c>
      <c r="E31" s="32" t="str">
        <v>SOXLB</v>
      </c>
      <c r="F31" s="32" t="str">
        <v>Semicon Bull 3X ETF</v>
      </c>
      <c r="G31" s="33" t="str">
        <v>​0xd97d097a89113fa59b76c572E5b2Eb647E8eefaf</v>
      </c>
      <c r="H31" s="33" t="n">
        <v>18</v>
      </c>
      <c r="I31" s="33" t="n">
        <v>34.88181818</v>
      </c>
      <c r="J31" s="33" t="n">
        <v>107036751</v>
      </c>
      <c r="K31" s="33" t="n">
        <v>38615454668.972725</v>
      </c>
      <c r="L31" s="33" t="n">
        <v>90.88636606245481</v>
      </c>
      <c r="M31" s="33" t="n">
        <v>200000000</v>
      </c>
      <c r="N31" s="33" t="n">
        <v>18177273212.49096</v>
      </c>
      <c r="O31" s="32" t="str">
        <v>2026-09-10</v>
      </c>
      <c r="P31" s="472">
        <v>115.8148</v>
      </c>
      <c r="Q31" s="473">
        <v>46283.225918171294</v>
      </c>
      <c r="R31" s="474" t="inlineStr">
        <is>
          <t>https://dexscreener.com/bsc/0x3d7d950377eca7b4af7233716ff17def00ab2045</t>
        </is>
      </c>
      <c r="S31" s="474" t="inlineStr">
        <is>
          <t>每日 Quote 代币池价；本地可手动更新</t>
        </is>
      </c>
    </row>
    <row r="32" ht="36" customHeight="1">
      <c r="C32" s="25" t="n">
        <v>19</v>
      </c>
      <c r="D32" s="25" t="str">
        <v>股票 / ETF RWA</v>
      </c>
      <c r="E32" s="32" t="str">
        <v>MRNAB</v>
      </c>
      <c r="F32" s="32" t="str">
        <v>Moderna</v>
      </c>
      <c r="G32" s="33" t="str">
        <v>​0x5fd86da9B05abE396fe9d02a4A213A7c00556503</v>
      </c>
      <c r="H32" s="33" t="n">
        <v>18</v>
      </c>
      <c r="I32" s="33" t="n">
        <v>24.38502698</v>
      </c>
      <c r="J32" s="33" t="n">
        <v>107036751</v>
      </c>
      <c r="K32" s="33" t="n">
        <v>26995121040.98654</v>
      </c>
      <c r="L32" s="33" t="n">
        <v>63.536438294320014</v>
      </c>
      <c r="M32" s="33" t="n">
        <v>200000000</v>
      </c>
      <c r="N32" s="33" t="n">
        <v>12707287658.864</v>
      </c>
      <c r="O32" s="32" t="str">
        <v>2026-09-10</v>
      </c>
      <c r="P32" s="472">
        <v>160.38</v>
      </c>
      <c r="Q32" s="473">
        <v>46283.22592355324</v>
      </c>
      <c r="R32" s="474" t="inlineStr">
        <is>
          <t>https://dexscreener.com/bsc/0xcc992887e9cee37a698541e2f6d1675453fbcfcc</t>
        </is>
      </c>
      <c r="S32" s="474" t="inlineStr">
        <is>
          <t>每日 Quote 代币池价；本地可手动更新</t>
        </is>
      </c>
    </row>
    <row r="33" ht="36" customHeight="1">
      <c r="C33" s="25" t="n">
        <v>20</v>
      </c>
      <c r="D33" s="25" t="str">
        <v>股票 / ETF RWA</v>
      </c>
      <c r="E33" s="32" t="str">
        <v>FLNCB</v>
      </c>
      <c r="F33" s="32" t="str">
        <v>Fluence Energy</v>
      </c>
      <c r="G33" s="33" t="str">
        <v>​0x4af1D41cd9dD950dcA43984b43aaA2A8702714Ac</v>
      </c>
      <c r="H33" s="33" t="n">
        <v>18</v>
      </c>
      <c r="I33" s="33" t="n">
        <v>383.7</v>
      </c>
      <c r="J33" s="33" t="n">
        <v>107036751</v>
      </c>
      <c r="K33" s="33" t="n">
        <v>424770001358.7</v>
      </c>
      <c r="L33" s="33" t="n">
        <v>999.7500266670031</v>
      </c>
      <c r="M33" s="33" t="n">
        <v>200000000</v>
      </c>
      <c r="N33" s="33" t="n">
        <v>199950005333.4006</v>
      </c>
      <c r="O33" s="32" t="str">
        <v>2026-09-10</v>
      </c>
      <c r="P33" s="472">
        <v>7.8072</v>
      </c>
      <c r="Q33" s="473">
        <v>46283.22592967592</v>
      </c>
      <c r="R33" s="474" t="inlineStr">
        <is>
          <t>https://dexscreener.com/bsc/0x1f7083a138f980b60eb1582f01ca3b1d6c46ad10</t>
        </is>
      </c>
      <c r="S33" s="474" t="inlineStr">
        <is>
          <t>每日 Quote 代币池价；本地可手动更新</t>
        </is>
      </c>
    </row>
    <row r="34" ht="36" customHeight="1">
      <c r="C34" s="25" t="n">
        <v>21</v>
      </c>
      <c r="D34" s="25" t="str">
        <v>股票 / ETF RWA</v>
      </c>
      <c r="E34" s="32" t="str">
        <v>FXIon</v>
      </c>
      <c r="F34" s="32" t="str">
        <v>iShares China Large-Cap ETF</v>
      </c>
      <c r="G34" s="33" t="str">
        <v>​0x9b8E987e6fEc8Cf1380C4dcA7071e2C7853AEEA1</v>
      </c>
      <c r="H34" s="33" t="n">
        <v>18</v>
      </c>
      <c r="I34" s="33" t="n">
        <v>109.62857143</v>
      </c>
      <c r="J34" s="33" t="n">
        <v>107036751</v>
      </c>
      <c r="K34" s="33" t="n">
        <v>121362857531.05714</v>
      </c>
      <c r="L34" s="33" t="n">
        <v>285.64286476057237</v>
      </c>
      <c r="M34" s="33" t="n">
        <v>200000000</v>
      </c>
      <c r="N34" s="33" t="n">
        <v>57128572952.11446</v>
      </c>
      <c r="O34" s="32" t="str">
        <v>2026-09-10</v>
      </c>
      <c r="P34" s="472">
        <v>34.5733</v>
      </c>
      <c r="Q34" s="473">
        <v>46283.22593542824</v>
      </c>
      <c r="R34" s="474" t="inlineStr">
        <is>
          <t>https://dexscreener.com/bsc/0x8768c8969e177575e37435b8295afa2dfb231c86</t>
        </is>
      </c>
      <c r="S34" s="474" t="inlineStr">
        <is>
          <t>每日 Quote 代币池价；本地可手动更新</t>
        </is>
      </c>
    </row>
    <row r="35" ht="36" customHeight="1">
      <c r="C35" s="25" t="n">
        <v>22</v>
      </c>
      <c r="D35" s="25" t="str">
        <v>股票 / ETF RWA</v>
      </c>
      <c r="E35" s="32" t="str">
        <v>BMNRB</v>
      </c>
      <c r="F35" s="32" t="str">
        <v>BitMine Immersion Technologies</v>
      </c>
      <c r="G35" s="33" t="str">
        <v>​0x3548Da95a9eFFE481e8604664d75e95821e557F5</v>
      </c>
      <c r="H35" s="33" t="n">
        <v>18</v>
      </c>
      <c r="I35" s="33" t="n">
        <v>153.48</v>
      </c>
      <c r="J35" s="33" t="n">
        <v>107036751</v>
      </c>
      <c r="K35" s="33" t="n">
        <v>169908000543.48</v>
      </c>
      <c r="L35" s="33" t="n">
        <v>399.9000106668012</v>
      </c>
      <c r="M35" s="33" t="n">
        <v>200000000</v>
      </c>
      <c r="N35" s="33" t="n">
        <v>79980002133.36023</v>
      </c>
      <c r="O35" s="32" t="str">
        <v>2026-09-10</v>
      </c>
      <c r="P35" s="472">
        <v>24.4175</v>
      </c>
      <c r="Q35" s="473">
        <v>46283.22594123842</v>
      </c>
      <c r="R35" s="474" t="inlineStr">
        <is>
          <t>https://dexscreener.com/bsc/0x52a427db0b2d9154a5f4ad09d22f3792f754b6fc</t>
        </is>
      </c>
      <c r="S35" s="474" t="inlineStr">
        <is>
          <t>每日 Quote 代币池价；本地可手动更新</t>
        </is>
      </c>
    </row>
    <row r="36" ht="36" customHeight="1">
      <c r="C36" s="26" t="n">
        <v>23</v>
      </c>
      <c r="D36" s="26" t="str">
        <v>股票 / ETF RWA</v>
      </c>
      <c r="E36" s="34" t="str">
        <v>BILIon</v>
      </c>
      <c r="F36" s="34" t="str">
        <v>Bilibili</v>
      </c>
      <c r="G36" s="35" t="str">
        <v>​0x91fc7371d6dE682A1e8CFcB4EB7dA693312A03a4</v>
      </c>
      <c r="H36" s="35" t="n">
        <v>18</v>
      </c>
      <c r="I36" s="35" t="n">
        <v>239.8125</v>
      </c>
      <c r="J36" s="35" t="n">
        <v>107036751</v>
      </c>
      <c r="K36" s="35" t="n">
        <v>265481250849.1875</v>
      </c>
      <c r="L36" s="35" t="n">
        <v>624.843766666877</v>
      </c>
      <c r="M36" s="35" t="n">
        <v>200000000</v>
      </c>
      <c r="N36" s="35" t="n">
        <v>124968753333.37537</v>
      </c>
      <c r="O36" s="34" t="str">
        <v>2026-09-10</v>
      </c>
      <c r="P36" s="472" t="inlineStr">
        <is>
          <t/>
        </is>
      </c>
      <c r="Q36" s="473">
        <v>46283.22594729167</v>
      </c>
      <c r="R36" s="474" t="inlineStr">
        <is>
          <t/>
        </is>
      </c>
      <c r="S36" s="474" t="inlineStr">
        <is>
          <t>暂无合格池价；可手动输入</t>
        </is>
      </c>
    </row>
  </sheetData>
  <mergeCells>
    <mergeCell ref="D5:O5"/>
    <mergeCell ref="D6:O6"/>
    <mergeCell ref="D7:O7"/>
    <mergeCell ref="D8:O8"/>
    <mergeCell ref="D9:O9"/>
    <mergeCell ref="D10:O10"/>
    <mergeCell ref="D11:O11"/>
  </mergeCells>
  <pageMargins left="0.7" right="0.7" top="0.75" bottom="0.75" header="0.3" footer="0.3"/>
</worksheet>
</file>