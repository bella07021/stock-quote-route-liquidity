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bdd52b36dd4dd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ee9c4e9602624388"/>
    <sheet name="Quote参数" sheetId="2" r:id="Rff154de45f2d40a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57ded2e5554b84" /><Relationship Type="http://schemas.openxmlformats.org/officeDocument/2006/relationships/theme" Target="/xl/theme/theme1.xml" Id="Red59b577c7304a9f" /><Relationship Type="http://schemas.openxmlformats.org/officeDocument/2006/relationships/sharedStrings" Target="/xl/sharedStrings.xml" Id="R470db3fabaca4b84" /><Relationship Type="http://schemas.openxmlformats.org/officeDocument/2006/relationships/worksheet" Target="/xl/worksheets/sheet1.xml" Id="Ree9c4e9602624388" /><Relationship Type="http://schemas.openxmlformats.org/officeDocument/2006/relationships/worksheet" Target="/xl/worksheets/sheet2.xml" Id="Rff154de45f2d40a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IF(ISNUMBER($D$26),(IF(LEFT($D$51,2)&lt;&gt;"可达","",IF($D$22="","",SUM($D$22,$D$23,$D$24,$D$25))))+$D$26,"")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t="20" customHeight="1">
      <c r="A24" s="2"/>
      <c r="B24" s="2"/>
      <c r="C24" s="101" t="str">
        <v>洗筹损耗</v>
      </c>
      <c r="D24" s="115">
        <f>IF(LEFT($D$51,2)&lt;&gt;"可达","",IF($J$46="","",$J$46*$J$47))</f>
      </c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回买；洗后若低于目标，再按外盘曲线差额及买入费预留恢复所需 Quote。洗筹损耗另列；未模拟成交量、滑点与价格冲击。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786.293206317072</v>
      </c>
      <c r="Q7" s="45">
        <v>46287.270008506945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152.688</v>
      </c>
      <c r="Q14" s="29">
        <v>46287.26956986111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186.7194</v>
      </c>
      <c r="Q15" s="30">
        <v>46287.2695749537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774.8275</v>
      </c>
      <c r="Q16" s="30">
        <v>46287.26958017361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4322.04267</v>
      </c>
      <c r="Q17" s="30">
        <v>46287.269585925926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741.6783</v>
      </c>
      <c r="Q18" s="30">
        <v>46287.26959238426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226.8007</v>
      </c>
      <c r="Q19" s="30">
        <v>46287.26959748843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338.8945</v>
      </c>
      <c r="Q20" s="30">
        <v>46287.26960328704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376.1913</v>
      </c>
      <c r="Q21" s="30">
        <v>46287.26960912037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503.00398</v>
      </c>
      <c r="Q22" s="30">
        <v>46287.26961490741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356.8395</v>
      </c>
      <c r="Q23" s="30">
        <v>46287.26962067129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120.8425</v>
      </c>
      <c r="Q24" s="30">
        <v>46287.26962716435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117.05875</v>
      </c>
      <c r="Q25" s="30">
        <v>46287.26963229167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23.5788</v>
      </c>
      <c r="Q26" s="30">
        <v>46287.26963800926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73.6837</v>
      </c>
      <c r="Q27" s="30">
        <v>46287.26964431713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162.837</v>
      </c>
      <c r="Q28" s="30">
        <v>46287.269650381946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9.09543</v>
      </c>
      <c r="Q29" s="30">
        <v>46287.26965538194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46287.269661412036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137.9253</v>
      </c>
      <c r="Q31" s="30">
        <v>46287.26966697917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172.4458</v>
      </c>
      <c r="Q32" s="30">
        <v>46287.269672766204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7.3509</v>
      </c>
      <c r="Q33" s="30">
        <v>46287.269678553246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35.09078</v>
      </c>
      <c r="Q34" s="30">
        <v>46287.26968459491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27.5076</v>
      </c>
      <c r="Q35" s="30">
        <v>46287.26969011574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46287.269696180556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