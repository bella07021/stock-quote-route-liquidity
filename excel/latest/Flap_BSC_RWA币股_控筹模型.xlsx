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5744b01eb433e" /></Relationships>
</file>

<file path=xl/workbook.xml><?xml version="1.0" encoding="utf-8"?>
<workbook xmlns="http://schemas.openxmlformats.org/spreadsheetml/2006/main" xmlns:r="http://schemas.openxmlformats.org/officeDocument/2006/relationships">
  <sheets>
    <sheet name="控筹模型" sheetId="1" r:id="Rdfcf5d9f72a04e52"/>
    <sheet name="Quote参数" sheetId="2" r:id="Rc51882bdca6f4145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@"/>
    <x:numFmt numFmtId="201" formatCode="0"/>
    <x:numFmt numFmtId="202" formatCode="#,##0.000000"/>
    <x:numFmt numFmtId="203" formatCode="yyyy-mm-dd hh:mm:ss"/>
    <x:numFmt numFmtId="204" formatCode="#,##0.000"/>
    <x:numFmt numFmtId="205" formatCode="0.000000E+00"/>
    <x:numFmt numFmtId="206" formatCode="0.00%"/>
    <x:numFmt numFmtId="207" formatCode="0.0000%"/>
    <x:numFmt numFmtId="208" formatCode="#,##0"/>
    <x:numFmt numFmtId="209" formatCode="0.0000000000"/>
    <x:numFmt numFmtId="210" formatCode=";;;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i/>
      <x:sz val="9"/>
      <x:color rgb="FF667085"/>
      <x:name val="Arial"/>
    </x:font>
    <x:font>
      <x:sz val="9"/>
      <x:color rgb="FF667085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557D"/>
      </x:patternFill>
    </x:fill>
    <x:fill>
      <x:patternFill patternType="solid">
        <x:fgColor rgb="FFD9EAF7"/>
      </x:patternFill>
    </x:fill>
    <x:fill>
      <x:patternFill patternType="solid">
        <x:fgColor rgb="FFEAF3FA"/>
      </x:patternFill>
    </x:fill>
    <x:fill>
      <x:patternFill patternType="solid">
        <x:fgColor rgb="FFE8F3DD"/>
      </x:patternFill>
    </x:fill>
    <x:fill>
      <x:patternFill patternType="solid">
        <x:fgColor rgb="FF7D2638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1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5" fontId="5" fillId="0" borderId="3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0"/>
    </x:xf>
    <x:xf numFmtId="206" fontId="7" fillId="3" borderId="0" xfId="0" applyNumberFormat="1" applyFont="1" applyFill="1" applyBorder="1" applyAlignment="1">
      <x:alignment vertical="center" wrapText="0"/>
    </x:xf>
    <x:xf numFmtId="202" fontId="7" fillId="3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2" fontId="10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6" fontId="1" fillId="0" borderId="2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9" fontId="1" fillId="0" borderId="2" xfId="0" applyNumberFormat="1" applyFont="1" applyFill="1" applyBorder="1" applyAlignment="1">
      <x:alignment vertical="center"/>
    </x:xf>
    <x:xf numFmtId="209" fontId="1" fillId="0" borderId="3" xfId="0" applyNumberFormat="1" applyFont="1" applyFill="1" applyBorder="1" applyAlignment="1">
      <x:alignment vertical="center"/>
    </x:xf>
    <x:xf numFmtId="209" fontId="1" fillId="0" borderId="4" xfId="0" applyNumberFormat="1" applyFont="1" applyFill="1" applyBorder="1" applyAlignment="1">
      <x:alignment vertical="center"/>
    </x:xf>
    <x:xf numFmtId="202" fontId="1" fillId="5" borderId="2" xfId="0" applyNumberFormat="1" applyFont="1" applyFill="1" applyBorder="1" applyAlignment="1">
      <x:alignment vertical="center"/>
    </x:xf>
    <x:xf numFmtId="202" fontId="1" fillId="5" borderId="3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2" fontId="11" fillId="5" borderId="2" xfId="0" applyNumberFormat="1" applyFont="1" applyFill="1" applyBorder="1" applyAlignment="1">
      <x:alignment vertical="center"/>
    </x:xf>
    <x:xf numFmtId="202" fontId="11" fillId="5" borderId="3" xfId="0" applyNumberFormat="1" applyFont="1" applyFill="1" applyBorder="1" applyAlignment="1">
      <x:alignment vertical="center"/>
    </x:xf>
    <x:xf numFmtId="202" fontId="11" fillId="5" borderId="4" xfId="0" applyNumberFormat="1" applyFont="1" applyFill="1" applyBorder="1" applyAlignment="1">
      <x:alignment vertical="center"/>
    </x:xf>
    <x:xf numFmtId="206" fontId="6" fillId="0" borderId="4" xfId="0" applyNumberFormat="1" applyFont="1" applyFill="1" applyBorder="1" applyAlignment="1">
      <x:alignment vertical="center"/>
    </x:xf>
    <x:xf numFmtId="204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09" fontId="6" fillId="0" borderId="4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9" fontId="6" fillId="0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8" fontId="1" fillId="7" borderId="0" xfId="0" applyNumberFormat="1" applyFont="1" applyFill="1" applyBorder="1" applyAlignment="1">
      <x:alignment vertical="center" wrapText="1"/>
    </x:xf>
    <x:xf numFmtId="207" fontId="1" fillId="7" borderId="0" xfId="0" applyNumberFormat="1" applyFont="1" applyFill="1" applyBorder="1" applyAlignment="1">
      <x:alignment vertical="center" wrapText="1"/>
    </x:xf>
    <x:xf numFmtId="205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/>
    </x:xf>
    <x:xf numFmtId="208" fontId="10" fillId="5" borderId="0" xfId="0" applyNumberFormat="1" applyFont="1" applyFill="1" applyBorder="1" applyAlignment="1">
      <x:alignment vertical="center"/>
    </x:xf>
    <x:xf numFmtId="208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/>
    </x:xf>
    <x:xf numFmtId="207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208" fontId="9" fillId="7" borderId="0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206" fontId="1" fillId="7" borderId="2" xfId="0" applyNumberFormat="1" applyFont="1" applyFill="1" applyBorder="1" applyAlignment="1">
      <x:alignment vertical="center"/>
    </x:xf>
    <x:xf numFmtId="206" fontId="1" fillId="7" borderId="3" xfId="0" applyNumberFormat="1" applyFont="1" applyFill="1" applyBorder="1" applyAlignment="1">
      <x:alignment vertical="center"/>
    </x:xf>
    <x:xf numFmtId="206" fontId="1" fillId="7" borderId="4" xfId="0" applyNumberFormat="1" applyFont="1" applyFill="1" applyBorder="1" applyAlignment="1">
      <x:alignment vertical="center"/>
    </x:xf>
    <x:xf numFmtId="209" fontId="1" fillId="7" borderId="2" xfId="0" applyNumberFormat="1" applyFont="1" applyFill="1" applyBorder="1" applyAlignment="1">
      <x:alignment vertical="center"/>
    </x:xf>
    <x:xf numFmtId="209" fontId="1" fillId="7" borderId="3" xfId="0" applyNumberFormat="1" applyFont="1" applyFill="1" applyBorder="1" applyAlignment="1">
      <x:alignment vertical="center"/>
    </x:xf>
    <x:xf numFmtId="209" fontId="1" fillId="7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3" xfId="0" applyNumberFormat="1" applyFont="1" applyFill="1" applyBorder="1" applyAlignment="1">
      <x:alignment vertical="center"/>
    </x:xf>
    <x:xf numFmtId="0" fontId="11" fillId="5" borderId="4" xfId="0" applyNumberFormat="1" applyFont="1" applyFill="1" applyBorder="1" applyAlignment="1">
      <x:alignment vertical="center"/>
    </x:xf>
    <x:xf numFmtId="208" fontId="1" fillId="7" borderId="2" xfId="0" applyNumberFormat="1" applyFont="1" applyFill="1" applyBorder="1" applyAlignment="1">
      <x:alignment vertical="center"/>
    </x:xf>
    <x:xf numFmtId="208" fontId="1" fillId="7" borderId="3" xfId="0" applyNumberFormat="1" applyFont="1" applyFill="1" applyBorder="1" applyAlignment="1">
      <x:alignment vertical="center"/>
    </x:xf>
    <x:xf numFmtId="208" fontId="1" fillId="7" borderId="4" xfId="0" applyNumberFormat="1" applyFont="1" applyFill="1" applyBorder="1" applyAlignment="1">
      <x:alignment vertical="center"/>
    </x:xf>
    <x:xf numFmtId="208" fontId="11" fillId="5" borderId="2" xfId="0" applyNumberFormat="1" applyFont="1" applyFill="1" applyBorder="1" applyAlignment="1">
      <x:alignment vertical="center"/>
    </x:xf>
    <x:xf numFmtId="208" fontId="11" fillId="5" borderId="3" xfId="0" applyNumberFormat="1" applyFont="1" applyFill="1" applyBorder="1" applyAlignment="1">
      <x:alignment vertical="center"/>
    </x:xf>
    <x:xf numFmtId="208" fontId="11" fillId="5" borderId="4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 wrapText="1"/>
    </x:xf>
    <x:xf numFmtId="203" fontId="1" fillId="7" borderId="0" xfId="0" applyNumberFormat="1" applyFont="1" applyFill="1" applyBorder="1" applyAlignment="1">
      <x:alignment vertical="center" wrapText="1"/>
    </x:xf>
    <x:xf numFmtId="208" fontId="7" fillId="3" borderId="0" xfId="0" applyNumberFormat="1" applyFont="1" applyFill="1" applyBorder="1" applyAlignment="1">
      <x:alignment vertical="center" wrapText="0"/>
    </x:xf>
    <x:xf numFmtId="208" fontId="6" fillId="3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1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7"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6411e82c643c0" /><Relationship Type="http://schemas.openxmlformats.org/officeDocument/2006/relationships/theme" Target="/xl/theme/theme1.xml" Id="R859ac38f30f54841" /><Relationship Type="http://schemas.openxmlformats.org/officeDocument/2006/relationships/sharedStrings" Target="/xl/sharedStrings.xml" Id="Rdf0d865e65b54958" /><Relationship Type="http://schemas.openxmlformats.org/officeDocument/2006/relationships/worksheet" Target="/xl/worksheets/sheet1.xml" Id="Rdfcf5d9f72a04e52" /><Relationship Type="http://schemas.openxmlformats.org/officeDocument/2006/relationships/worksheet" Target="/xl/worksheets/sheet2.xml" Id="Rc51882bdca6f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>
      <pane ySplit="3" topLeftCell="A4" activePane="bottomLeft" state="frozen"/>
    </sheetView>
  </sheetViews>
  <sheetFormatPr defaultRowHeight="15" outlineLevelRow="1"/>
  <cols>
    <col min="1" max="1" width="2" hidden="0" customWidth="1"/>
    <col min="2" max="2" width="2" hidden="0" customWidth="1"/>
    <col min="3" max="3" width="25" hidden="0" customWidth="1"/>
    <col min="4" max="4" width="21" hidden="0" customWidth="1"/>
    <col min="5" max="5" width="14" hidden="0" customWidth="1"/>
    <col min="6" max="6" width="25" hidden="0" customWidth="1"/>
    <col min="7" max="7" width="21" hidden="0" customWidth="1"/>
    <col min="8" max="8" width="14" hidden="0" customWidth="1"/>
    <col min="9" max="9" width="25" hidden="0" customWidth="1"/>
    <col min="10" max="10" width="21" hidden="0" customWidth="1"/>
    <col min="11" max="11" width="14" hidden="0" customWidth="1"/>
    <col min="12" max="12" width="17" hidden="0" customWidth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" customHeight="1">
      <c r="A2" s="2"/>
      <c r="B2" s="2"/>
      <c r="C2" s="4" t="str">
        <v>Flap BSC 控筹模型</v>
      </c>
      <c r="D2" s="3"/>
      <c r="E2" s="3"/>
      <c r="F2" s="3"/>
      <c r="G2" s="3"/>
      <c r="H2" s="3"/>
      <c r="I2" s="3"/>
      <c r="J2" s="3"/>
      <c r="K2" s="3"/>
      <c r="L2" s="3"/>
    </row>
    <row r="3" ht="20" customHeight="1">
      <c r="A3" s="2"/>
      <c r="B3" s="2"/>
      <c r="C3" s="5" t="str">
        <v>蓝色格可编辑。Quote 资金与原生币 Gas 分开准备；总折算价值包含 Gas。</v>
      </c>
      <c r="D3" s="5"/>
      <c r="E3" s="5"/>
      <c r="F3" s="5"/>
      <c r="G3" s="5"/>
      <c r="H3" s="5"/>
      <c r="I3" s="5"/>
      <c r="J3" s="5"/>
      <c r="K3" s="5"/>
      <c r="L3" s="5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4" customHeight="1">
      <c r="A5" s="2"/>
      <c r="B5" s="2"/>
      <c r="C5" s="8" t="str">
        <v>一、可编辑参数</v>
      </c>
      <c r="D5" s="8"/>
      <c r="E5" s="8"/>
      <c r="F5" s="8"/>
      <c r="G5" s="8"/>
      <c r="H5" s="8"/>
      <c r="I5" s="8"/>
      <c r="J5" s="8"/>
      <c r="K5" s="8"/>
      <c r="L5" s="8"/>
    </row>
    <row r="6" ht="20" customHeight="1">
      <c r="A6" s="2"/>
      <c r="B6" s="2"/>
      <c r="C6" s="46" t="str">
        <v>交易参数</v>
      </c>
      <c r="D6" s="2"/>
      <c r="E6" s="2"/>
      <c r="F6" s="46" t="str">
        <v>地址与 Gas</v>
      </c>
      <c r="G6" s="2"/>
      <c r="H6" s="2"/>
      <c r="I6" s="46" t="str">
        <v>平台设置</v>
      </c>
      <c r="J6" s="2"/>
      <c r="K6" s="2"/>
      <c r="L6" s="2"/>
    </row>
    <row r="7" ht="20" customHeight="1">
      <c r="A7" s="2"/>
      <c r="B7" s="2"/>
      <c r="C7" s="35" t="str">
        <v>Quote</v>
      </c>
      <c r="D7" s="49" t="str">
        <v>SPCXB</v>
      </c>
      <c r="E7" s="2"/>
      <c r="F7" s="35" t="str">
        <v>内盘套数</v>
      </c>
      <c r="G7" s="49" t="n">
        <v>2</v>
      </c>
      <c r="H7" s="2"/>
      <c r="I7" s="35" t="str">
        <v>买入税率</v>
      </c>
      <c r="J7" s="50" t="n">
        <v>0</v>
      </c>
      <c r="K7" s="2"/>
      <c r="L7" s="2"/>
    </row>
    <row r="8" ht="20" customHeight="1">
      <c r="A8" s="2"/>
      <c r="B8" s="2"/>
      <c r="C8" s="35" t="str">
        <v>目标控筹率</v>
      </c>
      <c r="D8" s="50" t="n">
        <v>0.94</v>
      </c>
      <c r="E8" s="35" t="str">
        <v>预算沿用 +1%</v>
      </c>
      <c r="F8" s="35" t="str">
        <v>内盘地址 / 套</v>
      </c>
      <c r="G8" s="49" t="n">
        <v>20</v>
      </c>
      <c r="H8" s="2"/>
      <c r="I8" s="35" t="str">
        <v>卖出税率</v>
      </c>
      <c r="J8" s="50" t="n">
        <v>0</v>
      </c>
      <c r="K8" s="2"/>
      <c r="L8" s="2"/>
    </row>
    <row r="9" ht="20" customHeight="1">
      <c r="A9" s="2"/>
      <c r="B9" s="2"/>
      <c r="C9" s="35" t="str">
        <v>手动价格 / USDT</v>
      </c>
      <c r="D9" s="51"/>
      <c r="E9" s="35" t="str">
        <v>留空用日更价</v>
      </c>
      <c r="F9" s="35" t="str">
        <v>外盘地址数</v>
      </c>
      <c r="G9" s="49" t="n">
        <v>30</v>
      </c>
      <c r="H9" s="2"/>
      <c r="I9" s="2"/>
      <c r="J9" s="2"/>
      <c r="K9" s="2"/>
      <c r="L9" s="2"/>
    </row>
    <row r="10" ht="20" customHeight="1">
      <c r="A10" s="2"/>
      <c r="B10" s="2"/>
      <c r="C10" s="2"/>
      <c r="D10" s="2"/>
      <c r="E10" s="2"/>
      <c r="F10" s="35" t="str">
        <v>Holder 地址数</v>
      </c>
      <c r="G10" s="49" t="n">
        <v>150</v>
      </c>
      <c r="H10" s="2"/>
      <c r="I10" s="2"/>
      <c r="J10" s="2"/>
      <c r="K10" s="2"/>
      <c r="L10" s="2"/>
    </row>
    <row r="11" ht="20" customHeight="1">
      <c r="A11" s="2"/>
      <c r="B11" s="2"/>
      <c r="C11" s="2"/>
      <c r="D11" s="2"/>
      <c r="E11" s="2"/>
      <c r="F11" s="35" t="str">
        <v>单地址 Gas / BNB</v>
      </c>
      <c r="G11" s="51" t="n">
        <v>0.01</v>
      </c>
      <c r="H11" s="2"/>
      <c r="I11" s="2"/>
      <c r="J11" s="2"/>
      <c r="K11" s="2"/>
      <c r="L11" s="2"/>
    </row>
    <row r="12" ht="20" customHeight="1">
      <c r="A12" s="2"/>
      <c r="B12" s="2"/>
      <c r="C12" s="2"/>
      <c r="D12" s="2"/>
      <c r="E12" s="2"/>
      <c r="F12" s="35" t="str">
        <v>资金预留 / Quote</v>
      </c>
      <c r="G12" s="146">
        <f>IF(AND(ISNUMBER($D$55),$D$55&gt;0),ROUNDUP($G$56/$D$55,0),"")</f>
      </c>
      <c r="H12" s="2"/>
      <c r="I12" s="2"/>
      <c r="J12" s="2"/>
      <c r="K12" s="2"/>
      <c r="L12" s="2"/>
    </row>
    <row r="13" ht="20" customHeight="1">
      <c r="A13" s="2"/>
      <c r="B13" s="2"/>
      <c r="C13" s="52" t="str">
        <v>预留资金 = 10,000 USDT ÷ Quote 价格，向上取整。手动价格会同时调整预留与折算价值；清空后恢复每日价。</v>
      </c>
      <c r="D13" s="52"/>
      <c r="E13" s="52"/>
      <c r="F13" s="52"/>
      <c r="G13" s="52"/>
      <c r="H13" s="52"/>
      <c r="I13" s="52"/>
      <c r="J13" s="52"/>
      <c r="K13" s="52"/>
      <c r="L13" s="52"/>
    </row>
    <row r="14" ht="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4" customHeight="1">
      <c r="A17" s="2"/>
      <c r="B17" s="2"/>
      <c r="C17" s="9" t="str">
        <v>二、测算结果</v>
      </c>
      <c r="D17" s="8"/>
      <c r="E17" s="8"/>
      <c r="F17" s="8"/>
      <c r="G17" s="8"/>
      <c r="H17" s="8"/>
      <c r="I17" s="8"/>
      <c r="J17" s="8"/>
      <c r="K17" s="8"/>
      <c r="L17" s="8"/>
    </row>
    <row r="18" ht="30" customHeight="1">
      <c r="A18" s="2"/>
      <c r="B18" s="2"/>
      <c r="C18" s="101" t="str">
        <v>建议 Quote 资金</v>
      </c>
      <c r="D18" s="114">
        <f>IF(AND(LEFT($D$51,2)="可达",ISNUMBER($D$22),ISNUMBER($D$23),ISNUMBER($D$25),ISNUMBER($D$26)),SUM($D$22:$D$23,$D$25:$D$26),"")</f>
      </c>
      <c r="E18" s="58">
        <f>$D$7</f>
      </c>
      <c r="F18" s="101" t="str">
        <v>原生币 Gas 储备</v>
      </c>
      <c r="G18" s="68">
        <f>$D$53*MAX(0,$G$11)</f>
      </c>
      <c r="H18" s="58" t="str">
        <v>BNB</v>
      </c>
      <c r="I18" s="101" t="str">
        <v>总折算 / USDT</v>
      </c>
      <c r="J18" s="114">
        <f>IF(AND(ISNUMBER($D$19),ISNUMBER($G$19)),SUM(D19,G19),"")</f>
      </c>
      <c r="K18" s="58" t="str">
        <v>USDT</v>
      </c>
      <c r="L18" s="58"/>
    </row>
    <row r="19" ht="20" customHeight="1">
      <c r="A19" s="2"/>
      <c r="B19" s="2"/>
      <c r="C19" s="101" t="str">
        <v>Quote 折算 / USDT</v>
      </c>
      <c r="D19" s="115">
        <f>IF(ISNUMBER($D$18),IF($D$18=0,0,IF($D$55&gt;0,$D$18*$D$55,"")),"")</f>
      </c>
      <c r="E19" s="100" t="str">
        <v>USDT</v>
      </c>
      <c r="F19" s="101" t="str">
        <v>Gas 折算 / USDT</v>
      </c>
      <c r="G19" s="115">
        <f>IF($G$18=0,0,IF($J$19="","",$G$18*$J$19))</f>
      </c>
      <c r="H19" s="100" t="str">
        <v>USDT</v>
      </c>
      <c r="I19" s="101" t="str">
        <v>原生币价格 / USDT</v>
      </c>
      <c r="J19" s="116">
        <f>IF($D$7="BNB",$D$55,IF('Quote参数'!$P$7&gt;0,'Quote参数'!$P$7,""))</f>
      </c>
      <c r="K19" s="100"/>
      <c r="L19" s="100"/>
    </row>
    <row r="20" ht="6" customHeight="1">
      <c r="A20" s="2"/>
      <c r="B20" s="2"/>
      <c r="C20" s="100"/>
      <c r="D20" s="100"/>
      <c r="E20" s="100"/>
      <c r="F20" s="100"/>
      <c r="G20" s="100"/>
      <c r="H20" s="100"/>
      <c r="I20" s="100"/>
      <c r="J20" s="100"/>
      <c r="K20" s="100"/>
      <c r="L20" s="100"/>
    </row>
    <row r="21" ht="24" customHeight="1">
      <c r="A21" s="2"/>
      <c r="B21" s="2"/>
      <c r="C21" s="70" t="str">
        <v>Quote 资金构成</v>
      </c>
      <c r="D21" s="69"/>
      <c r="E21" s="69"/>
      <c r="F21" s="69"/>
      <c r="G21" s="100"/>
      <c r="H21" s="100"/>
      <c r="I21" s="70" t="str">
        <v>手续费</v>
      </c>
      <c r="J21" s="69"/>
      <c r="K21" s="69"/>
      <c r="L21" s="69"/>
    </row>
    <row r="22" ht="20" customHeight="1">
      <c r="A22" s="2"/>
      <c r="B22" s="2"/>
      <c r="C22" s="100">
        <f>"预算 "&amp;TEXT($D$52,"0%")&amp;" 理论资金"</f>
      </c>
      <c r="D22" s="115">
        <f>IF(LEFT($D$51,2)&lt;&gt;"可达","",IF($J$45="","",$J$41+$J$45))</f>
      </c>
      <c r="E22" s="100">
        <f>$D$7</f>
      </c>
      <c r="F22" s="100"/>
      <c r="G22" s="100"/>
      <c r="H22" s="100"/>
      <c r="I22" s="112" t="str">
        <v>内盘</v>
      </c>
      <c r="J22" s="113"/>
      <c r="K22" s="113"/>
      <c r="L22" s="113"/>
    </row>
    <row r="23" ht="20" customHeight="1">
      <c r="A23" s="2"/>
      <c r="B23" s="2"/>
      <c r="C23" s="101" t="str">
        <v>额外内盘资金</v>
      </c>
      <c r="D23" s="115">
        <f>IF(LEFT($D$51,2)&lt;&gt;"可达","",$J$41*MAX(0,$G$7-1))</f>
      </c>
      <c r="E23" s="100">
        <f>$D$7</f>
      </c>
      <c r="F23" s="100"/>
      <c r="G23" s="100"/>
      <c r="H23" s="100"/>
      <c r="I23" s="101" t="str">
        <v>基础手续费</v>
      </c>
      <c r="J23" s="117">
        <f>$G$41</f>
      </c>
      <c r="K23" s="100"/>
      <c r="L23" s="100"/>
    </row>
    <row r="24" customHeight="1" hidden="1">
      <c r="A24" s="2"/>
      <c r="B24" s="2"/>
      <c r="C24" s="101"/>
      <c r="D24" s="149"/>
      <c r="E24" s="100">
        <f>$D$7</f>
      </c>
      <c r="F24" s="100"/>
      <c r="G24" s="100"/>
      <c r="H24" s="100"/>
      <c r="I24" s="101" t="str">
        <v>买入含税费率</v>
      </c>
      <c r="J24" s="117">
        <f>$G$41+$J$7</f>
      </c>
      <c r="K24" s="100"/>
      <c r="L24" s="100"/>
    </row>
    <row r="25" ht="20" customHeight="1">
      <c r="A25" s="2"/>
      <c r="B25" s="2"/>
      <c r="C25" s="101" t="str">
        <v>资金预留</v>
      </c>
      <c r="D25" s="115">
        <f>MAX(0,$G$12)</f>
      </c>
      <c r="E25" s="100">
        <f>$D$7</f>
      </c>
      <c r="F25" s="100"/>
      <c r="G25" s="100"/>
      <c r="H25" s="100"/>
      <c r="I25" s="101" t="str">
        <v>卖出含税费率</v>
      </c>
      <c r="J25" s="117">
        <f>$G$41+$J$8</f>
      </c>
      <c r="K25" s="100"/>
      <c r="L25" s="100"/>
    </row>
    <row r="26" ht="20" customHeight="1">
      <c r="A26" s="2"/>
      <c r="B26" s="2"/>
      <c r="C26" s="101" t="str">
        <v>恢复目标控筹预留</v>
      </c>
      <c r="D26" s="115">
        <f>IF($D$51&lt;&gt;"可达","",IF(AND($J$55&gt;0,$J$56&gt;0),MAX(0,($G$50/$J$55-$G$50/$J$56)*(1+$G$42)),""))</f>
      </c>
      <c r="E26" s="100">
        <f>$D$7</f>
      </c>
      <c r="F26" s="100"/>
      <c r="G26" s="100"/>
      <c r="H26" s="100"/>
      <c r="I26" s="100"/>
      <c r="J26" s="100"/>
      <c r="K26" s="100"/>
      <c r="L26" s="100"/>
    </row>
    <row r="27" ht="20" customHeight="1">
      <c r="A27" s="2"/>
      <c r="B27" s="2"/>
      <c r="C27" s="101" t="str">
        <v>洗后控筹率（估算）</v>
      </c>
      <c r="D27" s="118">
        <f>$D$8*$J$54</f>
      </c>
      <c r="E27" s="100"/>
      <c r="F27" s="100"/>
      <c r="G27" s="100"/>
      <c r="H27" s="100"/>
      <c r="I27" s="112" t="str">
        <v>外盘 · LP</v>
      </c>
      <c r="J27" s="113"/>
      <c r="K27" s="113"/>
      <c r="L27" s="113"/>
    </row>
    <row r="28" ht="20" customHeight="1">
      <c r="A28" s="2"/>
      <c r="B28" s="2"/>
      <c r="C28" s="101" t="str">
        <v>原目标控筹率</v>
      </c>
      <c r="D28" s="117">
        <f>$D$8</f>
      </c>
      <c r="E28" s="100"/>
      <c r="F28" s="100"/>
      <c r="G28" s="100"/>
      <c r="H28" s="100"/>
      <c r="I28" s="101" t="str">
        <v>基础手续费</v>
      </c>
      <c r="J28" s="117">
        <f>$G$42</f>
      </c>
      <c r="K28" s="100"/>
      <c r="L28" s="100"/>
    </row>
    <row r="29" ht="20" customHeight="1">
      <c r="A29" s="2"/>
      <c r="B29" s="2"/>
      <c r="C29" s="101" t="str">
        <v>洗筹双边总费率</v>
      </c>
      <c r="D29" s="117">
        <f>$J$47</f>
      </c>
      <c r="E29" s="100"/>
      <c r="F29" s="100"/>
      <c r="G29" s="100"/>
      <c r="H29" s="100"/>
      <c r="I29" s="101" t="str">
        <v>买入含税费率</v>
      </c>
      <c r="J29" s="117">
        <f>$G$42+$J$7</f>
      </c>
      <c r="K29" s="100"/>
      <c r="L29" s="100"/>
    </row>
    <row r="30" ht="32" customHeight="1">
      <c r="A30" s="2"/>
      <c r="B30" s="2"/>
      <c r="C30"/>
      <c r="D30"/>
      <c r="E30"/>
      <c r="F30"/>
      <c r="G30"/>
      <c r="H30"/>
      <c r="I30" s="101" t="str">
        <v>卖出含税费率</v>
      </c>
      <c r="J30" s="117">
        <f>$G$42+$J$8</f>
      </c>
      <c r="K30" s="100"/>
      <c r="L30" s="100"/>
    </row>
    <row r="31" hidden="1" customHeight="1">
      <c r="A31" s="2"/>
      <c r="B31" s="2"/>
      <c r="C31"/>
      <c r="D31"/>
      <c r="E31"/>
      <c r="F31"/>
      <c r="G31"/>
      <c r="H31"/>
      <c r="I31" s="100"/>
      <c r="J31" s="100"/>
      <c r="K31" s="100"/>
      <c r="L31" s="100"/>
    </row>
    <row r="32" hidden="1" customHeight="1">
      <c r="A32" s="2"/>
      <c r="B32" s="2"/>
      <c r="C32"/>
      <c r="D32"/>
      <c r="E32"/>
      <c r="F32"/>
      <c r="G32"/>
      <c r="H32"/>
      <c r="I32" s="100"/>
      <c r="J32" s="100"/>
      <c r="K32" s="100"/>
      <c r="L32" s="100"/>
    </row>
    <row r="33" hidden="1" customHeight="1">
      <c r="A33" s="2"/>
      <c r="B33" s="2"/>
      <c r="C33"/>
      <c r="D33"/>
      <c r="E33"/>
      <c r="F33"/>
      <c r="G33"/>
      <c r="H33"/>
      <c r="I33" s="100"/>
      <c r="J33" s="100"/>
      <c r="K33" s="100"/>
      <c r="L33" s="100"/>
    </row>
    <row r="34" hidden="1" customHeight="1">
      <c r="A34" s="2"/>
      <c r="B34" s="2"/>
      <c r="C34"/>
      <c r="D34"/>
      <c r="E34"/>
      <c r="F34"/>
      <c r="G34"/>
      <c r="H34"/>
      <c r="I34" s="100"/>
      <c r="J34" s="100"/>
      <c r="K34" s="100"/>
      <c r="L34" s="100"/>
    </row>
    <row r="35" hidden="1" customHeight="1">
      <c r="A35" s="2"/>
      <c r="B35" s="2"/>
      <c r="C35"/>
      <c r="D35"/>
      <c r="E35"/>
      <c r="F35"/>
      <c r="G35"/>
      <c r="H35"/>
      <c r="I35" s="100"/>
      <c r="J35" s="100"/>
      <c r="K35" s="100"/>
      <c r="L35" s="100"/>
    </row>
    <row r="36" ht="36" customHeight="1">
      <c r="A36" s="2"/>
      <c r="B36" s="2"/>
      <c r="C36" s="108" t="str">
        <v>外盘一卖一买使用卖出所得 Quote 回买；手续费仅降低洗后持币，不另列资金。洗后若低于目标，再按外盘曲线差额及买入费预留恢复所需 Quote；未模拟成交量、滑点与价格冲击。</v>
      </c>
      <c r="D36" s="108"/>
      <c r="E36" s="108"/>
      <c r="F36" s="108"/>
      <c r="G36" s="108"/>
      <c r="H36" s="108"/>
      <c r="I36" s="108"/>
      <c r="J36" s="108"/>
      <c r="K36" s="108"/>
      <c r="L36" s="108"/>
    </row>
    <row r="37" ht="22" customHeight="1">
      <c r="A37" s="2"/>
      <c r="B37" s="2"/>
      <c r="C37" s="120" t="str">
        <v>沉没成本（模型参考，不重复计入预算）</v>
      </c>
      <c r="D37" s="120"/>
      <c r="E37" s="120"/>
      <c r="F37" s="120"/>
      <c r="G37" s="121">
        <f>E125</f>
      </c>
      <c r="H37" s="120">
        <f>$D$7</f>
      </c>
      <c r="I37" s="100"/>
      <c r="J37" s="100"/>
      <c r="K37" s="100"/>
      <c r="L37" s="100"/>
    </row>
    <row r="38" ht="6" customHeight="1">
      <c r="A38" s="2"/>
      <c r="B38" s="2"/>
      <c r="C38" s="100"/>
      <c r="D38" s="100"/>
      <c r="E38" s="100"/>
      <c r="F38" s="100"/>
      <c r="G38" s="100"/>
      <c r="H38" s="100"/>
      <c r="I38" s="100"/>
      <c r="J38" s="100"/>
      <c r="K38" s="100"/>
      <c r="L38" s="100"/>
    </row>
    <row r="39" ht="24" customHeight="1" collapsed="1">
      <c r="A39"/>
      <c r="B39"/>
      <c r="C39" s="8" t="str">
        <v>三、模型信息与计算口径（默认折叠，点左侧 + 展开）</v>
      </c>
      <c r="D39" s="8"/>
      <c r="E39" s="8"/>
      <c r="F39" s="8"/>
      <c r="G39" s="8"/>
      <c r="H39" s="8"/>
      <c r="I39" s="8"/>
      <c r="J39" s="8"/>
      <c r="K39" s="8"/>
      <c r="L39" s="8"/>
    </row>
    <row r="40" ht="30" hidden="1" customHeight="1" outlineLevel="1">
      <c r="A40"/>
      <c r="B40"/>
      <c r="C40" s="101" t="str">
        <v>Quote 信息</v>
      </c>
      <c r="D40" s="101"/>
      <c r="E40" s="101"/>
      <c r="F40" s="101" t="str">
        <v>协议与曲线参数</v>
      </c>
      <c r="G40" s="101"/>
      <c r="H40" s="101"/>
      <c r="I40" s="101" t="str">
        <v>预算中间计算</v>
      </c>
      <c r="J40" s="101"/>
      <c r="K40" s="101"/>
      <c r="L40" s="101"/>
    </row>
    <row r="41" ht="30" hidden="1" customHeight="1" outlineLevel="1">
      <c r="A41"/>
      <c r="B41"/>
      <c r="C41" s="101" t="str">
        <v>Quote 名称</v>
      </c>
      <c r="D41" s="102">
        <f>VLOOKUP($D$7,'Quote参数'!$E$14:$M$36,2,FALSE)</f>
      </c>
      <c r="E41" s="101"/>
      <c r="F41" s="101" t="str">
        <v>内盘基础费</v>
      </c>
      <c r="G41" s="106">
        <f>0.01</f>
      </c>
      <c r="H41" s="101"/>
      <c r="I41" s="101" t="str">
        <v>一套内盘打满 / Quote</v>
      </c>
      <c r="J41" s="102">
        <f>$G$44*(1+$G$41+$J$7)</f>
      </c>
      <c r="K41" s="101"/>
      <c r="L41" s="101"/>
    </row>
    <row r="42" ht="30" hidden="1" customHeight="1" outlineLevel="1">
      <c r="A42"/>
      <c r="B42"/>
      <c r="C42" s="101" t="str">
        <v>Quote 合约</v>
      </c>
      <c r="D42" s="103">
        <f>VLOOKUP($D$7,'Quote参数'!$E$14:$M$36,3,FALSE)</f>
      </c>
      <c r="E42" s="101"/>
      <c r="F42" s="101" t="str">
        <v>外盘 LP 费</v>
      </c>
      <c r="G42" s="106">
        <f>0.0025</f>
      </c>
      <c r="H42" s="101"/>
      <c r="I42" s="101" t="str">
        <v>目标+1% Pool TOKEN</v>
      </c>
      <c r="J42" s="102">
        <f>IF($J$49="","",$G$48-$J$49)</f>
      </c>
      <c r="K42" s="101"/>
      <c r="L42" s="101"/>
    </row>
    <row r="43" ht="30" hidden="1" customHeight="1" outlineLevel="1">
      <c r="A43"/>
      <c r="B43"/>
      <c r="C43" s="101"/>
      <c r="D43" s="102"/>
      <c r="E43" s="101"/>
      <c r="F43" s="101" t="str">
        <v>毕业控筹率</v>
      </c>
      <c r="G43" s="106">
        <f>0.8</f>
      </c>
      <c r="H43" s="101"/>
      <c r="I43" s="101" t="str">
        <v>目标+1% Pool Quote</v>
      </c>
      <c r="J43" s="102">
        <f>IF($J$42="","",$G$50/$J$42)</f>
      </c>
      <c r="K43" s="101"/>
      <c r="L43" s="101"/>
    </row>
    <row r="44" ht="30" hidden="1" customHeight="1" outlineLevel="1">
      <c r="A44"/>
      <c r="B44"/>
      <c r="C44" s="101" t="str">
        <v>Decimals</v>
      </c>
      <c r="D44" s="104">
        <f>VLOOKUP($D$7,'Quote参数'!$E$14:$M$36,4,FALSE)</f>
      </c>
      <c r="E44" s="101"/>
      <c r="F44" s="101" t="str">
        <v>毕业真实 Quote</v>
      </c>
      <c r="G44" s="102">
        <f>VLOOKUP($D$7,'Quote参数'!$E$14:$M$36,8,FALSE)</f>
      </c>
      <c r="H44" s="101"/>
      <c r="I44" s="101" t="str">
        <v>外盘净增加 / Quote</v>
      </c>
      <c r="J44" s="102">
        <f>IF($J$43="","",MAX(0,$J$43-$G$44))</f>
      </c>
      <c r="K44" s="101"/>
      <c r="L44" s="101"/>
    </row>
    <row r="45" ht="30" hidden="1" customHeight="1" outlineLevel="1">
      <c r="A45"/>
      <c r="B45"/>
      <c r="C45" s="101" t="str">
        <v>总供应量</v>
      </c>
      <c r="D45" s="105" t="n">
        <v>1000000000</v>
      </c>
      <c r="E45" s="101"/>
      <c r="F45" s="101" t="str">
        <v>内盘初始 TOKEN</v>
      </c>
      <c r="G45" s="102">
        <f>$D$45+$G$52</f>
      </c>
      <c r="H45" s="101"/>
      <c r="I45" s="101" t="str">
        <v>外盘含费投入 / Quote</v>
      </c>
      <c r="J45" s="102">
        <f>IF($J$44="","",$J$44*(1+$G$42))</f>
      </c>
      <c r="K45" s="101"/>
      <c r="L45" s="101"/>
    </row>
    <row r="46" ht="30" hidden="1" customHeight="1" outlineLevel="1">
      <c r="A46"/>
      <c r="B46"/>
      <c r="C46" s="101" t="str">
        <v>协议参数时点</v>
      </c>
      <c r="D46" s="102" t="str">
        <v>2026-09-10 / block 121074671</v>
      </c>
      <c r="E46" s="101"/>
      <c r="F46" s="101" t="str">
        <v>虚拟 Quote r</v>
      </c>
      <c r="G46" s="102">
        <f>VLOOKUP($D$7,'Quote参数'!$E$14:$M$36,5,FALSE)</f>
      </c>
      <c r="H46" s="101"/>
      <c r="I46" s="101" t="str">
        <v>目标+1% FDV / Quote</v>
      </c>
      <c r="J46" s="102">
        <f>IF($J$43="","",$J$43/$J$42*1000000000)</f>
      </c>
      <c r="K46" s="101"/>
      <c r="L46" s="101"/>
    </row>
    <row r="47" ht="30" hidden="1" customHeight="1" outlineLevel="1">
      <c r="A47"/>
      <c r="B47"/>
      <c r="C47" s="101" t="str">
        <v>外盘机制</v>
      </c>
      <c r="D47" s="102" t="str">
        <v>Pancake V3</v>
      </c>
      <c r="E47" s="101"/>
      <c r="F47" s="101" t="str">
        <v>内盘 k</v>
      </c>
      <c r="G47" s="107">
        <f>VLOOKUP($D$7,'Quote参数'!$E$14:$M$36,7,FALSE)</f>
      </c>
      <c r="H47" s="101"/>
      <c r="I47" s="101" t="str">
        <v>洗筹总费率</v>
      </c>
      <c r="J47" s="106">
        <f>$G$42*2+$J$7+$J$8</f>
      </c>
      <c r="K47" s="101"/>
      <c r="L47" s="101"/>
    </row>
    <row r="48" ht="30" hidden="1" customHeight="1" outlineLevel="1">
      <c r="A48"/>
      <c r="B48"/>
      <c r="C48" s="101" t="str">
        <v>费用方向</v>
      </c>
      <c r="D48" s="102" t="str">
        <v>内盘买税加收 Quote；DEX 买税扣 TOKEN 输出</v>
      </c>
      <c r="E48" s="101"/>
      <c r="F48" s="101" t="str">
        <v>外盘初始 TOKEN</v>
      </c>
      <c r="G48" s="102">
        <f>1000000000*(1-0.8)</f>
      </c>
      <c r="H48" s="101"/>
      <c r="I48" s="101" t="str">
        <v>外盘净控筹 TOKEN</v>
      </c>
      <c r="J48" s="102">
        <f>IF($D$52&lt;$D$54,MAX(0,($D$52-$G$43)*1000000000),"")</f>
      </c>
      <c r="K48" s="101"/>
      <c r="L48" s="101"/>
    </row>
    <row r="49" ht="30" hidden="1" customHeight="1" outlineLevel="1">
      <c r="A49"/>
      <c r="B49"/>
      <c r="C49" s="101" t="str">
        <v>洗筹口径</v>
      </c>
      <c r="D49" s="102" t="str">
        <v>目标+1% FDV ×（2×LP费 + 买税 + 卖税）</v>
      </c>
      <c r="E49" s="101"/>
      <c r="F49" s="101" t="str">
        <v>外盘初始 Quote</v>
      </c>
      <c r="G49" s="102">
        <f>$G$44</f>
      </c>
      <c r="H49" s="101"/>
      <c r="I49" s="101" t="str">
        <v>外盘需扫 TOKEN</v>
      </c>
      <c r="J49" s="102">
        <f>IF($J$48="","",$J$48/(1-$J$7))</f>
      </c>
      <c r="K49" s="101"/>
      <c r="L49" s="101"/>
    </row>
    <row r="50" ht="30" hidden="1" customHeight="1" outlineLevel="1">
      <c r="A50"/>
      <c r="B50"/>
      <c r="C50" s="101"/>
      <c r="D50" s="102"/>
      <c r="E50" s="101"/>
      <c r="F50" s="101" t="str">
        <v>外盘 k</v>
      </c>
      <c r="G50" s="107">
        <f>VLOOKUP($D$7,'Quote参数'!$E$14:$N$36,10,FALSE)</f>
      </c>
      <c r="H50" s="101"/>
      <c r="I50" s="101"/>
      <c r="J50" s="102"/>
      <c r="K50" s="101"/>
      <c r="L50" s="101"/>
    </row>
    <row r="51" ht="30" hidden="1" customHeight="1" outlineLevel="1">
      <c r="A51"/>
      <c r="B51"/>
      <c r="C51" s="101" t="str">
        <v>目标是否可达</v>
      </c>
      <c r="D51" s="102">
        <f>IF($J$51&lt;&gt;"参数有效",$J$51,IF(OR($D$8&lt;80%,$D$8&gt;=100%),"目标控筹率无效",IF(OR($J$7&lt;0,$J$7&gt;10%,$J$8&lt;0,$J$8&gt;10%),"税率无效",IF($D$52&gt;=$D$54,"目标+1%不可达","可达"))))</f>
      </c>
      <c r="E51" s="101"/>
      <c r="F51" s="101" t="str">
        <v>协议来源</v>
      </c>
      <c r="G51" s="102" t="str">
        <v>Quote参数页</v>
      </c>
      <c r="H51" s="101"/>
      <c r="I51" s="101" t="str">
        <v>输入检查</v>
      </c>
      <c r="J51" s="102">
        <f>IF(COUNT($D$8,$G$7:$G$12,$J$7:$J$8)&lt;&gt;9,"缺少或非数值参数",IF(OR($G$7&lt;1,$G$8&lt;0,$G$9&lt;0,$G$10&lt;0,$G$11&lt;0,$G$12&lt;0,$G$7&lt;&gt;INT($G$7),$G$8&lt;&gt;INT($G$8),$G$9&lt;&gt;INT($G$9),$G$10&lt;&gt;INT($G$10)),"地址/Gas/预留参数无效","参数有效"))</f>
      </c>
      <c r="K51" s="101"/>
      <c r="L51" s="101"/>
    </row>
    <row r="52" ht="30" hidden="1" customHeight="1" outlineLevel="1">
      <c r="A52"/>
      <c r="B52"/>
      <c r="C52" s="101" t="str">
        <v>预算使用控筹率</v>
      </c>
      <c r="D52" s="143">
        <f>$D$8+1%</f>
      </c>
      <c r="E52" s="101"/>
      <c r="F52" s="101" t="str">
        <v>虚拟 TOKEN h</v>
      </c>
      <c r="G52" s="102">
        <f>VLOOKUP($D$7,'Quote参数'!$E$14:$M$36,6,FALSE)</f>
      </c>
      <c r="H52" s="101"/>
      <c r="I52" s="101"/>
      <c r="J52" s="102"/>
      <c r="K52" s="101"/>
      <c r="L52" s="101"/>
    </row>
    <row r="53" ht="30" hidden="1" customHeight="1" outlineLevel="1">
      <c r="A53"/>
      <c r="B53"/>
      <c r="C53" s="101" t="str">
        <v>地址总数</v>
      </c>
      <c r="D53" s="105">
        <f>MAX(0,$G$8)*MAX(0,$G$7)+MAX(0,$G$9)+MAX(0,$G$10)</f>
      </c>
      <c r="E53" s="101"/>
      <c r="F53" s="101" t="str">
        <v>买税方向</v>
      </c>
      <c r="G53" s="102" t="str">
        <v>TOKEN 输出端</v>
      </c>
      <c r="H53" s="101"/>
      <c r="I53" s="101"/>
      <c r="J53" s="102"/>
      <c r="K53" s="101"/>
      <c r="L53" s="101"/>
    </row>
    <row r="54" ht="30" hidden="1" customHeight="1" outlineLevel="1">
      <c r="A54"/>
      <c r="B54"/>
      <c r="C54" s="101" t="str">
        <v>当前控筹上限</v>
      </c>
      <c r="D54" s="143">
        <f>$G$43+(1-$J$7)*$G$48/1000000000</f>
      </c>
      <c r="E54" s="101"/>
      <c r="F54" s="101" t="str">
        <v>价格采用方式</v>
      </c>
      <c r="G54" s="102">
        <f>IF($D$9&lt;&gt;"","手动覆盖","每日行情")</f>
      </c>
      <c r="H54" s="101"/>
      <c r="I54" s="101" t="str">
        <v>洗后持仓保留比例</v>
      </c>
      <c r="J54" s="106">
        <f>MAX(0,1-$J$29)*MAX(0,1-$J$30)</f>
      </c>
      <c r="K54" s="101"/>
      <c r="L54" s="101"/>
    </row>
    <row r="55" ht="30" hidden="1" customHeight="1" outlineLevel="1">
      <c r="A55"/>
      <c r="B55"/>
      <c r="C55" s="101" t="str">
        <v>Quote 价格 / USDT</v>
      </c>
      <c r="D55" s="102">
        <f>IF($D$9&lt;&gt;"",IF(AND(ISNUMBER($D$9),$D$9&gt;0),$D$9,""),IF(VLOOKUP($D$7,'Quote参数'!$E$14:$P$36,12,FALSE)&gt;0,VLOOKUP($D$7,'Quote参数'!$E$14:$P$36,12,FALSE),""))</f>
      </c>
      <c r="E55" s="101"/>
      <c r="F55" s="101" t="str">
        <v>价格状态</v>
      </c>
      <c r="G55" s="102">
        <f>IF($D$9&lt;&gt;"",IF($D$55="","手动价格无效","手动价格"),IF($D$55="","缺少价格","每日行情"))</f>
      </c>
      <c r="H55" s="101"/>
      <c r="I55" s="101" t="str">
        <v>目标外盘 Pool TOKEN</v>
      </c>
      <c r="J55" s="102">
        <f>$G$48-($D$8-$G$43)*$D$45/(1-$J$7)</f>
      </c>
      <c r="K55" s="101"/>
      <c r="L55" s="101"/>
    </row>
    <row r="56" ht="30" hidden="1" customHeight="1" outlineLevel="1">
      <c r="A56"/>
      <c r="B56"/>
      <c r="C56" s="101" t="str">
        <v>行情时间 / UTC</v>
      </c>
      <c r="D56" s="144">
        <f>IF(VLOOKUP($D$7,'Quote参数'!$E$14:$Q$36,13,FALSE)=0,"",VLOOKUP($D$7,'Quote参数'!$E$14:$Q$36,13,FALSE))</f>
      </c>
      <c r="E56" s="101"/>
      <c r="F56" s="101" t="str">
        <v>预留预算 / USDT</v>
      </c>
      <c r="G56" s="105" t="n">
        <v>10000</v>
      </c>
      <c r="H56" s="101"/>
      <c r="I56" s="101" t="str">
        <v>洗后外盘 Pool TOKEN</v>
      </c>
      <c r="J56" s="102">
        <f>$G$48-($D$27-$G$43)*$D$45/(1-$J$7)</f>
      </c>
      <c r="K56" s="101"/>
      <c r="L56" s="101"/>
    </row>
    <row r="57" ht="24" customHeight="1">
      <c r="A57"/>
      <c r="B57"/>
      <c r="C57" s="8" t="str">
        <v>内盘曲线</v>
      </c>
      <c r="D57" s="8"/>
      <c r="E57" s="8"/>
      <c r="F57" s="8"/>
      <c r="G57" s="8"/>
      <c r="H57" s="8"/>
      <c r="I57" s="8"/>
      <c r="J57" s="8"/>
      <c r="K57" s="8"/>
      <c r="L57" s="8"/>
    </row>
    <row r="58" ht="32" customHeight="1">
      <c r="A58"/>
      <c r="B58"/>
      <c r="C58" s="71" t="str">
        <v>控筹率</v>
      </c>
      <c r="D58" s="71" t="str">
        <v>pooled TOKEN</v>
      </c>
      <c r="E58" s="71" t="str">
        <v>pooled Quote</v>
      </c>
      <c r="F58" s="71" t="str">
        <v>价格 / Quote</v>
      </c>
      <c r="G58" s="71" t="str">
        <v>价格 / USDT</v>
      </c>
      <c r="H58" s="71" t="str">
        <v>市值 / Quote</v>
      </c>
      <c r="I58" s="71" t="str">
        <v>市值 / USDT</v>
      </c>
      <c r="J58" s="71" t="str">
        <v>区间净投入
/ Quote</v>
      </c>
      <c r="K58" s="71" t="str">
        <v>区间含费
/ Quote</v>
      </c>
      <c r="L58" s="71" t="str">
        <v>理论累计所需
/ Quote</v>
      </c>
    </row>
    <row r="59" ht="20" customHeight="1">
      <c r="A59"/>
      <c r="B59"/>
      <c r="C59" s="125" t="n">
        <v>0</v>
      </c>
      <c r="D59" s="137">
        <f>$D$45+$G$52-$D$45*C59</f>
      </c>
      <c r="E59" s="137">
        <f>$G$47/D59</f>
      </c>
      <c r="F59" s="128">
        <f>IF(OR(D59="",E59=""),"",E59/D59)</f>
      </c>
      <c r="G59" s="128">
        <f>IF(OR($D$55="",NOT(ISNUMBER(F59))),"",F59*$D$55)</f>
      </c>
      <c r="H59" s="137">
        <f>IF(NOT(ISNUMBER(F59)),"",F59*$D$45)</f>
      </c>
      <c r="I59" s="137">
        <f>IF(OR($D$55="",NOT(ISNUMBER(H59))),"",H59*$D$55)</f>
      </c>
      <c r="J59" s="137">
        <f>0</f>
      </c>
      <c r="K59" s="137">
        <f>J59*(1+$G$41+$J$7)</f>
      </c>
      <c r="L59" s="140">
        <f>(E59-$G$46)*(1+$G$41+$J$7)</f>
      </c>
    </row>
    <row r="60" ht="20" customHeight="1">
      <c r="A60"/>
      <c r="B60"/>
      <c r="C60" s="126" t="n">
        <v>0.1</v>
      </c>
      <c r="D60" s="138">
        <f>$D$45+$G$52-$D$45*C60</f>
      </c>
      <c r="E60" s="138">
        <f>$G$47/D60</f>
      </c>
      <c r="F60" s="129">
        <f>IF(OR(D60="",E60=""),"",E60/D60)</f>
      </c>
      <c r="G60" s="129">
        <f>IF(OR($D$55="",NOT(ISNUMBER(F60))),"",F60*$D$55)</f>
      </c>
      <c r="H60" s="138">
        <f>IF(NOT(ISNUMBER(F60)),"",F60*$D$45)</f>
      </c>
      <c r="I60" s="138">
        <f>IF(OR($D$55="",NOT(ISNUMBER(H60))),"",H60*$D$55)</f>
      </c>
      <c r="J60" s="138">
        <f>E60-E59</f>
      </c>
      <c r="K60" s="138">
        <f>J60*(1+$G$41+$J$7)</f>
      </c>
      <c r="L60" s="141">
        <f>(E60-$G$46)*(1+$G$41+$J$7)</f>
      </c>
    </row>
    <row r="61" ht="20" customHeight="1">
      <c r="A61"/>
      <c r="B61"/>
      <c r="C61" s="126" t="n">
        <v>0.2</v>
      </c>
      <c r="D61" s="138">
        <f>$D$45+$G$52-$D$45*C61</f>
      </c>
      <c r="E61" s="138">
        <f>$G$47/D61</f>
      </c>
      <c r="F61" s="129">
        <f>IF(OR(D61="",E61=""),"",E61/D61)</f>
      </c>
      <c r="G61" s="129">
        <f>IF(OR($D$55="",NOT(ISNUMBER(F61))),"",F61*$D$55)</f>
      </c>
      <c r="H61" s="138">
        <f>IF(NOT(ISNUMBER(F61)),"",F61*$D$45)</f>
      </c>
      <c r="I61" s="138">
        <f>IF(OR($D$55="",NOT(ISNUMBER(H61))),"",H61*$D$55)</f>
      </c>
      <c r="J61" s="138">
        <f>E61-E60</f>
      </c>
      <c r="K61" s="138">
        <f>J61*(1+$G$41+$J$7)</f>
      </c>
      <c r="L61" s="141">
        <f>(E61-$G$46)*(1+$G$41+$J$7)</f>
      </c>
    </row>
    <row r="62" ht="20" customHeight="1">
      <c r="A62"/>
      <c r="B62"/>
      <c r="C62" s="126" t="n">
        <v>0.3</v>
      </c>
      <c r="D62" s="138">
        <f>$D$45+$G$52-$D$45*C62</f>
      </c>
      <c r="E62" s="138">
        <f>$G$47/D62</f>
      </c>
      <c r="F62" s="129">
        <f>IF(OR(D62="",E62=""),"",E62/D62)</f>
      </c>
      <c r="G62" s="129">
        <f>IF(OR($D$55="",NOT(ISNUMBER(F62))),"",F62*$D$55)</f>
      </c>
      <c r="H62" s="138">
        <f>IF(NOT(ISNUMBER(F62)),"",F62*$D$45)</f>
      </c>
      <c r="I62" s="138">
        <f>IF(OR($D$55="",NOT(ISNUMBER(H62))),"",H62*$D$55)</f>
      </c>
      <c r="J62" s="138">
        <f>E62-E61</f>
      </c>
      <c r="K62" s="138">
        <f>J62*(1+$G$41+$J$7)</f>
      </c>
      <c r="L62" s="141">
        <f>(E62-$G$46)*(1+$G$41+$J$7)</f>
      </c>
    </row>
    <row r="63" ht="20" customHeight="1">
      <c r="A63"/>
      <c r="B63"/>
      <c r="C63" s="126" t="n">
        <v>0.4</v>
      </c>
      <c r="D63" s="138">
        <f>$D$45+$G$52-$D$45*C63</f>
      </c>
      <c r="E63" s="138">
        <f>$G$47/D63</f>
      </c>
      <c r="F63" s="129">
        <f>IF(OR(D63="",E63=""),"",E63/D63)</f>
      </c>
      <c r="G63" s="129">
        <f>IF(OR($D$55="",NOT(ISNUMBER(F63))),"",F63*$D$55)</f>
      </c>
      <c r="H63" s="138">
        <f>IF(NOT(ISNUMBER(F63)),"",F63*$D$45)</f>
      </c>
      <c r="I63" s="138">
        <f>IF(OR($D$55="",NOT(ISNUMBER(H63))),"",H63*$D$55)</f>
      </c>
      <c r="J63" s="138">
        <f>E63-E62</f>
      </c>
      <c r="K63" s="138">
        <f>J63*(1+$G$41+$J$7)</f>
      </c>
      <c r="L63" s="141">
        <f>(E63-$G$46)*(1+$G$41+$J$7)</f>
      </c>
    </row>
    <row r="64" ht="20" customHeight="1">
      <c r="A64"/>
      <c r="B64"/>
      <c r="C64" s="126" t="n">
        <v>0.5</v>
      </c>
      <c r="D64" s="138">
        <f>$D$45+$G$52-$D$45*C64</f>
      </c>
      <c r="E64" s="138">
        <f>$G$47/D64</f>
      </c>
      <c r="F64" s="129">
        <f>IF(OR(D64="",E64=""),"",E64/D64)</f>
      </c>
      <c r="G64" s="129">
        <f>IF(OR($D$55="",NOT(ISNUMBER(F64))),"",F64*$D$55)</f>
      </c>
      <c r="H64" s="138">
        <f>IF(NOT(ISNUMBER(F64)),"",F64*$D$45)</f>
      </c>
      <c r="I64" s="138">
        <f>IF(OR($D$55="",NOT(ISNUMBER(H64))),"",H64*$D$55)</f>
      </c>
      <c r="J64" s="138">
        <f>E64-E63</f>
      </c>
      <c r="K64" s="138">
        <f>J64*(1+$G$41+$J$7)</f>
      </c>
      <c r="L64" s="141">
        <f>(E64-$G$46)*(1+$G$41+$J$7)</f>
      </c>
    </row>
    <row r="65" ht="20" customHeight="1">
      <c r="A65"/>
      <c r="B65"/>
      <c r="C65" s="126" t="n">
        <v>0.6</v>
      </c>
      <c r="D65" s="138">
        <f>$D$45+$G$52-$D$45*C65</f>
      </c>
      <c r="E65" s="138">
        <f>$G$47/D65</f>
      </c>
      <c r="F65" s="129">
        <f>IF(OR(D65="",E65=""),"",E65/D65)</f>
      </c>
      <c r="G65" s="129">
        <f>IF(OR($D$55="",NOT(ISNUMBER(F65))),"",F65*$D$55)</f>
      </c>
      <c r="H65" s="138">
        <f>IF(NOT(ISNUMBER(F65)),"",F65*$D$45)</f>
      </c>
      <c r="I65" s="138">
        <f>IF(OR($D$55="",NOT(ISNUMBER(H65))),"",H65*$D$55)</f>
      </c>
      <c r="J65" s="138">
        <f>E65-E64</f>
      </c>
      <c r="K65" s="138">
        <f>J65*(1+$G$41+$J$7)</f>
      </c>
      <c r="L65" s="141">
        <f>(E65-$G$46)*(1+$G$41+$J$7)</f>
      </c>
    </row>
    <row r="66" ht="20" customHeight="1">
      <c r="A66"/>
      <c r="B66"/>
      <c r="C66" s="126" t="n">
        <v>0.7</v>
      </c>
      <c r="D66" s="138">
        <f>$D$45+$G$52-$D$45*C66</f>
      </c>
      <c r="E66" s="138">
        <f>$G$47/D66</f>
      </c>
      <c r="F66" s="129">
        <f>IF(OR(D66="",E66=""),"",E66/D66)</f>
      </c>
      <c r="G66" s="129">
        <f>IF(OR($D$55="",NOT(ISNUMBER(F66))),"",F66*$D$55)</f>
      </c>
      <c r="H66" s="138">
        <f>IF(NOT(ISNUMBER(F66)),"",F66*$D$45)</f>
      </c>
      <c r="I66" s="138">
        <f>IF(OR($D$55="",NOT(ISNUMBER(H66))),"",H66*$D$55)</f>
      </c>
      <c r="J66" s="138">
        <f>E66-E65</f>
      </c>
      <c r="K66" s="138">
        <f>J66*(1+$G$41+$J$7)</f>
      </c>
      <c r="L66" s="141">
        <f>(E66-$G$46)*(1+$G$41+$J$7)</f>
      </c>
    </row>
    <row r="67" ht="20" customHeight="1">
      <c r="A67"/>
      <c r="B67"/>
      <c r="C67" s="127">
        <f>$G$43</f>
      </c>
      <c r="D67" s="139">
        <f>$D$45+$G$52-$D$45*C67</f>
      </c>
      <c r="E67" s="139">
        <f>$G$47/D67</f>
      </c>
      <c r="F67" s="130">
        <f>IF(OR(D67="",E67=""),"",E67/D67)</f>
      </c>
      <c r="G67" s="130">
        <f>IF(OR($D$55="",NOT(ISNUMBER(F67))),"",F67*$D$55)</f>
      </c>
      <c r="H67" s="139">
        <f>IF(NOT(ISNUMBER(F67)),"",F67*$D$45)</f>
      </c>
      <c r="I67" s="139">
        <f>IF(OR($D$55="",NOT(ISNUMBER(H67))),"",H67*$D$55)</f>
      </c>
      <c r="J67" s="139">
        <f>E67-E66</f>
      </c>
      <c r="K67" s="139">
        <f>J67*(1+$G$41+$J$7)</f>
      </c>
      <c r="L67" s="142">
        <f>(E67-$G$46)*(1+$G$41+$J$7)</f>
      </c>
    </row>
    <row r="68" ht="20" customHeight="1">
      <c r="A68"/>
      <c r="B68"/>
      <c r="C68" s="100"/>
      <c r="D68" s="100"/>
      <c r="E68" s="100"/>
      <c r="F68" s="100"/>
      <c r="G68" s="100"/>
      <c r="H68" s="100"/>
      <c r="I68" s="100"/>
      <c r="J68" s="100"/>
      <c r="K68" s="100"/>
      <c r="L68" s="100"/>
    </row>
    <row r="69" ht="20" customHeight="1">
      <c r="A69"/>
      <c r="B69"/>
      <c r="C69" s="100"/>
      <c r="D69" s="100"/>
      <c r="E69" s="100"/>
      <c r="F69" s="100"/>
      <c r="G69" s="100"/>
      <c r="H69" s="100"/>
      <c r="I69" s="100"/>
      <c r="J69" s="100"/>
      <c r="K69" s="100"/>
      <c r="L69" s="100"/>
    </row>
    <row r="70" ht="24" customHeight="1">
      <c r="A70"/>
      <c r="B70"/>
      <c r="C70" s="8" t="str">
        <v>外盘曲线</v>
      </c>
      <c r="D70" s="8"/>
      <c r="E70" s="8"/>
      <c r="F70" s="8"/>
      <c r="G70" s="8"/>
      <c r="H70" s="8"/>
      <c r="I70" s="8"/>
      <c r="J70" s="8"/>
      <c r="K70" s="8"/>
      <c r="L70" s="8"/>
    </row>
    <row r="71" ht="32" customHeight="1">
      <c r="A71"/>
      <c r="B71"/>
      <c r="C71" s="71" t="str">
        <v>控筹率</v>
      </c>
      <c r="D71" s="71" t="str">
        <v>pooled TOKEN</v>
      </c>
      <c r="E71" s="71" t="str">
        <v>pooled Quote</v>
      </c>
      <c r="F71" s="71" t="str">
        <v>价格 / Quote</v>
      </c>
      <c r="G71" s="71" t="str">
        <v>价格 / USDT</v>
      </c>
      <c r="H71" s="71" t="str">
        <v>市值 / Quote</v>
      </c>
      <c r="I71" s="71" t="str">
        <v>市值 / USDT</v>
      </c>
      <c r="J71" s="71" t="str">
        <v>外盘净投入
/ Quote</v>
      </c>
      <c r="K71" s="71" t="str">
        <v>外盘含费
/ Quote</v>
      </c>
      <c r="L71" s="71" t="str">
        <v>理论累计所需
/ Quote</v>
      </c>
    </row>
    <row r="72" ht="20" customHeight="1">
      <c r="A72"/>
      <c r="B72"/>
      <c r="C72" s="125">
        <f>$G$43</f>
      </c>
      <c r="D72" s="137">
        <f>$G$48</f>
      </c>
      <c r="E72" s="137">
        <f>$G$44</f>
      </c>
      <c r="F72" s="128">
        <f>IF(OR(D72="",E72=""),"",E72/D72)</f>
      </c>
      <c r="G72" s="128">
        <f>IF(OR($D$55="",NOT(ISNUMBER(F72))),"",F72*$D$55)</f>
      </c>
      <c r="H72" s="137">
        <f>IF(NOT(ISNUMBER(F72)),"",F72*$D$45)</f>
      </c>
      <c r="I72" s="137">
        <f>IF(OR($D$55="",NOT(ISNUMBER(H72))),"",H72*$D$55)</f>
      </c>
      <c r="J72" s="137">
        <f>0</f>
      </c>
      <c r="K72" s="137">
        <f>0</f>
      </c>
      <c r="L72" s="140">
        <f>$J$41</f>
      </c>
    </row>
    <row r="73" ht="20" customHeight="1">
      <c r="A73"/>
      <c r="B73"/>
      <c r="C73" s="126" t="n">
        <v>0.805</v>
      </c>
      <c r="D73" s="138">
        <f>IF(C73&lt;$D$54,$G$48-MAX(0,(C73-$G$43)*$D$45)/(1-$J$7),"")</f>
      </c>
      <c r="E73" s="138">
        <f>IF(D73="","",$G$50/D73)</f>
      </c>
      <c r="F73" s="129">
        <f>IF(OR(D73="",E73=""),"",E73/D73)</f>
      </c>
      <c r="G73" s="129">
        <f>IF(OR($D$55="",NOT(ISNUMBER(F73))),"",F73*$D$55)</f>
      </c>
      <c r="H73" s="138">
        <f>IF(NOT(ISNUMBER(F73)),"",F73*$D$45)</f>
      </c>
      <c r="I73" s="138">
        <f>IF(OR($D$55="",NOT(ISNUMBER(H73))),"",H73*$D$55)</f>
      </c>
      <c r="J73" s="138">
        <f>IF(E73="","",MAX(0,E73-$G$44))</f>
      </c>
      <c r="K73" s="138">
        <f>IF(J73="","",J73*(1+$G$42))</f>
      </c>
      <c r="L73" s="141">
        <f>IF(K73="","",$J$41+K73)</f>
      </c>
    </row>
    <row r="74" ht="20" customHeight="1">
      <c r="A74"/>
      <c r="B74"/>
      <c r="C74" s="126" t="n">
        <v>0.81</v>
      </c>
      <c r="D74" s="138">
        <f>IF(C74&lt;$D$54,$G$48-MAX(0,(C74-$G$43)*$D$45)/(1-$J$7),"")</f>
      </c>
      <c r="E74" s="138">
        <f>IF(D74="","",$G$50/D74)</f>
      </c>
      <c r="F74" s="129">
        <f>IF(OR(D74="",E74=""),"",E74/D74)</f>
      </c>
      <c r="G74" s="129">
        <f>IF(OR($D$55="",NOT(ISNUMBER(F74))),"",F74*$D$55)</f>
      </c>
      <c r="H74" s="138">
        <f>IF(NOT(ISNUMBER(F74)),"",F74*$D$45)</f>
      </c>
      <c r="I74" s="138">
        <f>IF(OR($D$55="",NOT(ISNUMBER(H74))),"",H74*$D$55)</f>
      </c>
      <c r="J74" s="138">
        <f>IF(E74="","",MAX(0,E74-$G$44))</f>
      </c>
      <c r="K74" s="138">
        <f>IF(J74="","",J74*(1+$G$42))</f>
      </c>
      <c r="L74" s="141">
        <f>IF(K74="","",$J$41+K74)</f>
      </c>
    </row>
    <row r="75" ht="20" customHeight="1">
      <c r="A75"/>
      <c r="B75"/>
      <c r="C75" s="126" t="n">
        <v>0.8150000000000001</v>
      </c>
      <c r="D75" s="138">
        <f>IF(C75&lt;$D$54,$G$48-MAX(0,(C75-$G$43)*$D$45)/(1-$J$7),"")</f>
      </c>
      <c r="E75" s="138">
        <f>IF(D75="","",$G$50/D75)</f>
      </c>
      <c r="F75" s="129">
        <f>IF(OR(D75="",E75=""),"",E75/D75)</f>
      </c>
      <c r="G75" s="129">
        <f>IF(OR($D$55="",NOT(ISNUMBER(F75))),"",F75*$D$55)</f>
      </c>
      <c r="H75" s="138">
        <f>IF(NOT(ISNUMBER(F75)),"",F75*$D$45)</f>
      </c>
      <c r="I75" s="138">
        <f>IF(OR($D$55="",NOT(ISNUMBER(H75))),"",H75*$D$55)</f>
      </c>
      <c r="J75" s="138">
        <f>IF(E75="","",MAX(0,E75-$G$44))</f>
      </c>
      <c r="K75" s="138">
        <f>IF(J75="","",J75*(1+$G$42))</f>
      </c>
      <c r="L75" s="141">
        <f>IF(K75="","",$J$41+K75)</f>
      </c>
    </row>
    <row r="76" ht="20" customHeight="1">
      <c r="A76"/>
      <c r="B76"/>
      <c r="C76" s="126" t="n">
        <v>0.8200000000000001</v>
      </c>
      <c r="D76" s="138">
        <f>IF(C76&lt;$D$54,$G$48-MAX(0,(C76-$G$43)*$D$45)/(1-$J$7),"")</f>
      </c>
      <c r="E76" s="138">
        <f>IF(D76="","",$G$50/D76)</f>
      </c>
      <c r="F76" s="129">
        <f>IF(OR(D76="",E76=""),"",E76/D76)</f>
      </c>
      <c r="G76" s="129">
        <f>IF(OR($D$55="",NOT(ISNUMBER(F76))),"",F76*$D$55)</f>
      </c>
      <c r="H76" s="138">
        <f>IF(NOT(ISNUMBER(F76)),"",F76*$D$45)</f>
      </c>
      <c r="I76" s="138">
        <f>IF(OR($D$55="",NOT(ISNUMBER(H76))),"",H76*$D$55)</f>
      </c>
      <c r="J76" s="138">
        <f>IF(E76="","",MAX(0,E76-$G$44))</f>
      </c>
      <c r="K76" s="138">
        <f>IF(J76="","",J76*(1+$G$42))</f>
      </c>
      <c r="L76" s="141">
        <f>IF(K76="","",$J$41+K76)</f>
      </c>
    </row>
    <row r="77" ht="20" customHeight="1">
      <c r="A77"/>
      <c r="B77"/>
      <c r="C77" s="126" t="n">
        <v>0.8250000000000001</v>
      </c>
      <c r="D77" s="138">
        <f>IF(C77&lt;$D$54,$G$48-MAX(0,(C77-$G$43)*$D$45)/(1-$J$7),"")</f>
      </c>
      <c r="E77" s="138">
        <f>IF(D77="","",$G$50/D77)</f>
      </c>
      <c r="F77" s="129">
        <f>IF(OR(D77="",E77=""),"",E77/D77)</f>
      </c>
      <c r="G77" s="129">
        <f>IF(OR($D$55="",NOT(ISNUMBER(F77))),"",F77*$D$55)</f>
      </c>
      <c r="H77" s="138">
        <f>IF(NOT(ISNUMBER(F77)),"",F77*$D$45)</f>
      </c>
      <c r="I77" s="138">
        <f>IF(OR($D$55="",NOT(ISNUMBER(H77))),"",H77*$D$55)</f>
      </c>
      <c r="J77" s="138">
        <f>IF(E77="","",MAX(0,E77-$G$44))</f>
      </c>
      <c r="K77" s="138">
        <f>IF(J77="","",J77*(1+$G$42))</f>
      </c>
      <c r="L77" s="141">
        <f>IF(K77="","",$J$41+K77)</f>
      </c>
    </row>
    <row r="78" ht="20" customHeight="1">
      <c r="A78"/>
      <c r="B78"/>
      <c r="C78" s="126" t="n">
        <v>0.8300000000000001</v>
      </c>
      <c r="D78" s="138">
        <f>IF(C78&lt;$D$54,$G$48-MAX(0,(C78-$G$43)*$D$45)/(1-$J$7),"")</f>
      </c>
      <c r="E78" s="138">
        <f>IF(D78="","",$G$50/D78)</f>
      </c>
      <c r="F78" s="129">
        <f>IF(OR(D78="",E78=""),"",E78/D78)</f>
      </c>
      <c r="G78" s="129">
        <f>IF(OR($D$55="",NOT(ISNUMBER(F78))),"",F78*$D$55)</f>
      </c>
      <c r="H78" s="138">
        <f>IF(NOT(ISNUMBER(F78)),"",F78*$D$45)</f>
      </c>
      <c r="I78" s="138">
        <f>IF(OR($D$55="",NOT(ISNUMBER(H78))),"",H78*$D$55)</f>
      </c>
      <c r="J78" s="138">
        <f>IF(E78="","",MAX(0,E78-$G$44))</f>
      </c>
      <c r="K78" s="138">
        <f>IF(J78="","",J78*(1+$G$42))</f>
      </c>
      <c r="L78" s="141">
        <f>IF(K78="","",$J$41+K78)</f>
      </c>
    </row>
    <row r="79" ht="20" customHeight="1">
      <c r="A79"/>
      <c r="B79"/>
      <c r="C79" s="126" t="n">
        <v>0.8350000000000001</v>
      </c>
      <c r="D79" s="138">
        <f>IF(C79&lt;$D$54,$G$48-MAX(0,(C79-$G$43)*$D$45)/(1-$J$7),"")</f>
      </c>
      <c r="E79" s="138">
        <f>IF(D79="","",$G$50/D79)</f>
      </c>
      <c r="F79" s="129">
        <f>IF(OR(D79="",E79=""),"",E79/D79)</f>
      </c>
      <c r="G79" s="129">
        <f>IF(OR($D$55="",NOT(ISNUMBER(F79))),"",F79*$D$55)</f>
      </c>
      <c r="H79" s="138">
        <f>IF(NOT(ISNUMBER(F79)),"",F79*$D$45)</f>
      </c>
      <c r="I79" s="138">
        <f>IF(OR($D$55="",NOT(ISNUMBER(H79))),"",H79*$D$55)</f>
      </c>
      <c r="J79" s="138">
        <f>IF(E79="","",MAX(0,E79-$G$44))</f>
      </c>
      <c r="K79" s="138">
        <f>IF(J79="","",J79*(1+$G$42))</f>
      </c>
      <c r="L79" s="141">
        <f>IF(K79="","",$J$41+K79)</f>
      </c>
    </row>
    <row r="80" ht="20" customHeight="1">
      <c r="A80"/>
      <c r="B80"/>
      <c r="C80" s="126" t="n">
        <v>0.8400000000000001</v>
      </c>
      <c r="D80" s="138">
        <f>IF(C80&lt;$D$54,$G$48-MAX(0,(C80-$G$43)*$D$45)/(1-$J$7),"")</f>
      </c>
      <c r="E80" s="138">
        <f>IF(D80="","",$G$50/D80)</f>
      </c>
      <c r="F80" s="129">
        <f>IF(OR(D80="",E80=""),"",E80/D80)</f>
      </c>
      <c r="G80" s="129">
        <f>IF(OR($D$55="",NOT(ISNUMBER(F80))),"",F80*$D$55)</f>
      </c>
      <c r="H80" s="138">
        <f>IF(NOT(ISNUMBER(F80)),"",F80*$D$45)</f>
      </c>
      <c r="I80" s="138">
        <f>IF(OR($D$55="",NOT(ISNUMBER(H80))),"",H80*$D$55)</f>
      </c>
      <c r="J80" s="138">
        <f>IF(E80="","",MAX(0,E80-$G$44))</f>
      </c>
      <c r="K80" s="138">
        <f>IF(J80="","",J80*(1+$G$42))</f>
      </c>
      <c r="L80" s="141">
        <f>IF(K80="","",$J$41+K80)</f>
      </c>
    </row>
    <row r="81" ht="20" customHeight="1">
      <c r="A81"/>
      <c r="B81"/>
      <c r="C81" s="126" t="n">
        <v>0.8450000000000001</v>
      </c>
      <c r="D81" s="138">
        <f>IF(C81&lt;$D$54,$G$48-MAX(0,(C81-$G$43)*$D$45)/(1-$J$7),"")</f>
      </c>
      <c r="E81" s="138">
        <f>IF(D81="","",$G$50/D81)</f>
      </c>
      <c r="F81" s="129">
        <f>IF(OR(D81="",E81=""),"",E81/D81)</f>
      </c>
      <c r="G81" s="129">
        <f>IF(OR($D$55="",NOT(ISNUMBER(F81))),"",F81*$D$55)</f>
      </c>
      <c r="H81" s="138">
        <f>IF(NOT(ISNUMBER(F81)),"",F81*$D$45)</f>
      </c>
      <c r="I81" s="138">
        <f>IF(OR($D$55="",NOT(ISNUMBER(H81))),"",H81*$D$55)</f>
      </c>
      <c r="J81" s="138">
        <f>IF(E81="","",MAX(0,E81-$G$44))</f>
      </c>
      <c r="K81" s="138">
        <f>IF(J81="","",J81*(1+$G$42))</f>
      </c>
      <c r="L81" s="141">
        <f>IF(K81="","",$J$41+K81)</f>
      </c>
    </row>
    <row r="82" ht="20" customHeight="1">
      <c r="A82"/>
      <c r="B82"/>
      <c r="C82" s="126" t="n">
        <v>0.8500000000000001</v>
      </c>
      <c r="D82" s="138">
        <f>IF(C82&lt;$D$54,$G$48-MAX(0,(C82-$G$43)*$D$45)/(1-$J$7),"")</f>
      </c>
      <c r="E82" s="138">
        <f>IF(D82="","",$G$50/D82)</f>
      </c>
      <c r="F82" s="129">
        <f>IF(OR(D82="",E82=""),"",E82/D82)</f>
      </c>
      <c r="G82" s="129">
        <f>IF(OR($D$55="",NOT(ISNUMBER(F82))),"",F82*$D$55)</f>
      </c>
      <c r="H82" s="138">
        <f>IF(NOT(ISNUMBER(F82)),"",F82*$D$45)</f>
      </c>
      <c r="I82" s="138">
        <f>IF(OR($D$55="",NOT(ISNUMBER(H82))),"",H82*$D$55)</f>
      </c>
      <c r="J82" s="138">
        <f>IF(E82="","",MAX(0,E82-$G$44))</f>
      </c>
      <c r="K82" s="138">
        <f>IF(J82="","",J82*(1+$G$42))</f>
      </c>
      <c r="L82" s="141">
        <f>IF(K82="","",$J$41+K82)</f>
      </c>
    </row>
    <row r="83" ht="20" customHeight="1">
      <c r="A83"/>
      <c r="B83"/>
      <c r="C83" s="126" t="n">
        <v>0.8550000000000001</v>
      </c>
      <c r="D83" s="138">
        <f>IF(C83&lt;$D$54,$G$48-MAX(0,(C83-$G$43)*$D$45)/(1-$J$7),"")</f>
      </c>
      <c r="E83" s="138">
        <f>IF(D83="","",$G$50/D83)</f>
      </c>
      <c r="F83" s="129">
        <f>IF(OR(D83="",E83=""),"",E83/D83)</f>
      </c>
      <c r="G83" s="129">
        <f>IF(OR($D$55="",NOT(ISNUMBER(F83))),"",F83*$D$55)</f>
      </c>
      <c r="H83" s="138">
        <f>IF(NOT(ISNUMBER(F83)),"",F83*$D$45)</f>
      </c>
      <c r="I83" s="138">
        <f>IF(OR($D$55="",NOT(ISNUMBER(H83))),"",H83*$D$55)</f>
      </c>
      <c r="J83" s="138">
        <f>IF(E83="","",MAX(0,E83-$G$44))</f>
      </c>
      <c r="K83" s="138">
        <f>IF(J83="","",J83*(1+$G$42))</f>
      </c>
      <c r="L83" s="141">
        <f>IF(K83="","",$J$41+K83)</f>
      </c>
    </row>
    <row r="84" ht="20" customHeight="1">
      <c r="A84"/>
      <c r="B84"/>
      <c r="C84" s="126" t="n">
        <v>0.8600000000000001</v>
      </c>
      <c r="D84" s="138">
        <f>IF(C84&lt;$D$54,$G$48-MAX(0,(C84-$G$43)*$D$45)/(1-$J$7),"")</f>
      </c>
      <c r="E84" s="138">
        <f>IF(D84="","",$G$50/D84)</f>
      </c>
      <c r="F84" s="129">
        <f>IF(OR(D84="",E84=""),"",E84/D84)</f>
      </c>
      <c r="G84" s="129">
        <f>IF(OR($D$55="",NOT(ISNUMBER(F84))),"",F84*$D$55)</f>
      </c>
      <c r="H84" s="138">
        <f>IF(NOT(ISNUMBER(F84)),"",F84*$D$45)</f>
      </c>
      <c r="I84" s="138">
        <f>IF(OR($D$55="",NOT(ISNUMBER(H84))),"",H84*$D$55)</f>
      </c>
      <c r="J84" s="138">
        <f>IF(E84="","",MAX(0,E84-$G$44))</f>
      </c>
      <c r="K84" s="138">
        <f>IF(J84="","",J84*(1+$G$42))</f>
      </c>
      <c r="L84" s="141">
        <f>IF(K84="","",$J$41+K84)</f>
      </c>
    </row>
    <row r="85" ht="20" customHeight="1">
      <c r="A85"/>
      <c r="B85"/>
      <c r="C85" s="126" t="n">
        <v>0.865</v>
      </c>
      <c r="D85" s="138">
        <f>IF(C85&lt;$D$54,$G$48-MAX(0,(C85-$G$43)*$D$45)/(1-$J$7),"")</f>
      </c>
      <c r="E85" s="138">
        <f>IF(D85="","",$G$50/D85)</f>
      </c>
      <c r="F85" s="129">
        <f>IF(OR(D85="",E85=""),"",E85/D85)</f>
      </c>
      <c r="G85" s="129">
        <f>IF(OR($D$55="",NOT(ISNUMBER(F85))),"",F85*$D$55)</f>
      </c>
      <c r="H85" s="138">
        <f>IF(NOT(ISNUMBER(F85)),"",F85*$D$45)</f>
      </c>
      <c r="I85" s="138">
        <f>IF(OR($D$55="",NOT(ISNUMBER(H85))),"",H85*$D$55)</f>
      </c>
      <c r="J85" s="138">
        <f>IF(E85="","",MAX(0,E85-$G$44))</f>
      </c>
      <c r="K85" s="138">
        <f>IF(J85="","",J85*(1+$G$42))</f>
      </c>
      <c r="L85" s="141">
        <f>IF(K85="","",$J$41+K85)</f>
      </c>
    </row>
    <row r="86" ht="20" customHeight="1">
      <c r="A86"/>
      <c r="B86"/>
      <c r="C86" s="126" t="n">
        <v>0.8700000000000001</v>
      </c>
      <c r="D86" s="138">
        <f>IF(C86&lt;$D$54,$G$48-MAX(0,(C86-$G$43)*$D$45)/(1-$J$7),"")</f>
      </c>
      <c r="E86" s="138">
        <f>IF(D86="","",$G$50/D86)</f>
      </c>
      <c r="F86" s="129">
        <f>IF(OR(D86="",E86=""),"",E86/D86)</f>
      </c>
      <c r="G86" s="129">
        <f>IF(OR($D$55="",NOT(ISNUMBER(F86))),"",F86*$D$55)</f>
      </c>
      <c r="H86" s="138">
        <f>IF(NOT(ISNUMBER(F86)),"",F86*$D$45)</f>
      </c>
      <c r="I86" s="138">
        <f>IF(OR($D$55="",NOT(ISNUMBER(H86))),"",H86*$D$55)</f>
      </c>
      <c r="J86" s="138">
        <f>IF(E86="","",MAX(0,E86-$G$44))</f>
      </c>
      <c r="K86" s="138">
        <f>IF(J86="","",J86*(1+$G$42))</f>
      </c>
      <c r="L86" s="141">
        <f>IF(K86="","",$J$41+K86)</f>
      </c>
    </row>
    <row r="87" ht="20" customHeight="1">
      <c r="A87"/>
      <c r="B87"/>
      <c r="C87" s="126" t="n">
        <v>0.875</v>
      </c>
      <c r="D87" s="138">
        <f>IF(C87&lt;$D$54,$G$48-MAX(0,(C87-$G$43)*$D$45)/(1-$J$7),"")</f>
      </c>
      <c r="E87" s="138">
        <f>IF(D87="","",$G$50/D87)</f>
      </c>
      <c r="F87" s="129">
        <f>IF(OR(D87="",E87=""),"",E87/D87)</f>
      </c>
      <c r="G87" s="129">
        <f>IF(OR($D$55="",NOT(ISNUMBER(F87))),"",F87*$D$55)</f>
      </c>
      <c r="H87" s="138">
        <f>IF(NOT(ISNUMBER(F87)),"",F87*$D$45)</f>
      </c>
      <c r="I87" s="138">
        <f>IF(OR($D$55="",NOT(ISNUMBER(H87))),"",H87*$D$55)</f>
      </c>
      <c r="J87" s="138">
        <f>IF(E87="","",MAX(0,E87-$G$44))</f>
      </c>
      <c r="K87" s="138">
        <f>IF(J87="","",J87*(1+$G$42))</f>
      </c>
      <c r="L87" s="141">
        <f>IF(K87="","",$J$41+K87)</f>
      </c>
    </row>
    <row r="88" ht="20" customHeight="1">
      <c r="A88"/>
      <c r="B88"/>
      <c r="C88" s="126" t="n">
        <v>0.88</v>
      </c>
      <c r="D88" s="138">
        <f>IF(C88&lt;$D$54,$G$48-MAX(0,(C88-$G$43)*$D$45)/(1-$J$7),"")</f>
      </c>
      <c r="E88" s="138">
        <f>IF(D88="","",$G$50/D88)</f>
      </c>
      <c r="F88" s="129">
        <f>IF(OR(D88="",E88=""),"",E88/D88)</f>
      </c>
      <c r="G88" s="129">
        <f>IF(OR($D$55="",NOT(ISNUMBER(F88))),"",F88*$D$55)</f>
      </c>
      <c r="H88" s="138">
        <f>IF(NOT(ISNUMBER(F88)),"",F88*$D$45)</f>
      </c>
      <c r="I88" s="138">
        <f>IF(OR($D$55="",NOT(ISNUMBER(H88))),"",H88*$D$55)</f>
      </c>
      <c r="J88" s="138">
        <f>IF(E88="","",MAX(0,E88-$G$44))</f>
      </c>
      <c r="K88" s="138">
        <f>IF(J88="","",J88*(1+$G$42))</f>
      </c>
      <c r="L88" s="141">
        <f>IF(K88="","",$J$41+K88)</f>
      </c>
    </row>
    <row r="89" ht="20" customHeight="1">
      <c r="A89"/>
      <c r="B89"/>
      <c r="C89" s="126" t="n">
        <v>0.885</v>
      </c>
      <c r="D89" s="138">
        <f>IF(C89&lt;$D$54,$G$48-MAX(0,(C89-$G$43)*$D$45)/(1-$J$7),"")</f>
      </c>
      <c r="E89" s="138">
        <f>IF(D89="","",$G$50/D89)</f>
      </c>
      <c r="F89" s="129">
        <f>IF(OR(D89="",E89=""),"",E89/D89)</f>
      </c>
      <c r="G89" s="129">
        <f>IF(OR($D$55="",NOT(ISNUMBER(F89))),"",F89*$D$55)</f>
      </c>
      <c r="H89" s="138">
        <f>IF(NOT(ISNUMBER(F89)),"",F89*$D$45)</f>
      </c>
      <c r="I89" s="138">
        <f>IF(OR($D$55="",NOT(ISNUMBER(H89))),"",H89*$D$55)</f>
      </c>
      <c r="J89" s="138">
        <f>IF(E89="","",MAX(0,E89-$G$44))</f>
      </c>
      <c r="K89" s="138">
        <f>IF(J89="","",J89*(1+$G$42))</f>
      </c>
      <c r="L89" s="141">
        <f>IF(K89="","",$J$41+K89)</f>
      </c>
    </row>
    <row r="90" ht="20" customHeight="1">
      <c r="A90"/>
      <c r="B90"/>
      <c r="C90" s="126" t="n">
        <v>0.89</v>
      </c>
      <c r="D90" s="138">
        <f>IF(C90&lt;$D$54,$G$48-MAX(0,(C90-$G$43)*$D$45)/(1-$J$7),"")</f>
      </c>
      <c r="E90" s="138">
        <f>IF(D90="","",$G$50/D90)</f>
      </c>
      <c r="F90" s="129">
        <f>IF(OR(D90="",E90=""),"",E90/D90)</f>
      </c>
      <c r="G90" s="129">
        <f>IF(OR($D$55="",NOT(ISNUMBER(F90))),"",F90*$D$55)</f>
      </c>
      <c r="H90" s="138">
        <f>IF(NOT(ISNUMBER(F90)),"",F90*$D$45)</f>
      </c>
      <c r="I90" s="138">
        <f>IF(OR($D$55="",NOT(ISNUMBER(H90))),"",H90*$D$55)</f>
      </c>
      <c r="J90" s="138">
        <f>IF(E90="","",MAX(0,E90-$G$44))</f>
      </c>
      <c r="K90" s="138">
        <f>IF(J90="","",J90*(1+$G$42))</f>
      </c>
      <c r="L90" s="141">
        <f>IF(K90="","",$J$41+K90)</f>
      </c>
    </row>
    <row r="91" ht="20" customHeight="1">
      <c r="A91"/>
      <c r="B91"/>
      <c r="C91" s="126" t="n">
        <v>0.895</v>
      </c>
      <c r="D91" s="138">
        <f>IF(C91&lt;$D$54,$G$48-MAX(0,(C91-$G$43)*$D$45)/(1-$J$7),"")</f>
      </c>
      <c r="E91" s="138">
        <f>IF(D91="","",$G$50/D91)</f>
      </c>
      <c r="F91" s="129">
        <f>IF(OR(D91="",E91=""),"",E91/D91)</f>
      </c>
      <c r="G91" s="129">
        <f>IF(OR($D$55="",NOT(ISNUMBER(F91))),"",F91*$D$55)</f>
      </c>
      <c r="H91" s="138">
        <f>IF(NOT(ISNUMBER(F91)),"",F91*$D$45)</f>
      </c>
      <c r="I91" s="138">
        <f>IF(OR($D$55="",NOT(ISNUMBER(H91))),"",H91*$D$55)</f>
      </c>
      <c r="J91" s="138">
        <f>IF(E91="","",MAX(0,E91-$G$44))</f>
      </c>
      <c r="K91" s="138">
        <f>IF(J91="","",J91*(1+$G$42))</f>
      </c>
      <c r="L91" s="141">
        <f>IF(K91="","",$J$41+K91)</f>
      </c>
    </row>
    <row r="92" ht="20" customHeight="1">
      <c r="A92"/>
      <c r="B92"/>
      <c r="C92" s="126" t="n">
        <v>0.9</v>
      </c>
      <c r="D92" s="138">
        <f>IF(C92&lt;$D$54,$G$48-MAX(0,(C92-$G$43)*$D$45)/(1-$J$7),"")</f>
      </c>
      <c r="E92" s="138">
        <f>IF(D92="","",$G$50/D92)</f>
      </c>
      <c r="F92" s="129">
        <f>IF(OR(D92="",E92=""),"",E92/D92)</f>
      </c>
      <c r="G92" s="129">
        <f>IF(OR($D$55="",NOT(ISNUMBER(F92))),"",F92*$D$55)</f>
      </c>
      <c r="H92" s="138">
        <f>IF(NOT(ISNUMBER(F92)),"",F92*$D$45)</f>
      </c>
      <c r="I92" s="138">
        <f>IF(OR($D$55="",NOT(ISNUMBER(H92))),"",H92*$D$55)</f>
      </c>
      <c r="J92" s="138">
        <f>IF(E92="","",MAX(0,E92-$G$44))</f>
      </c>
      <c r="K92" s="138">
        <f>IF(J92="","",J92*(1+$G$42))</f>
      </c>
      <c r="L92" s="141">
        <f>IF(K92="","",$J$41+K92)</f>
      </c>
    </row>
    <row r="93" ht="20" customHeight="1">
      <c r="A93"/>
      <c r="B93"/>
      <c r="C93" s="126" t="n">
        <v>0.905</v>
      </c>
      <c r="D93" s="138">
        <f>IF(C93&lt;$D$54,$G$48-MAX(0,(C93-$G$43)*$D$45)/(1-$J$7),"")</f>
      </c>
      <c r="E93" s="138">
        <f>IF(D93="","",$G$50/D93)</f>
      </c>
      <c r="F93" s="129">
        <f>IF(OR(D93="",E93=""),"",E93/D93)</f>
      </c>
      <c r="G93" s="129">
        <f>IF(OR($D$55="",NOT(ISNUMBER(F93))),"",F93*$D$55)</f>
      </c>
      <c r="H93" s="138">
        <f>IF(NOT(ISNUMBER(F93)),"",F93*$D$45)</f>
      </c>
      <c r="I93" s="138">
        <f>IF(OR($D$55="",NOT(ISNUMBER(H93))),"",H93*$D$55)</f>
      </c>
      <c r="J93" s="138">
        <f>IF(E93="","",MAX(0,E93-$G$44))</f>
      </c>
      <c r="K93" s="138">
        <f>IF(J93="","",J93*(1+$G$42))</f>
      </c>
      <c r="L93" s="141">
        <f>IF(K93="","",$J$41+K93)</f>
      </c>
    </row>
    <row r="94" ht="20" customHeight="1">
      <c r="A94"/>
      <c r="B94"/>
      <c r="C94" s="126" t="n">
        <v>0.91</v>
      </c>
      <c r="D94" s="138">
        <f>IF(C94&lt;$D$54,$G$48-MAX(0,(C94-$G$43)*$D$45)/(1-$J$7),"")</f>
      </c>
      <c r="E94" s="138">
        <f>IF(D94="","",$G$50/D94)</f>
      </c>
      <c r="F94" s="129">
        <f>IF(OR(D94="",E94=""),"",E94/D94)</f>
      </c>
      <c r="G94" s="129">
        <f>IF(OR($D$55="",NOT(ISNUMBER(F94))),"",F94*$D$55)</f>
      </c>
      <c r="H94" s="138">
        <f>IF(NOT(ISNUMBER(F94)),"",F94*$D$45)</f>
      </c>
      <c r="I94" s="138">
        <f>IF(OR($D$55="",NOT(ISNUMBER(H94))),"",H94*$D$55)</f>
      </c>
      <c r="J94" s="138">
        <f>IF(E94="","",MAX(0,E94-$G$44))</f>
      </c>
      <c r="K94" s="138">
        <f>IF(J94="","",J94*(1+$G$42))</f>
      </c>
      <c r="L94" s="141">
        <f>IF(K94="","",$J$41+K94)</f>
      </c>
    </row>
    <row r="95" ht="20" customHeight="1">
      <c r="A95"/>
      <c r="B95"/>
      <c r="C95" s="126" t="n">
        <v>0.915</v>
      </c>
      <c r="D95" s="138">
        <f>IF(C95&lt;$D$54,$G$48-MAX(0,(C95-$G$43)*$D$45)/(1-$J$7),"")</f>
      </c>
      <c r="E95" s="138">
        <f>IF(D95="","",$G$50/D95)</f>
      </c>
      <c r="F95" s="129">
        <f>IF(OR(D95="",E95=""),"",E95/D95)</f>
      </c>
      <c r="G95" s="129">
        <f>IF(OR($D$55="",NOT(ISNUMBER(F95))),"",F95*$D$55)</f>
      </c>
      <c r="H95" s="138">
        <f>IF(NOT(ISNUMBER(F95)),"",F95*$D$45)</f>
      </c>
      <c r="I95" s="138">
        <f>IF(OR($D$55="",NOT(ISNUMBER(H95))),"",H95*$D$55)</f>
      </c>
      <c r="J95" s="138">
        <f>IF(E95="","",MAX(0,E95-$G$44))</f>
      </c>
      <c r="K95" s="138">
        <f>IF(J95="","",J95*(1+$G$42))</f>
      </c>
      <c r="L95" s="141">
        <f>IF(K95="","",$J$41+K95)</f>
      </c>
    </row>
    <row r="96" ht="20" customHeight="1">
      <c r="A96"/>
      <c r="B96"/>
      <c r="C96" s="126" t="n">
        <v>0.92</v>
      </c>
      <c r="D96" s="138">
        <f>IF(C96&lt;$D$54,$G$48-MAX(0,(C96-$G$43)*$D$45)/(1-$J$7),"")</f>
      </c>
      <c r="E96" s="138">
        <f>IF(D96="","",$G$50/D96)</f>
      </c>
      <c r="F96" s="129">
        <f>IF(OR(D96="",E96=""),"",E96/D96)</f>
      </c>
      <c r="G96" s="129">
        <f>IF(OR($D$55="",NOT(ISNUMBER(F96))),"",F96*$D$55)</f>
      </c>
      <c r="H96" s="138">
        <f>IF(NOT(ISNUMBER(F96)),"",F96*$D$45)</f>
      </c>
      <c r="I96" s="138">
        <f>IF(OR($D$55="",NOT(ISNUMBER(H96))),"",H96*$D$55)</f>
      </c>
      <c r="J96" s="138">
        <f>IF(E96="","",MAX(0,E96-$G$44))</f>
      </c>
      <c r="K96" s="138">
        <f>IF(J96="","",J96*(1+$G$42))</f>
      </c>
      <c r="L96" s="141">
        <f>IF(K96="","",$J$41+K96)</f>
      </c>
    </row>
    <row r="97" ht="20" customHeight="1">
      <c r="A97"/>
      <c r="B97"/>
      <c r="C97" s="126" t="n">
        <v>0.925</v>
      </c>
      <c r="D97" s="138">
        <f>IF(C97&lt;$D$54,$G$48-MAX(0,(C97-$G$43)*$D$45)/(1-$J$7),"")</f>
      </c>
      <c r="E97" s="138">
        <f>IF(D97="","",$G$50/D97)</f>
      </c>
      <c r="F97" s="129">
        <f>IF(OR(D97="",E97=""),"",E97/D97)</f>
      </c>
      <c r="G97" s="129">
        <f>IF(OR($D$55="",NOT(ISNUMBER(F97))),"",F97*$D$55)</f>
      </c>
      <c r="H97" s="138">
        <f>IF(NOT(ISNUMBER(F97)),"",F97*$D$45)</f>
      </c>
      <c r="I97" s="138">
        <f>IF(OR($D$55="",NOT(ISNUMBER(H97))),"",H97*$D$55)</f>
      </c>
      <c r="J97" s="138">
        <f>IF(E97="","",MAX(0,E97-$G$44))</f>
      </c>
      <c r="K97" s="138">
        <f>IF(J97="","",J97*(1+$G$42))</f>
      </c>
      <c r="L97" s="141">
        <f>IF(K97="","",$J$41+K97)</f>
      </c>
    </row>
    <row r="98" ht="20" customHeight="1">
      <c r="A98"/>
      <c r="B98"/>
      <c r="C98" s="126" t="n">
        <v>0.93</v>
      </c>
      <c r="D98" s="138">
        <f>IF(C98&lt;$D$54,$G$48-MAX(0,(C98-$G$43)*$D$45)/(1-$J$7),"")</f>
      </c>
      <c r="E98" s="138">
        <f>IF(D98="","",$G$50/D98)</f>
      </c>
      <c r="F98" s="129">
        <f>IF(OR(D98="",E98=""),"",E98/D98)</f>
      </c>
      <c r="G98" s="129">
        <f>IF(OR($D$55="",NOT(ISNUMBER(F98))),"",F98*$D$55)</f>
      </c>
      <c r="H98" s="138">
        <f>IF(NOT(ISNUMBER(F98)),"",F98*$D$45)</f>
      </c>
      <c r="I98" s="138">
        <f>IF(OR($D$55="",NOT(ISNUMBER(H98))),"",H98*$D$55)</f>
      </c>
      <c r="J98" s="138">
        <f>IF(E98="","",MAX(0,E98-$G$44))</f>
      </c>
      <c r="K98" s="138">
        <f>IF(J98="","",J98*(1+$G$42))</f>
      </c>
      <c r="L98" s="141">
        <f>IF(K98="","",$J$41+K98)</f>
      </c>
    </row>
    <row r="99" ht="20" customHeight="1">
      <c r="A99"/>
      <c r="B99"/>
      <c r="C99" s="126" t="n">
        <v>0.935</v>
      </c>
      <c r="D99" s="138">
        <f>IF(C99&lt;$D$54,$G$48-MAX(0,(C99-$G$43)*$D$45)/(1-$J$7),"")</f>
      </c>
      <c r="E99" s="138">
        <f>IF(D99="","",$G$50/D99)</f>
      </c>
      <c r="F99" s="129">
        <f>IF(OR(D99="",E99=""),"",E99/D99)</f>
      </c>
      <c r="G99" s="129">
        <f>IF(OR($D$55="",NOT(ISNUMBER(F99))),"",F99*$D$55)</f>
      </c>
      <c r="H99" s="138">
        <f>IF(NOT(ISNUMBER(F99)),"",F99*$D$45)</f>
      </c>
      <c r="I99" s="138">
        <f>IF(OR($D$55="",NOT(ISNUMBER(H99))),"",H99*$D$55)</f>
      </c>
      <c r="J99" s="138">
        <f>IF(E99="","",MAX(0,E99-$G$44))</f>
      </c>
      <c r="K99" s="138">
        <f>IF(J99="","",J99*(1+$G$42))</f>
      </c>
      <c r="L99" s="141">
        <f>IF(K99="","",$J$41+K99)</f>
      </c>
    </row>
    <row r="100" ht="20" customHeight="1">
      <c r="A100"/>
      <c r="B100"/>
      <c r="C100" s="126" t="n">
        <v>0.9400000000000001</v>
      </c>
      <c r="D100" s="138">
        <f>IF(C100&lt;$D$54,$G$48-MAX(0,(C100-$G$43)*$D$45)/(1-$J$7),"")</f>
      </c>
      <c r="E100" s="138">
        <f>IF(D100="","",$G$50/D100)</f>
      </c>
      <c r="F100" s="129">
        <f>IF(OR(D100="",E100=""),"",E100/D100)</f>
      </c>
      <c r="G100" s="129">
        <f>IF(OR($D$55="",NOT(ISNUMBER(F100))),"",F100*$D$55)</f>
      </c>
      <c r="H100" s="138">
        <f>IF(NOT(ISNUMBER(F100)),"",F100*$D$45)</f>
      </c>
      <c r="I100" s="138">
        <f>IF(OR($D$55="",NOT(ISNUMBER(H100))),"",H100*$D$55)</f>
      </c>
      <c r="J100" s="138">
        <f>IF(E100="","",MAX(0,E100-$G$44))</f>
      </c>
      <c r="K100" s="138">
        <f>IF(J100="","",J100*(1+$G$42))</f>
      </c>
      <c r="L100" s="141">
        <f>IF(K100="","",$J$41+K100)</f>
      </c>
    </row>
    <row r="101" ht="20" customHeight="1">
      <c r="A101"/>
      <c r="B101"/>
      <c r="C101" s="126" t="n">
        <v>0.9450000000000001</v>
      </c>
      <c r="D101" s="138">
        <f>IF(C101&lt;$D$54,$G$48-MAX(0,(C101-$G$43)*$D$45)/(1-$J$7),"")</f>
      </c>
      <c r="E101" s="138">
        <f>IF(D101="","",$G$50/D101)</f>
      </c>
      <c r="F101" s="129">
        <f>IF(OR(D101="",E101=""),"",E101/D101)</f>
      </c>
      <c r="G101" s="129">
        <f>IF(OR($D$55="",NOT(ISNUMBER(F101))),"",F101*$D$55)</f>
      </c>
      <c r="H101" s="138">
        <f>IF(NOT(ISNUMBER(F101)),"",F101*$D$45)</f>
      </c>
      <c r="I101" s="138">
        <f>IF(OR($D$55="",NOT(ISNUMBER(H101))),"",H101*$D$55)</f>
      </c>
      <c r="J101" s="138">
        <f>IF(E101="","",MAX(0,E101-$G$44))</f>
      </c>
      <c r="K101" s="138">
        <f>IF(J101="","",J101*(1+$G$42))</f>
      </c>
      <c r="L101" s="141">
        <f>IF(K101="","",$J$41+K101)</f>
      </c>
    </row>
    <row r="102" ht="20" customHeight="1">
      <c r="A102"/>
      <c r="B102"/>
      <c r="C102" s="126" t="n">
        <v>0.9500000000000001</v>
      </c>
      <c r="D102" s="138">
        <f>IF(C102&lt;$D$54,$G$48-MAX(0,(C102-$G$43)*$D$45)/(1-$J$7),"")</f>
      </c>
      <c r="E102" s="138">
        <f>IF(D102="","",$G$50/D102)</f>
      </c>
      <c r="F102" s="129">
        <f>IF(OR(D102="",E102=""),"",E102/D102)</f>
      </c>
      <c r="G102" s="129">
        <f>IF(OR($D$55="",NOT(ISNUMBER(F102))),"",F102*$D$55)</f>
      </c>
      <c r="H102" s="138">
        <f>IF(NOT(ISNUMBER(F102)),"",F102*$D$45)</f>
      </c>
      <c r="I102" s="138">
        <f>IF(OR($D$55="",NOT(ISNUMBER(H102))),"",H102*$D$55)</f>
      </c>
      <c r="J102" s="138">
        <f>IF(E102="","",MAX(0,E102-$G$44))</f>
      </c>
      <c r="K102" s="138">
        <f>IF(J102="","",J102*(1+$G$42))</f>
      </c>
      <c r="L102" s="141">
        <f>IF(K102="","",$J$41+K102)</f>
      </c>
    </row>
    <row r="103" ht="20" customHeight="1">
      <c r="A103"/>
      <c r="B103"/>
      <c r="C103" s="126" t="n">
        <v>0.9550000000000001</v>
      </c>
      <c r="D103" s="138">
        <f>IF(C103&lt;$D$54,$G$48-MAX(0,(C103-$G$43)*$D$45)/(1-$J$7),"")</f>
      </c>
      <c r="E103" s="138">
        <f>IF(D103="","",$G$50/D103)</f>
      </c>
      <c r="F103" s="129">
        <f>IF(OR(D103="",E103=""),"",E103/D103)</f>
      </c>
      <c r="G103" s="129">
        <f>IF(OR($D$55="",NOT(ISNUMBER(F103))),"",F103*$D$55)</f>
      </c>
      <c r="H103" s="138">
        <f>IF(NOT(ISNUMBER(F103)),"",F103*$D$45)</f>
      </c>
      <c r="I103" s="138">
        <f>IF(OR($D$55="",NOT(ISNUMBER(H103))),"",H103*$D$55)</f>
      </c>
      <c r="J103" s="138">
        <f>IF(E103="","",MAX(0,E103-$G$44))</f>
      </c>
      <c r="K103" s="138">
        <f>IF(J103="","",J103*(1+$G$42))</f>
      </c>
      <c r="L103" s="141">
        <f>IF(K103="","",$J$41+K103)</f>
      </c>
    </row>
    <row r="104" ht="20" customHeight="1">
      <c r="A104"/>
      <c r="B104"/>
      <c r="C104" s="126" t="n">
        <v>0.9600000000000001</v>
      </c>
      <c r="D104" s="138">
        <f>IF(C104&lt;$D$54,$G$48-MAX(0,(C104-$G$43)*$D$45)/(1-$J$7),"")</f>
      </c>
      <c r="E104" s="138">
        <f>IF(D104="","",$G$50/D104)</f>
      </c>
      <c r="F104" s="129">
        <f>IF(OR(D104="",E104=""),"",E104/D104)</f>
      </c>
      <c r="G104" s="129">
        <f>IF(OR($D$55="",NOT(ISNUMBER(F104))),"",F104*$D$55)</f>
      </c>
      <c r="H104" s="138">
        <f>IF(NOT(ISNUMBER(F104)),"",F104*$D$45)</f>
      </c>
      <c r="I104" s="138">
        <f>IF(OR($D$55="",NOT(ISNUMBER(H104))),"",H104*$D$55)</f>
      </c>
      <c r="J104" s="138">
        <f>IF(E104="","",MAX(0,E104-$G$44))</f>
      </c>
      <c r="K104" s="138">
        <f>IF(J104="","",J104*(1+$G$42))</f>
      </c>
      <c r="L104" s="141">
        <f>IF(K104="","",$J$41+K104)</f>
      </c>
    </row>
    <row r="105" ht="20" customHeight="1">
      <c r="A105"/>
      <c r="B105"/>
      <c r="C105" s="126" t="n">
        <v>0.9650000000000001</v>
      </c>
      <c r="D105" s="138">
        <f>IF(C105&lt;$D$54,$G$48-MAX(0,(C105-$G$43)*$D$45)/(1-$J$7),"")</f>
      </c>
      <c r="E105" s="138">
        <f>IF(D105="","",$G$50/D105)</f>
      </c>
      <c r="F105" s="129">
        <f>IF(OR(D105="",E105=""),"",E105/D105)</f>
      </c>
      <c r="G105" s="129">
        <f>IF(OR($D$55="",NOT(ISNUMBER(F105))),"",F105*$D$55)</f>
      </c>
      <c r="H105" s="138">
        <f>IF(NOT(ISNUMBER(F105)),"",F105*$D$45)</f>
      </c>
      <c r="I105" s="138">
        <f>IF(OR($D$55="",NOT(ISNUMBER(H105))),"",H105*$D$55)</f>
      </c>
      <c r="J105" s="138">
        <f>IF(E105="","",MAX(0,E105-$G$44))</f>
      </c>
      <c r="K105" s="138">
        <f>IF(J105="","",J105*(1+$G$42))</f>
      </c>
      <c r="L105" s="141">
        <f>IF(K105="","",$J$41+K105)</f>
      </c>
    </row>
    <row r="106" ht="20" customHeight="1">
      <c r="A106"/>
      <c r="B106"/>
      <c r="C106" s="126" t="n">
        <v>0.9700000000000001</v>
      </c>
      <c r="D106" s="138">
        <f>IF(C106&lt;$D$54,$G$48-MAX(0,(C106-$G$43)*$D$45)/(1-$J$7),"")</f>
      </c>
      <c r="E106" s="138">
        <f>IF(D106="","",$G$50/D106)</f>
      </c>
      <c r="F106" s="129">
        <f>IF(OR(D106="",E106=""),"",E106/D106)</f>
      </c>
      <c r="G106" s="129">
        <f>IF(OR($D$55="",NOT(ISNUMBER(F106))),"",F106*$D$55)</f>
      </c>
      <c r="H106" s="138">
        <f>IF(NOT(ISNUMBER(F106)),"",F106*$D$45)</f>
      </c>
      <c r="I106" s="138">
        <f>IF(OR($D$55="",NOT(ISNUMBER(H106))),"",H106*$D$55)</f>
      </c>
      <c r="J106" s="138">
        <f>IF(E106="","",MAX(0,E106-$G$44))</f>
      </c>
      <c r="K106" s="138">
        <f>IF(J106="","",J106*(1+$G$42))</f>
      </c>
      <c r="L106" s="141">
        <f>IF(K106="","",$J$41+K106)</f>
      </c>
    </row>
    <row r="107" ht="20" customHeight="1">
      <c r="A107"/>
      <c r="B107"/>
      <c r="C107" s="126" t="n">
        <v>0.9750000000000001</v>
      </c>
      <c r="D107" s="138">
        <f>IF(C107&lt;$D$54,$G$48-MAX(0,(C107-$G$43)*$D$45)/(1-$J$7),"")</f>
      </c>
      <c r="E107" s="138">
        <f>IF(D107="","",$G$50/D107)</f>
      </c>
      <c r="F107" s="129">
        <f>IF(OR(D107="",E107=""),"",E107/D107)</f>
      </c>
      <c r="G107" s="129">
        <f>IF(OR($D$55="",NOT(ISNUMBER(F107))),"",F107*$D$55)</f>
      </c>
      <c r="H107" s="138">
        <f>IF(NOT(ISNUMBER(F107)),"",F107*$D$45)</f>
      </c>
      <c r="I107" s="138">
        <f>IF(OR($D$55="",NOT(ISNUMBER(H107))),"",H107*$D$55)</f>
      </c>
      <c r="J107" s="138">
        <f>IF(E107="","",MAX(0,E107-$G$44))</f>
      </c>
      <c r="K107" s="138">
        <f>IF(J107="","",J107*(1+$G$42))</f>
      </c>
      <c r="L107" s="141">
        <f>IF(K107="","",$J$41+K107)</f>
      </c>
    </row>
    <row r="108" ht="20" customHeight="1">
      <c r="A108"/>
      <c r="B108"/>
      <c r="C108" s="126" t="n">
        <v>0.98</v>
      </c>
      <c r="D108" s="138">
        <f>IF(C108&lt;$D$54,$G$48-MAX(0,(C108-$G$43)*$D$45)/(1-$J$7),"")</f>
      </c>
      <c r="E108" s="138">
        <f>IF(D108="","",$G$50/D108)</f>
      </c>
      <c r="F108" s="129">
        <f>IF(OR(D108="",E108=""),"",E108/D108)</f>
      </c>
      <c r="G108" s="129">
        <f>IF(OR($D$55="",NOT(ISNUMBER(F108))),"",F108*$D$55)</f>
      </c>
      <c r="H108" s="138">
        <f>IF(NOT(ISNUMBER(F108)),"",F108*$D$45)</f>
      </c>
      <c r="I108" s="138">
        <f>IF(OR($D$55="",NOT(ISNUMBER(H108))),"",H108*$D$55)</f>
      </c>
      <c r="J108" s="138">
        <f>IF(E108="","",MAX(0,E108-$G$44))</f>
      </c>
      <c r="K108" s="138">
        <f>IF(J108="","",J108*(1+$G$42))</f>
      </c>
      <c r="L108" s="141">
        <f>IF(K108="","",$J$41+K108)</f>
      </c>
    </row>
    <row r="109" ht="20" customHeight="1">
      <c r="A109"/>
      <c r="B109"/>
      <c r="C109" s="126" t="n">
        <v>0.9850000000000001</v>
      </c>
      <c r="D109" s="138">
        <f>IF(C109&lt;$D$54,$G$48-MAX(0,(C109-$G$43)*$D$45)/(1-$J$7),"")</f>
      </c>
      <c r="E109" s="138">
        <f>IF(D109="","",$G$50/D109)</f>
      </c>
      <c r="F109" s="129">
        <f>IF(OR(D109="",E109=""),"",E109/D109)</f>
      </c>
      <c r="G109" s="129">
        <f>IF(OR($D$55="",NOT(ISNUMBER(F109))),"",F109*$D$55)</f>
      </c>
      <c r="H109" s="138">
        <f>IF(NOT(ISNUMBER(F109)),"",F109*$D$45)</f>
      </c>
      <c r="I109" s="138">
        <f>IF(OR($D$55="",NOT(ISNUMBER(H109))),"",H109*$D$55)</f>
      </c>
      <c r="J109" s="138">
        <f>IF(E109="","",MAX(0,E109-$G$44))</f>
      </c>
      <c r="K109" s="138">
        <f>IF(J109="","",J109*(1+$G$42))</f>
      </c>
      <c r="L109" s="141">
        <f>IF(K109="","",$J$41+K109)</f>
      </c>
    </row>
    <row r="110" ht="20" customHeight="1">
      <c r="A110"/>
      <c r="B110"/>
      <c r="C110" s="126" t="n">
        <v>0.99</v>
      </c>
      <c r="D110" s="138">
        <f>IF(C110&lt;$D$54,$G$48-MAX(0,(C110-$G$43)*$D$45)/(1-$J$7),"")</f>
      </c>
      <c r="E110" s="138">
        <f>IF(D110="","",$G$50/D110)</f>
      </c>
      <c r="F110" s="129">
        <f>IF(OR(D110="",E110=""),"",E110/D110)</f>
      </c>
      <c r="G110" s="129">
        <f>IF(OR($D$55="",NOT(ISNUMBER(F110))),"",F110*$D$55)</f>
      </c>
      <c r="H110" s="138">
        <f>IF(NOT(ISNUMBER(F110)),"",F110*$D$45)</f>
      </c>
      <c r="I110" s="138">
        <f>IF(OR($D$55="",NOT(ISNUMBER(H110))),"",H110*$D$55)</f>
      </c>
      <c r="J110" s="138">
        <f>IF(E110="","",MAX(0,E110-$G$44))</f>
      </c>
      <c r="K110" s="138">
        <f>IF(J110="","",J110*(1+$G$42))</f>
      </c>
      <c r="L110" s="141">
        <f>IF(K110="","",$J$41+K110)</f>
      </c>
    </row>
    <row r="111" ht="20" customHeight="1">
      <c r="A111"/>
      <c r="B111"/>
      <c r="C111" s="126" t="n">
        <v>0.9950000000000001</v>
      </c>
      <c r="D111" s="138">
        <f>IF(C111&lt;$D$54,$G$48-MAX(0,(C111-$G$43)*$D$45)/(1-$J$7),"")</f>
      </c>
      <c r="E111" s="138">
        <f>IF(D111="","",$G$50/D111)</f>
      </c>
      <c r="F111" s="129">
        <f>IF(OR(D111="",E111=""),"",E111/D111)</f>
      </c>
      <c r="G111" s="129">
        <f>IF(OR($D$55="",NOT(ISNUMBER(F111))),"",F111*$D$55)</f>
      </c>
      <c r="H111" s="138">
        <f>IF(NOT(ISNUMBER(F111)),"",F111*$D$45)</f>
      </c>
      <c r="I111" s="138">
        <f>IF(OR($D$55="",NOT(ISNUMBER(H111))),"",H111*$D$55)</f>
      </c>
      <c r="J111" s="138">
        <f>IF(E111="","",MAX(0,E111-$G$44))</f>
      </c>
      <c r="K111" s="138">
        <f>IF(J111="","",J111*(1+$G$42))</f>
      </c>
      <c r="L111" s="141">
        <f>IF(K111="","",$J$41+K111)</f>
      </c>
    </row>
    <row r="112" ht="20" customHeight="1">
      <c r="A112"/>
      <c r="B112"/>
      <c r="C112" s="127" t="n">
        <v>1</v>
      </c>
      <c r="D112" s="139">
        <f>IF(C112&lt;$D$54,$G$48-MAX(0,(C112-$G$43)*$D$45)/(1-$J$7),"")</f>
      </c>
      <c r="E112" s="139">
        <f>IF(D112="","",$G$50/D112)</f>
      </c>
      <c r="F112" s="130">
        <f>IF(OR(D112="",E112=""),"",E112/D112)</f>
      </c>
      <c r="G112" s="130">
        <f>IF(OR($D$55="",NOT(ISNUMBER(F112))),"",F112*$D$55)</f>
      </c>
      <c r="H112" s="139">
        <f>IF(NOT(ISNUMBER(F112)),"",F112*$D$45)</f>
      </c>
      <c r="I112" s="139">
        <f>IF(OR($D$55="",NOT(ISNUMBER(H112))),"",H112*$D$55)</f>
      </c>
      <c r="J112" s="139">
        <f>IF(E112="","",MAX(0,E112-$G$44))</f>
      </c>
      <c r="K112" s="139">
        <f>IF(J112="","",J112*(1+$G$42))</f>
      </c>
      <c r="L112" s="142">
        <f>IF(K112="","",$J$41+K112)</f>
      </c>
    </row>
    <row r="113" ht="20" customHeight="1">
      <c r="A113"/>
      <c r="B113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</row>
    <row r="114" ht="20" customHeight="1">
      <c r="A114"/>
      <c r="B114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ht="24" customHeight="1">
      <c r="A115"/>
      <c r="B115"/>
      <c r="C115" s="96" t="str">
        <v>外盘回落参考</v>
      </c>
      <c r="D115" s="96"/>
      <c r="E115" s="96"/>
      <c r="F115" s="96"/>
      <c r="G115" s="96"/>
      <c r="H115" s="96"/>
      <c r="I115" s="96"/>
      <c r="J115" s="96"/>
      <c r="K115" s="96"/>
      <c r="L115" s="96"/>
    </row>
    <row r="116" ht="32" customHeight="1">
      <c r="A116"/>
      <c r="B116"/>
      <c r="C116" s="71" t="str">
        <v>控筹率</v>
      </c>
      <c r="D116" s="71" t="str">
        <v>pooled TOKEN</v>
      </c>
      <c r="E116" s="71" t="str">
        <v>pooled Quote</v>
      </c>
      <c r="F116" s="71" t="str">
        <v>价格 / Quote</v>
      </c>
      <c r="G116" s="71" t="str">
        <v>价格 / USDT</v>
      </c>
      <c r="H116" s="71" t="str">
        <v>市值 / Quote</v>
      </c>
      <c r="I116" s="71" t="str">
        <v>市值 / USDT</v>
      </c>
      <c r="J116" s="71" t="str">
        <v>较毕业点回撤</v>
      </c>
      <c r="K116" s="71" t="str"/>
      <c r="L116" s="71" t="str"/>
    </row>
    <row r="117" ht="20" customHeight="1">
      <c r="A117"/>
      <c r="B117"/>
      <c r="C117" s="125" t="n">
        <v>0.8</v>
      </c>
      <c r="D117" s="137">
        <f>$D$45*(1-C117)</f>
      </c>
      <c r="E117" s="137">
        <f>$G$50/D117</f>
      </c>
      <c r="F117" s="128">
        <f>IF(OR(D117="",E117=""),"",E117/D117)</f>
      </c>
      <c r="G117" s="128">
        <f>IF(OR($D$55="",NOT(ISNUMBER(F117))),"",F117*$D$55)</f>
      </c>
      <c r="H117" s="137">
        <f>IF(NOT(ISNUMBER(F117)),"",F117*$D$45)</f>
      </c>
      <c r="I117" s="137">
        <f>IF(OR($D$55="",NOT(ISNUMBER(H117))),"",H117*$D$55)</f>
      </c>
      <c r="J117" s="125">
        <f>IF($H$117&gt;0,1-H117/$H$117,0)</f>
      </c>
      <c r="K117" s="122"/>
      <c r="L117" s="122"/>
    </row>
    <row r="118" ht="20" customHeight="1">
      <c r="A118"/>
      <c r="B118"/>
      <c r="C118" s="126" t="n">
        <v>0.7</v>
      </c>
      <c r="D118" s="138">
        <f>$D$45*(1-C118)</f>
      </c>
      <c r="E118" s="138">
        <f>$G$50/D118</f>
      </c>
      <c r="F118" s="129">
        <f>IF(OR(D118="",E118=""),"",E118/D118)</f>
      </c>
      <c r="G118" s="129">
        <f>IF(OR($D$55="",NOT(ISNUMBER(F118))),"",F118*$D$55)</f>
      </c>
      <c r="H118" s="138">
        <f>IF(NOT(ISNUMBER(F118)),"",F118*$D$45)</f>
      </c>
      <c r="I118" s="138">
        <f>IF(OR($D$55="",NOT(ISNUMBER(H118))),"",H118*$D$55)</f>
      </c>
      <c r="J118" s="126">
        <f>IF($H$117&gt;0,1-H118/$H$117,0)</f>
      </c>
      <c r="K118" s="123"/>
      <c r="L118" s="123"/>
    </row>
    <row r="119" ht="20" customHeight="1">
      <c r="A119"/>
      <c r="B119"/>
      <c r="C119" s="126" t="n">
        <v>0.6</v>
      </c>
      <c r="D119" s="138">
        <f>$D$45*(1-C119)</f>
      </c>
      <c r="E119" s="138">
        <f>$G$50/D119</f>
      </c>
      <c r="F119" s="129">
        <f>IF(OR(D119="",E119=""),"",E119/D119)</f>
      </c>
      <c r="G119" s="129">
        <f>IF(OR($D$55="",NOT(ISNUMBER(F119))),"",F119*$D$55)</f>
      </c>
      <c r="H119" s="138">
        <f>IF(NOT(ISNUMBER(F119)),"",F119*$D$45)</f>
      </c>
      <c r="I119" s="138">
        <f>IF(OR($D$55="",NOT(ISNUMBER(H119))),"",H119*$D$55)</f>
      </c>
      <c r="J119" s="126">
        <f>IF($H$117&gt;0,1-H119/$H$117,0)</f>
      </c>
      <c r="K119" s="123"/>
      <c r="L119" s="123"/>
    </row>
    <row r="120" ht="20" customHeight="1">
      <c r="A120"/>
      <c r="B120"/>
      <c r="C120" s="126" t="n">
        <v>0.5</v>
      </c>
      <c r="D120" s="138">
        <f>$D$45*(1-C120)</f>
      </c>
      <c r="E120" s="138">
        <f>$G$50/D120</f>
      </c>
      <c r="F120" s="129">
        <f>IF(OR(D120="",E120=""),"",E120/D120)</f>
      </c>
      <c r="G120" s="129">
        <f>IF(OR($D$55="",NOT(ISNUMBER(F120))),"",F120*$D$55)</f>
      </c>
      <c r="H120" s="138">
        <f>IF(NOT(ISNUMBER(F120)),"",F120*$D$45)</f>
      </c>
      <c r="I120" s="138">
        <f>IF(OR($D$55="",NOT(ISNUMBER(H120))),"",H120*$D$55)</f>
      </c>
      <c r="J120" s="126">
        <f>IF($H$117&gt;0,1-H120/$H$117,0)</f>
      </c>
      <c r="K120" s="123"/>
      <c r="L120" s="123"/>
    </row>
    <row r="121" ht="20" customHeight="1">
      <c r="A121"/>
      <c r="B121"/>
      <c r="C121" s="126" t="n">
        <v>0.4</v>
      </c>
      <c r="D121" s="138">
        <f>$D$45*(1-C121)</f>
      </c>
      <c r="E121" s="138">
        <f>$G$50/D121</f>
      </c>
      <c r="F121" s="129">
        <f>IF(OR(D121="",E121=""),"",E121/D121)</f>
      </c>
      <c r="G121" s="129">
        <f>IF(OR($D$55="",NOT(ISNUMBER(F121))),"",F121*$D$55)</f>
      </c>
      <c r="H121" s="138">
        <f>IF(NOT(ISNUMBER(F121)),"",F121*$D$45)</f>
      </c>
      <c r="I121" s="138">
        <f>IF(OR($D$55="",NOT(ISNUMBER(H121))),"",H121*$D$55)</f>
      </c>
      <c r="J121" s="126">
        <f>IF($H$117&gt;0,1-H121/$H$117,0)</f>
      </c>
      <c r="K121" s="123"/>
      <c r="L121" s="123"/>
    </row>
    <row r="122" ht="20" customHeight="1">
      <c r="A122"/>
      <c r="B122"/>
      <c r="C122" s="126" t="n">
        <v>0.3</v>
      </c>
      <c r="D122" s="138">
        <f>$D$45*(1-C122)</f>
      </c>
      <c r="E122" s="138">
        <f>$G$50/D122</f>
      </c>
      <c r="F122" s="129">
        <f>IF(OR(D122="",E122=""),"",E122/D122)</f>
      </c>
      <c r="G122" s="129">
        <f>IF(OR($D$55="",NOT(ISNUMBER(F122))),"",F122*$D$55)</f>
      </c>
      <c r="H122" s="138">
        <f>IF(NOT(ISNUMBER(F122)),"",F122*$D$45)</f>
      </c>
      <c r="I122" s="138">
        <f>IF(OR($D$55="",NOT(ISNUMBER(H122))),"",H122*$D$55)</f>
      </c>
      <c r="J122" s="126">
        <f>IF($H$117&gt;0,1-H122/$H$117,0)</f>
      </c>
      <c r="K122" s="123"/>
      <c r="L122" s="123"/>
    </row>
    <row r="123" ht="20" customHeight="1">
      <c r="A123"/>
      <c r="B123"/>
      <c r="C123" s="126" t="n">
        <v>0.2</v>
      </c>
      <c r="D123" s="138">
        <f>$D$45*(1-C123)</f>
      </c>
      <c r="E123" s="138">
        <f>$G$50/D123</f>
      </c>
      <c r="F123" s="129">
        <f>IF(OR(D123="",E123=""),"",E123/D123)</f>
      </c>
      <c r="G123" s="129">
        <f>IF(OR($D$55="",NOT(ISNUMBER(F123))),"",F123*$D$55)</f>
      </c>
      <c r="H123" s="138">
        <f>IF(NOT(ISNUMBER(F123)),"",F123*$D$45)</f>
      </c>
      <c r="I123" s="138">
        <f>IF(OR($D$55="",NOT(ISNUMBER(H123))),"",H123*$D$55)</f>
      </c>
      <c r="J123" s="126">
        <f>IF($H$117&gt;0,1-H123/$H$117,0)</f>
      </c>
      <c r="K123" s="123"/>
      <c r="L123" s="123"/>
    </row>
    <row r="124" ht="20" customHeight="1">
      <c r="A124"/>
      <c r="B124"/>
      <c r="C124" s="126" t="n">
        <v>0.1</v>
      </c>
      <c r="D124" s="138">
        <f>$D$45*(1-C124)</f>
      </c>
      <c r="E124" s="138">
        <f>$G$50/D124</f>
      </c>
      <c r="F124" s="129">
        <f>IF(OR(D124="",E124=""),"",E124/D124)</f>
      </c>
      <c r="G124" s="129">
        <f>IF(OR($D$55="",NOT(ISNUMBER(F124))),"",F124*$D$55)</f>
      </c>
      <c r="H124" s="138">
        <f>IF(NOT(ISNUMBER(F124)),"",F124*$D$45)</f>
      </c>
      <c r="I124" s="138">
        <f>IF(OR($D$55="",NOT(ISNUMBER(H124))),"",H124*$D$55)</f>
      </c>
      <c r="J124" s="126">
        <f>IF($H$117&gt;0,1-H124/$H$117,0)</f>
      </c>
      <c r="K124" s="123"/>
      <c r="L124" s="123"/>
    </row>
    <row r="125" ht="20" customHeight="1">
      <c r="A125"/>
      <c r="B125"/>
      <c r="C125" s="127" t="n">
        <v>0</v>
      </c>
      <c r="D125" s="139">
        <f>$D$45*(1-C125)</f>
      </c>
      <c r="E125" s="139">
        <f>$G$50/D125</f>
      </c>
      <c r="F125" s="130">
        <f>IF(OR(D125="",E125=""),"",E125/D125)</f>
      </c>
      <c r="G125" s="130">
        <f>IF(OR($D$55="",NOT(ISNUMBER(F125))),"",F125*$D$55)</f>
      </c>
      <c r="H125" s="139">
        <f>IF(NOT(ISNUMBER(F125)),"",F125*$D$45)</f>
      </c>
      <c r="I125" s="139">
        <f>IF(OR($D$55="",NOT(ISNUMBER(H125))),"",H125*$D$55)</f>
      </c>
      <c r="J125" s="127">
        <f>IF($H$117&gt;0,1-H125/$H$117,0)</f>
      </c>
      <c r="K125" s="124" t="str">
        <v>沉没成本 / Quote</v>
      </c>
      <c r="L125" s="124">
        <f>E125</f>
      </c>
    </row>
    <row r="126" ht="20" customHeight="1">
      <c r="A126"/>
      <c r="B126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</row>
    <row r="127" ht="20" customHeight="1">
      <c r="A127"/>
      <c r="B127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</row>
    <row r="128" ht="20" customHeight="1">
      <c r="A128"/>
      <c r="B128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</row>
    <row r="129" ht="20" customHeight="1">
      <c r="A129"/>
      <c r="B129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</row>
    <row r="130" ht="20" customHeight="1">
      <c r="A130"/>
      <c r="B13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</row>
    <row r="131" ht="20" customHeight="1">
      <c r="A131"/>
      <c r="B131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</row>
    <row r="132" ht="20" customHeight="1">
      <c r="A132"/>
      <c r="B132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</row>
    <row r="133" ht="20" customHeight="1">
      <c r="A133"/>
      <c r="B133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</row>
    <row r="134" ht="20" customHeight="1">
      <c r="A134"/>
      <c r="B134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</row>
    <row r="135" ht="20" customHeight="1">
      <c r="A135"/>
      <c r="B135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</row>
    <row r="136" ht="20" customHeight="1">
      <c r="A136"/>
      <c r="B136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</row>
    <row r="137" ht="20" customHeight="1">
      <c r="A137"/>
      <c r="B137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</row>
    <row r="138" ht="20" customHeight="1">
      <c r="A138"/>
      <c r="B138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</row>
    <row r="139" ht="20" customHeight="1">
      <c r="A139"/>
      <c r="B139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</row>
    <row r="140" ht="20" customHeight="1">
      <c r="A140"/>
      <c r="B14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</row>
    <row r="141" ht="20" customHeight="1">
      <c r="A141"/>
      <c r="B141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</row>
    <row r="142" ht="20" customHeight="1">
      <c r="A142"/>
      <c r="B142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</row>
    <row r="143" ht="20" customHeight="1">
      <c r="A143"/>
      <c r="B143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</row>
    <row r="144" ht="20" customHeight="1">
      <c r="A144"/>
      <c r="B144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</row>
    <row r="145" ht="20" customHeight="1">
      <c r="A145"/>
      <c r="B145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</row>
    <row r="146" ht="20" customHeight="1">
      <c r="A146"/>
      <c r="B146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</row>
    <row r="147" ht="20" customHeight="1">
      <c r="A147"/>
      <c r="B147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</row>
    <row r="148" ht="20" customHeight="1">
      <c r="A148"/>
      <c r="B148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</row>
    <row r="149" ht="20" customHeight="1">
      <c r="A149"/>
      <c r="B149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</row>
    <row r="150" ht="20" customHeight="1">
      <c r="A150"/>
      <c r="B15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</row>
  </sheetData>
  <mergeCells>
    <mergeCell ref="C3:L3"/>
    <mergeCell ref="C13:L13"/>
    <mergeCell ref="D42:E43"/>
    <mergeCell ref="D41:E41"/>
    <mergeCell ref="D46:E46"/>
    <mergeCell ref="D47:E47"/>
    <mergeCell ref="D48:E48"/>
    <mergeCell ref="D49:E50"/>
    <mergeCell ref="J51:L51"/>
    <mergeCell ref="C36:L36"/>
    <mergeCell ref="C37:F37"/>
    <mergeCell ref="I22:L22"/>
    <mergeCell ref="I27:L27"/>
    <mergeCell ref="D56:E56"/>
  </mergeCells>
  <conditionalFormatting sqref="D23:D23">
    <cfRule type="containsText" dxfId="0" priority="1" operator="containsText" text="不可达"/>
    <cfRule type="containsText" dxfId="1" priority="2" operator="containsText" text="无效"/>
    <cfRule type="containsText" dxfId="2" priority="3" operator="containsText" text="缺少"/>
  </conditionalFormatting>
  <conditionalFormatting sqref="J24:J24">
    <cfRule type="containsText" dxfId="3" priority="4" operator="containsText" text="缺少"/>
  </conditionalFormatting>
  <conditionalFormatting sqref="D18:D18">
    <cfRule type="expression" dxfId="8" priority="9">
      <formula>$D$7="BNB"</formula>
    </cfRule>
  </conditionalFormatting>
  <conditionalFormatting sqref="D22:D26">
    <cfRule type="expression" dxfId="9" priority="10">
      <formula>$D$7="BNB"</formula>
    </cfRule>
  </conditionalFormatting>
  <conditionalFormatting sqref="G37:G37">
    <cfRule type="expression" dxfId="10" priority="11">
      <formula>$D$7="BNB"</formula>
    </cfRule>
  </conditionalFormatting>
  <conditionalFormatting sqref="E59:E67">
    <cfRule type="expression" dxfId="11" priority="12">
      <formula>$D$7="BNB"</formula>
    </cfRule>
  </conditionalFormatting>
  <conditionalFormatting sqref="H59:H67">
    <cfRule type="expression" dxfId="12" priority="13">
      <formula>$D$7="BNB"</formula>
    </cfRule>
  </conditionalFormatting>
  <conditionalFormatting sqref="J59:J67">
    <cfRule type="expression" dxfId="13" priority="14">
      <formula>$D$7="BNB"</formula>
    </cfRule>
  </conditionalFormatting>
  <conditionalFormatting sqref="K59:K67">
    <cfRule type="expression" dxfId="14" priority="15">
      <formula>$D$7="BNB"</formula>
    </cfRule>
  </conditionalFormatting>
  <conditionalFormatting sqref="L59:L67">
    <cfRule type="expression" dxfId="15" priority="16">
      <formula>$D$7="BNB"</formula>
    </cfRule>
  </conditionalFormatting>
  <conditionalFormatting sqref="E72:E112">
    <cfRule type="expression" dxfId="16" priority="17">
      <formula>$D$7="BNB"</formula>
    </cfRule>
  </conditionalFormatting>
  <conditionalFormatting sqref="H72:H112">
    <cfRule type="expression" dxfId="17" priority="18">
      <formula>$D$7="BNB"</formula>
    </cfRule>
  </conditionalFormatting>
  <conditionalFormatting sqref="J72:J112">
    <cfRule type="expression" dxfId="18" priority="19">
      <formula>$D$7="BNB"</formula>
    </cfRule>
  </conditionalFormatting>
  <conditionalFormatting sqref="K72:K112">
    <cfRule type="expression" dxfId="19" priority="20">
      <formula>$D$7="BNB"</formula>
    </cfRule>
  </conditionalFormatting>
  <conditionalFormatting sqref="L72:L112">
    <cfRule type="expression" dxfId="20" priority="21">
      <formula>$D$7="BNB"</formula>
    </cfRule>
  </conditionalFormatting>
  <conditionalFormatting sqref="E117:E125">
    <cfRule type="expression" dxfId="21" priority="22">
      <formula>$D$7="BNB"</formula>
    </cfRule>
  </conditionalFormatting>
  <conditionalFormatting sqref="H117:H125">
    <cfRule type="expression" dxfId="22" priority="23">
      <formula>$D$7="BNB"</formula>
    </cfRule>
  </conditionalFormatting>
  <conditionalFormatting sqref="D51:D51">
    <cfRule type="containsText" dxfId="23" priority="24" operator="containsText" text="不可达"/>
    <cfRule type="containsText" dxfId="24" priority="25" operator="containsText" text="无效"/>
    <cfRule type="containsText" dxfId="25" priority="26" operator="containsText" text="缺少"/>
  </conditionalFormatting>
  <conditionalFormatting sqref="G55:G55">
    <cfRule type="containsText" dxfId="26" priority="27" operator="containsText" text="缺少"/>
  </conditionalFormatting>
  <dataValidations count="11">
    <dataValidation type="list" sqref="D7">
      <formula1>'Quote参数'!$E$14:$E$36</formula1>
    </dataValidation>
    <dataValidation type="decimal" operator="between" sqref="D8">
      <formula1>0.8</formula1>
      <formula2>0.99</formula2>
    </dataValidation>
    <dataValidation type="decimal" operator="between" sqref="J7">
      <formula1>0</formula1>
      <formula2>0.1</formula2>
    </dataValidation>
    <dataValidation type="decimal" operator="between" sqref="J8">
      <formula1>0</formula1>
      <formula2>0.1</formula2>
    </dataValidation>
    <dataValidation type="whole" errorStyle="stop" operator="greaterThan" showErrorMessage="1" errorTitle="地址参数无效" error="输入非负整数；内盘套数至少为 1。" sqref="G7">
      <formula1>0</formula1>
    </dataValidation>
    <dataValidation type="whole" errorStyle="stop" operator="greaterThan" showErrorMessage="1" errorTitle="地址参数无效" error="输入非负整数；内盘套数至少为 1。" sqref="G8">
      <formula1>-1</formula1>
    </dataValidation>
    <dataValidation type="whole" errorStyle="stop" operator="greaterThan" showErrorMessage="1" errorTitle="地址参数无效" error="输入非负整数；内盘套数至少为 1。" sqref="G9">
      <formula1>-1</formula1>
    </dataValidation>
    <dataValidation type="whole" errorStyle="stop" operator="greaterThan" showErrorMessage="1" errorTitle="地址参数无效" error="输入非负整数；内盘套数至少为 1。" sqref="G10">
      <formula1>-1</formula1>
    </dataValidation>
    <dataValidation type="decimal" errorStyle="stop" operator="between" showErrorMessage="1" errorTitle="参数无效" error="Gas 与资金预留不能为负数。" sqref="G12">
      <formula1>0</formula1>
      <formula2>1e+307</formula2>
    </dataValidation>
    <dataValidation type="decimal" errorStyle="stop" operator="between" showErrorMessage="1" errorTitle="参数无效" error="Gas 与资金预留不能为负数。" sqref="G11">
      <formula1>0</formula1>
      <formula2>1e+307</formula2>
    </dataValidation>
    <dataValidation type="decimal" operator="greaterThan" sqref="D9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5" ySplit="13" topLeftCell="F14" activePane="bottomRight" state="frozen"/>
    </sheetView>
  </sheetViews>
  <sheetFormatPr defaultRowHeight="15"/>
  <cols>
    <col min="1" max="1" width="2" hidden="0" customWidth="1"/>
    <col min="2" max="2" width="2" hidden="0" customWidth="1"/>
    <col min="3" max="3" width="7" hidden="0" customWidth="1"/>
    <col min="4" max="4" width="16" hidden="0" customWidth="1"/>
    <col min="5" max="5" width="11" hidden="0" customWidth="1"/>
    <col min="6" max="6" width="25" hidden="0" customWidth="1"/>
    <col min="7" max="7" width="44" hidden="0" customWidth="1"/>
    <col min="8" max="8" width="10" hidden="0" customWidth="1"/>
    <col min="9" max="9" width="17" hidden="0" customWidth="1"/>
    <col min="10" max="10" width="15" hidden="0" customWidth="1"/>
    <col min="11" max="11" width="20" hidden="0" customWidth="1"/>
    <col min="12" max="12" width="17" hidden="0" customWidth="1"/>
    <col min="13" max="13" width="22" hidden="0" customWidth="1"/>
    <col min="14" max="14" width="18" hidden="0" customWidth="1"/>
    <col min="15" max="15" width="16" hidden="0" customWidth="1"/>
    <col min="16" max="16" width="46" hidden="0" customWidth="1"/>
    <col min="17" max="17" width="22" hidden="0" customWidth="1"/>
    <col min="18" max="18" width="46" hidden="0" customWidth="1"/>
    <col min="19" max="19" width="30" hidden="0" customWidth="1"/>
  </cols>
  <sheetData>
    <row r="1" ht="3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0" customHeight="1">
      <c r="A2" s="2"/>
      <c r="B2" s="2"/>
      <c r="C2" s="4" t="str">
        <v>Flap BSC RWA Quote 参数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2" customHeight="1">
      <c r="A3" s="2"/>
      <c r="B3" s="2"/>
      <c r="C3" s="6" t="str">
        <v>2026-09-10 官方接口快照：23 个 RWA Quote。现有 Launch 参数固定；新 Launch 应重新读取官方接口。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2"/>
      <c r="Q3" s="2"/>
      <c r="R3" s="35" t="str">
        <v>价格时间为 UTC；已下载文件不会自动联网更新</v>
      </c>
      <c r="S3" s="35"/>
    </row>
    <row r="4" ht="3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34" customHeight="1">
      <c r="A5" s="2"/>
      <c r="B5" s="2"/>
      <c r="C5" s="35" t="str">
        <v>Flap Portal</v>
      </c>
      <c r="D5" s="35"/>
      <c r="E5" s="35" t="str">
        <v>​0xe2cE6ab80874Fa9Fa2aAE65D277Dd6B8e65C9De0 · 核验区块 121074671 · Portal 买/卖基础费 1.00% / 1.00% · 标准 Pancake V3 LP 费 0.25%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2" t="str">
        <v>每日价格快照</v>
      </c>
      <c r="Q5" s="2" t="str">
        <v>网站下载最新发布版</v>
      </c>
      <c r="R5" s="2" t="str">
        <v>切换 Quote 自动引用此页</v>
      </c>
      <c r="S5" s="2" t="str">
        <v>场景价格覆盖请用控筹模型</v>
      </c>
    </row>
    <row r="6" ht="34" customHeight="1">
      <c r="A6" s="2"/>
      <c r="B6" s="2"/>
      <c r="C6" s="35" t="str">
        <v>Quote API</v>
      </c>
      <c r="D6" s="35"/>
      <c r="E6" s="35" t="str">
        <v>​https://flap.sh/api/launch/quote-tokens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 t="str">
        <v>原生币 BNB / USDT（用于 Gas 折算）</v>
      </c>
      <c r="Q6" s="35"/>
      <c r="R6" s="35"/>
      <c r="S6" s="35"/>
    </row>
    <row r="7" ht="34" customHeight="1">
      <c r="A7" s="2"/>
      <c r="B7" s="2"/>
      <c r="C7" s="35" t="str">
        <v>联合曲线文档</v>
      </c>
      <c r="D7" s="35"/>
      <c r="E7" s="35" t="str">
        <v>​https://docs.flap.sh/flap/developers/basic-and-mechanism/bonding-curve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44">
        <v>726.9104878324572</v>
      </c>
      <c r="Q7" s="45">
        <v>46314.268424375005</v>
      </c>
      <c r="R7" s="35" t="inlineStr">
        <is>
          <t>https://api.coingecko.com/api/v3/simple/price?ids=tether,ethereum,binancecoin,solana,hyperliquid,aster-2,myx-finance&amp;vs_currencies=usd&amp;include_last_updated_at=true</t>
        </is>
      </c>
      <c r="S7" s="35" t="inlineStr">
        <is>
          <t>随每日行情更新；仅用于原生币 Gas 折算</t>
        </is>
      </c>
    </row>
    <row r="8" ht="34" customHeight="1">
      <c r="A8" s="2"/>
      <c r="B8" s="2"/>
      <c r="C8" s="35" t="str">
        <v>PreBond Tax 文档</v>
      </c>
      <c r="D8" s="35"/>
      <c r="E8" s="35" t="str">
        <v>​https://docs.flap.sh/flap/developers/basic-and-mechanism/flap-tax-token/prebond-tax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2"/>
      <c r="Q8" s="2"/>
      <c r="R8" s="2"/>
      <c r="S8" s="2"/>
    </row>
    <row r="9" ht="34" customHeight="1">
      <c r="A9" s="2"/>
      <c r="B9" s="2"/>
      <c r="C9" s="35" t="str">
        <v>Portal 接口</v>
      </c>
      <c r="D9" s="35"/>
      <c r="E9" s="35" t="str">
        <v>​https://github.com/flap-sh/FlapVaultExample/blob/main/src/flap/IPortal.sol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2"/>
      <c r="Q9" s="2"/>
      <c r="R9" s="2"/>
      <c r="S9" s="2"/>
    </row>
    <row r="10" ht="34" customHeight="1">
      <c r="A10" s="2"/>
      <c r="B10" s="2"/>
      <c r="C10" s="35" t="str">
        <v>发射机制</v>
      </c>
      <c r="D10" s="35"/>
      <c r="E10" s="35" t="str">
        <v>​10 亿总量；80% 联合曲线毕业；剩余 2 亿 TOKEN 与真实 Quote 储备进入 DEX。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2"/>
      <c r="Q10" s="2"/>
      <c r="R10" s="2"/>
      <c r="S10" s="2"/>
    </row>
    <row r="11" ht="34" customHeight="1">
      <c r="A11" s="2"/>
      <c r="B11" s="2"/>
      <c r="C11" s="35" t="str">
        <v>税率口径</v>
      </c>
      <c r="D11" s="35" t="str">
        <v>外盘卖出所得 Quote 用于回买；双边 LP 费与买卖税降低持币。恢复目标按外盘曲线差额及买入费另列。</v>
      </c>
      <c r="E11" s="35" t="str">
        <v>​Tax V3 买税/卖税逐币设置。内盘税作为额外 Quote 费；DEX 买税从 TOKEN 输出扣除。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2"/>
      <c r="Q11" s="2"/>
      <c r="R11" s="2"/>
      <c r="S11" s="2"/>
    </row>
    <row r="12" ht="42" customHeight="1">
      <c r="A12" s="2"/>
      <c r="B12" s="2"/>
      <c r="C12" s="148" t="str">
        <v>外盘扣费依据</v>
      </c>
      <c r="D12" s="148"/>
      <c r="E12" s="148" t="str">
        <v>PancakeSwap 交易手续费从输入金额扣除；卖出腿输入为 TOKEN。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 t="str">
        <v>https://docs.pancakeswap.finance/trade/pancakeswap-exchange/trade</v>
      </c>
      <c r="Q12" s="148"/>
      <c r="R12" s="148"/>
      <c r="S12" s="2"/>
    </row>
    <row r="13" ht="44" customHeight="1">
      <c r="A13" s="2"/>
      <c r="B13" s="2"/>
      <c r="C13" s="10" t="str">
        <v>序号</v>
      </c>
      <c r="D13" s="10" t="str">
        <v>类别</v>
      </c>
      <c r="E13" s="10" t="str">
        <v>Symbol</v>
      </c>
      <c r="F13" s="10" t="str">
        <v>名称</v>
      </c>
      <c r="G13" s="10" t="str">
        <v>Quote 合约</v>
      </c>
      <c r="H13" s="10" t="str">
        <v>Decimals</v>
      </c>
      <c r="I13" s="10" t="str">
        <v>r</v>
      </c>
      <c r="J13" s="10" t="str">
        <v>h</v>
      </c>
      <c r="K13" s="10" t="str">
        <v>k</v>
      </c>
      <c r="L13" s="10" t="str">
        <v>毕业真实 Quote</v>
      </c>
      <c r="M13" s="10" t="str">
        <v>DEX 初始 TOKEN</v>
      </c>
      <c r="N13" s="10" t="str">
        <v>Outer K</v>
      </c>
      <c r="O13" s="10" t="str">
        <v>数据日期</v>
      </c>
      <c r="P13" s="10" t="str">
        <v>Quote / USDT 价格</v>
      </c>
      <c r="Q13" s="10" t="str">
        <v>价格时间 / UTC</v>
      </c>
      <c r="R13" s="10" t="str">
        <v>价格来源</v>
      </c>
      <c r="S13" s="10" t="str">
        <v>说明</v>
      </c>
    </row>
    <row r="14" ht="44" customHeight="1">
      <c r="A14" s="2"/>
      <c r="B14" s="2"/>
      <c r="C14" s="11" t="n">
        <v>1</v>
      </c>
      <c r="D14" s="11" t="str">
        <v>股票 / ETF RWA</v>
      </c>
      <c r="E14" s="14" t="str">
        <v>SPCXB</v>
      </c>
      <c r="F14" s="14" t="str">
        <v>SpaceX</v>
      </c>
      <c r="G14" s="17" t="str">
        <v>​0xbe9D156892E55e7154BcD3cB0FEA677F9D3103E1</v>
      </c>
      <c r="H14" s="20" t="n">
        <v>18</v>
      </c>
      <c r="I14" s="23" t="n">
        <v>34.26749453</v>
      </c>
      <c r="J14" s="36" t="n">
        <v>107036751</v>
      </c>
      <c r="K14" s="39" t="n">
        <v>37935375809.401474</v>
      </c>
      <c r="L14" s="23" t="n">
        <v>89.28571428245735</v>
      </c>
      <c r="M14" s="36" t="n">
        <v>200000000</v>
      </c>
      <c r="N14" s="39" t="n">
        <v>17857142856.491467</v>
      </c>
      <c r="O14" s="11" t="str">
        <v>2026-09-10</v>
      </c>
      <c r="P14" s="26">
        <v>148.1402</v>
      </c>
      <c r="Q14" s="29">
        <v>46314.2679844213</v>
      </c>
      <c r="R14" s="32" t="inlineStr">
        <is>
          <t>https://dexscreener.com/bsc/0x977daffc095b33872e2741c19568925015c35b4d</t>
        </is>
      </c>
      <c r="S14" s="32" t="inlineStr">
        <is>
          <t>每日 Quote 代币池价；本地可手动更新</t>
        </is>
      </c>
    </row>
    <row r="15" ht="44" customHeight="1">
      <c r="A15" s="2"/>
      <c r="B15" s="2"/>
      <c r="C15" s="12" t="n">
        <v>2</v>
      </c>
      <c r="D15" s="12" t="str">
        <v>股票 / ETF RWA</v>
      </c>
      <c r="E15" s="15" t="str">
        <v>SKHYB</v>
      </c>
      <c r="F15" s="15" t="str">
        <v>SK Hynix</v>
      </c>
      <c r="G15" s="18" t="str">
        <v>​0xCA750eF65f295BBECd685Abf54e82CAf297BDB61</v>
      </c>
      <c r="H15" s="21" t="n">
        <v>18</v>
      </c>
      <c r="I15" s="24" t="n">
        <v>24.38502698</v>
      </c>
      <c r="J15" s="37" t="n">
        <v>107036751</v>
      </c>
      <c r="K15" s="40" t="n">
        <v>26995121040.98654</v>
      </c>
      <c r="L15" s="24" t="n">
        <v>63.536438294320014</v>
      </c>
      <c r="M15" s="37" t="n">
        <v>200000000</v>
      </c>
      <c r="N15" s="40" t="n">
        <v>12707287658.864</v>
      </c>
      <c r="O15" s="12" t="str">
        <v>2026-09-10</v>
      </c>
      <c r="P15" s="27">
        <v>141.6625</v>
      </c>
      <c r="Q15" s="30">
        <v>46314.26799</v>
      </c>
      <c r="R15" s="33" t="inlineStr">
        <is>
          <t>https://dexscreener.com/bsc/0xd7d30f434b12f7ed9b0ae11ff1c754745a10ad52</t>
        </is>
      </c>
      <c r="S15" s="33" t="inlineStr">
        <is>
          <t>每日 Quote 代币池价；本地可手动更新</t>
        </is>
      </c>
    </row>
    <row r="16" ht="44" customHeight="1">
      <c r="A16" s="2"/>
      <c r="B16" s="2"/>
      <c r="C16" s="12" t="n">
        <v>3</v>
      </c>
      <c r="D16" s="12" t="str">
        <v>股票 / ETF RWA</v>
      </c>
      <c r="E16" s="15" t="str">
        <v>SPYB</v>
      </c>
      <c r="F16" s="15" t="str">
        <v>SPY</v>
      </c>
      <c r="G16" s="18" t="str">
        <v>​0x7138b48df7D98D7e3cc221BfE7192D0a178182D8</v>
      </c>
      <c r="H16" s="21" t="n">
        <v>18</v>
      </c>
      <c r="I16" s="24" t="n">
        <v>5.13783051</v>
      </c>
      <c r="J16" s="37" t="n">
        <v>107036751</v>
      </c>
      <c r="K16" s="40" t="n">
        <v>5687767194.979073</v>
      </c>
      <c r="L16" s="24" t="n">
        <v>13.386880868863805</v>
      </c>
      <c r="M16" s="37" t="n">
        <v>200000000</v>
      </c>
      <c r="N16" s="40" t="n">
        <v>2677376173.772761</v>
      </c>
      <c r="O16" s="12" t="str">
        <v>2026-09-10</v>
      </c>
      <c r="P16" s="27">
        <v>771.4296</v>
      </c>
      <c r="Q16" s="30">
        <v>46314.267996504626</v>
      </c>
      <c r="R16" s="33" t="inlineStr">
        <is>
          <t>https://dexscreener.com/bsc/0x7aa6d92fc369a8c1edc631a3aac44efb0808ddbf</t>
        </is>
      </c>
      <c r="S16" s="33" t="inlineStr">
        <is>
          <t>每日 Quote 代币池价；本地可手动更新</t>
        </is>
      </c>
    </row>
    <row r="17" ht="44" customHeight="1">
      <c r="A17" s="2"/>
      <c r="B17" s="2"/>
      <c r="C17" s="12" t="n">
        <v>4</v>
      </c>
      <c r="D17" s="12" t="str">
        <v>黄金 RWA</v>
      </c>
      <c r="E17" s="15" t="str">
        <v>XAUT</v>
      </c>
      <c r="F17" s="15" t="str">
        <v>Tether Gold</v>
      </c>
      <c r="G17" s="18" t="str">
        <v>​0x21cAef8A43163Eea865baeE23b9C2E327696A3bf</v>
      </c>
      <c r="H17" s="21" t="n">
        <v>6</v>
      </c>
      <c r="I17" s="24" t="n">
        <v>0.94232929</v>
      </c>
      <c r="J17" s="37" t="n">
        <v>107036751</v>
      </c>
      <c r="K17" s="40" t="n">
        <v>1043193155.5737368</v>
      </c>
      <c r="L17" s="24" t="n">
        <v>2.4552872890450823</v>
      </c>
      <c r="M17" s="37" t="n">
        <v>200000000</v>
      </c>
      <c r="N17" s="40" t="n">
        <v>491057457.8090164</v>
      </c>
      <c r="O17" s="12" t="str">
        <v>2026-09-10</v>
      </c>
      <c r="P17" s="27">
        <v>4173.136</v>
      </c>
      <c r="Q17" s="30">
        <v>46314.26800138889</v>
      </c>
      <c r="R17" s="33" t="inlineStr">
        <is>
          <t>https://dexscreener.com/bsc/0x83a0a8a723262651ae9c54bbba929f167443bc59</t>
        </is>
      </c>
      <c r="S17" s="33" t="inlineStr">
        <is>
          <t>每日 Quote 代币池价；本地可手动更新</t>
        </is>
      </c>
    </row>
    <row r="18" ht="44" customHeight="1">
      <c r="A18" s="2"/>
      <c r="B18" s="2"/>
      <c r="C18" s="12" t="n">
        <v>5</v>
      </c>
      <c r="D18" s="12" t="str">
        <v>股票 / ETF RWA</v>
      </c>
      <c r="E18" s="15" t="str">
        <v>QQQB</v>
      </c>
      <c r="F18" s="15" t="str">
        <v>Invesco QQQ Trust</v>
      </c>
      <c r="G18" s="18" t="str">
        <v>​0x205812CdBed920aFf76C6580abD681a46D11efc7</v>
      </c>
      <c r="H18" s="21" t="n">
        <v>18</v>
      </c>
      <c r="I18" s="24" t="n">
        <v>5.68592593</v>
      </c>
      <c r="J18" s="37" t="n">
        <v>107036751</v>
      </c>
      <c r="K18" s="40" t="n">
        <v>6294528967.973853</v>
      </c>
      <c r="L18" s="24" t="n">
        <v>14.814971592765453</v>
      </c>
      <c r="M18" s="37" t="n">
        <v>200000000</v>
      </c>
      <c r="N18" s="40" t="n">
        <v>2962994318.55309</v>
      </c>
      <c r="O18" s="12" t="str">
        <v>2026-09-10</v>
      </c>
      <c r="P18" s="27">
        <v>721.2688</v>
      </c>
      <c r="Q18" s="30">
        <v>46314.26800737268</v>
      </c>
      <c r="R18" s="33" t="inlineStr">
        <is>
          <t>https://dexscreener.com/bsc/0xff2857eef9563e92e9be9550989a80878d97676d</t>
        </is>
      </c>
      <c r="S18" s="33" t="inlineStr">
        <is>
          <t>每日 Quote 代币池价；本地可手动更新</t>
        </is>
      </c>
    </row>
    <row r="19" ht="44" customHeight="1">
      <c r="A19" s="2"/>
      <c r="B19" s="2"/>
      <c r="C19" s="12" t="n">
        <v>6</v>
      </c>
      <c r="D19" s="12" t="str">
        <v>股票 / ETF RWA</v>
      </c>
      <c r="E19" s="15" t="str">
        <v>NVDAB</v>
      </c>
      <c r="F19" s="15" t="str">
        <v>NVIDIA Corp</v>
      </c>
      <c r="G19" s="18" t="str">
        <v>​0x02Fca66C1D1aFB4E2A7884261eB00F63598a7436</v>
      </c>
      <c r="H19" s="21" t="n">
        <v>18</v>
      </c>
      <c r="I19" s="24" t="n">
        <v>17.36633207</v>
      </c>
      <c r="J19" s="37" t="n">
        <v>107036751</v>
      </c>
      <c r="K19" s="40" t="n">
        <v>19225167831.559906</v>
      </c>
      <c r="L19" s="24" t="n">
        <v>45.24886877792685</v>
      </c>
      <c r="M19" s="37" t="n">
        <v>200000000</v>
      </c>
      <c r="N19" s="40" t="n">
        <v>9049773755.58537</v>
      </c>
      <c r="O19" s="12" t="str">
        <v>2026-09-10</v>
      </c>
      <c r="P19" s="27">
        <v>217.9457</v>
      </c>
      <c r="Q19" s="30">
        <v>46314.26801288195</v>
      </c>
      <c r="R19" s="33" t="inlineStr">
        <is>
          <t>https://dexscreener.com/bsc/0x8fb4243b553ac29ba088acf00b9b7da24bd6690c</t>
        </is>
      </c>
      <c r="S19" s="33" t="inlineStr">
        <is>
          <t>每日 Quote 代币池价；本地可手动更新</t>
        </is>
      </c>
    </row>
    <row r="20" ht="44" customHeight="1">
      <c r="A20" s="2"/>
      <c r="B20" s="2"/>
      <c r="C20" s="12" t="n">
        <v>7</v>
      </c>
      <c r="D20" s="12" t="str">
        <v>股票 / ETF RWA</v>
      </c>
      <c r="E20" s="15" t="str">
        <v>AAPLB</v>
      </c>
      <c r="F20" s="15" t="str">
        <v>Apple</v>
      </c>
      <c r="G20" s="18" t="str">
        <v>​0x431a3BEE82E2ca41e49895CbECE5bB0F76A89b7A</v>
      </c>
      <c r="H20" s="21" t="n">
        <v>18</v>
      </c>
      <c r="I20" s="24" t="n">
        <v>11.63030303</v>
      </c>
      <c r="J20" s="37" t="n">
        <v>107036751</v>
      </c>
      <c r="K20" s="40" t="n">
        <v>12875172879.476656</v>
      </c>
      <c r="L20" s="24" t="n">
        <v>30.303350962699575</v>
      </c>
      <c r="M20" s="37" t="n">
        <v>200000000</v>
      </c>
      <c r="N20" s="40" t="n">
        <v>6060670192.539914</v>
      </c>
      <c r="O20" s="12" t="str">
        <v>2026-09-10</v>
      </c>
      <c r="P20" s="27">
        <v>344.3792</v>
      </c>
      <c r="Q20" s="30">
        <v>46314.268018333336</v>
      </c>
      <c r="R20" s="33" t="inlineStr">
        <is>
          <t>https://dexscreener.com/bsc/0x755f5baa43f692550aa46be662240eeb99ae7502</t>
        </is>
      </c>
      <c r="S20" s="33" t="inlineStr">
        <is>
          <t>每日 Quote 代币池价；本地可手动更新</t>
        </is>
      </c>
    </row>
    <row r="21" ht="44" customHeight="1">
      <c r="A21" s="2"/>
      <c r="B21" s="2"/>
      <c r="C21" s="12" t="n">
        <v>8</v>
      </c>
      <c r="D21" s="12" t="str">
        <v>股票 / ETF RWA</v>
      </c>
      <c r="E21" s="15" t="str">
        <v>TSLAB</v>
      </c>
      <c r="F21" s="15" t="str">
        <v>Tesla</v>
      </c>
      <c r="G21" s="18" t="str">
        <v>​0x5b1910eAaD6450E50f816082Aa078C41F10C292f</v>
      </c>
      <c r="H21" s="21" t="n">
        <v>18</v>
      </c>
      <c r="I21" s="24" t="n">
        <v>12.79</v>
      </c>
      <c r="J21" s="37" t="n">
        <v>107036751</v>
      </c>
      <c r="K21" s="40" t="n">
        <v>14159000045.29</v>
      </c>
      <c r="L21" s="24" t="n">
        <v>33.32500088890011</v>
      </c>
      <c r="M21" s="37" t="n">
        <v>200000000</v>
      </c>
      <c r="N21" s="40" t="n">
        <v>6665000177.780021</v>
      </c>
      <c r="O21" s="12" t="str">
        <v>2026-09-10</v>
      </c>
      <c r="P21" s="27">
        <v>357.8763</v>
      </c>
      <c r="Q21" s="30">
        <v>46314.26802488426</v>
      </c>
      <c r="R21" s="33" t="inlineStr">
        <is>
          <t>https://dexscreener.com/bsc/0xb0f5e5400e8f0f7c242f2b7740c004f020579c41</t>
        </is>
      </c>
      <c r="S21" s="33" t="inlineStr">
        <is>
          <t>每日 Quote 代币池价；本地可手动更新</t>
        </is>
      </c>
    </row>
    <row r="22" ht="44" customHeight="1">
      <c r="A22" s="2"/>
      <c r="B22" s="2"/>
      <c r="C22" s="12" t="n">
        <v>9</v>
      </c>
      <c r="D22" s="12" t="str">
        <v>股票 / ETF RWA</v>
      </c>
      <c r="E22" s="15" t="str">
        <v>MSFTB</v>
      </c>
      <c r="F22" s="15" t="str">
        <v>Microsoft</v>
      </c>
      <c r="G22" s="18" t="str">
        <v>​0x80106cb3EAD06659A5ad19DF39D9b4733863B9b0</v>
      </c>
      <c r="H22" s="21" t="n">
        <v>18</v>
      </c>
      <c r="I22" s="24" t="n">
        <v>8.52666667</v>
      </c>
      <c r="J22" s="37" t="n">
        <v>107036751</v>
      </c>
      <c r="K22" s="40" t="n">
        <v>9439333367.21679</v>
      </c>
      <c r="L22" s="24" t="n">
        <v>22.216667267951905</v>
      </c>
      <c r="M22" s="37" t="n">
        <v>200000000</v>
      </c>
      <c r="N22" s="40" t="n">
        <v>4443333453.590381</v>
      </c>
      <c r="O22" s="12" t="str">
        <v>2026-09-10</v>
      </c>
      <c r="P22" s="27">
        <v>533.3106</v>
      </c>
      <c r="Q22" s="30">
        <v>46314.268030312494</v>
      </c>
      <c r="R22" s="33" t="inlineStr">
        <is>
          <t>https://dexscreener.com/bsc/0x5018b018ceb7645c927c5cf246786f89ebcbe7ea</t>
        </is>
      </c>
      <c r="S22" s="33" t="inlineStr">
        <is>
          <t>每日 Quote 代币池价；本地可手动更新</t>
        </is>
      </c>
    </row>
    <row r="23" ht="44" customHeight="1">
      <c r="A23" s="2"/>
      <c r="B23" s="2"/>
      <c r="C23" s="12" t="n">
        <v>10</v>
      </c>
      <c r="D23" s="12" t="str">
        <v>股票 / ETF RWA</v>
      </c>
      <c r="E23" s="15" t="str">
        <v>GOOGLB</v>
      </c>
      <c r="F23" s="15" t="str">
        <v>Alphabet</v>
      </c>
      <c r="G23" s="18" t="str">
        <v>​0x3F53De71c126BdaBAe20f9cD64848d317f6C3238</v>
      </c>
      <c r="H23" s="21" t="n">
        <v>18</v>
      </c>
      <c r="I23" s="24" t="n">
        <v>11.63030303</v>
      </c>
      <c r="J23" s="37" t="n">
        <v>107036751</v>
      </c>
      <c r="K23" s="40" t="n">
        <v>12875172879.476656</v>
      </c>
      <c r="L23" s="24" t="n">
        <v>30.303350962699575</v>
      </c>
      <c r="M23" s="37" t="n">
        <v>200000000</v>
      </c>
      <c r="N23" s="40" t="n">
        <v>6060670192.539914</v>
      </c>
      <c r="O23" s="12" t="str">
        <v>2026-09-10</v>
      </c>
      <c r="P23" s="27">
        <v>343.4863</v>
      </c>
      <c r="Q23" s="30">
        <v>46314.26803618056</v>
      </c>
      <c r="R23" s="33" t="inlineStr">
        <is>
          <t>https://dexscreener.com/bsc/0x89001d846f7ca36ee089f73eefc25657e1798144</t>
        </is>
      </c>
      <c r="S23" s="33" t="inlineStr">
        <is>
          <t>每日 Quote 代币池价；本地可手动更新</t>
        </is>
      </c>
    </row>
    <row r="24" ht="44" customHeight="1">
      <c r="A24" s="2"/>
      <c r="B24" s="2"/>
      <c r="C24" s="12" t="n">
        <v>11</v>
      </c>
      <c r="D24" s="12" t="str">
        <v>股票 / ETF RWA</v>
      </c>
      <c r="E24" s="15" t="str">
        <v>HOODB</v>
      </c>
      <c r="F24" s="15" t="str">
        <v>Robinhood</v>
      </c>
      <c r="G24" s="18" t="str">
        <v>​0xA394dCEa3fd3847fD793afBFd163E2e3858B7c65</v>
      </c>
      <c r="H24" s="21" t="n">
        <v>18</v>
      </c>
      <c r="I24" s="24" t="n">
        <v>34.26749453</v>
      </c>
      <c r="J24" s="37" t="n">
        <v>107036751</v>
      </c>
      <c r="K24" s="40" t="n">
        <v>37935375809.401474</v>
      </c>
      <c r="L24" s="24" t="n">
        <v>89.28571428245735</v>
      </c>
      <c r="M24" s="37" t="n">
        <v>200000000</v>
      </c>
      <c r="N24" s="40" t="n">
        <v>17857142856.491467</v>
      </c>
      <c r="O24" s="12" t="str">
        <v>2026-09-10</v>
      </c>
      <c r="P24" s="27">
        <v>100.9258</v>
      </c>
      <c r="Q24" s="30">
        <v>46314.26804193287</v>
      </c>
      <c r="R24" s="33" t="inlineStr">
        <is>
          <t>https://dexscreener.com/bsc/0xfeef70ff6f58f0a900e28a77e5a8945afb343923</t>
        </is>
      </c>
      <c r="S24" s="33" t="inlineStr">
        <is>
          <t>每日 Quote 代币池价；本地可手动更新</t>
        </is>
      </c>
    </row>
    <row r="25" ht="44" customHeight="1">
      <c r="A25" s="2"/>
      <c r="B25" s="2"/>
      <c r="C25" s="12" t="n">
        <v>12</v>
      </c>
      <c r="D25" s="12" t="str">
        <v>股票 / ETF RWA</v>
      </c>
      <c r="E25" s="15" t="str">
        <v>BABAB</v>
      </c>
      <c r="F25" s="15" t="str">
        <v>Alibaba</v>
      </c>
      <c r="G25" s="18" t="str">
        <v>​0x4eF9d3062c7F6ebA4AAE4990c5036598C6eff4ec</v>
      </c>
      <c r="H25" s="21" t="n">
        <v>18</v>
      </c>
      <c r="I25" s="24" t="n">
        <v>30.696</v>
      </c>
      <c r="J25" s="37" t="n">
        <v>107036751</v>
      </c>
      <c r="K25" s="40" t="n">
        <v>33981600108.696</v>
      </c>
      <c r="L25" s="24" t="n">
        <v>79.98000213336024</v>
      </c>
      <c r="M25" s="37" t="n">
        <v>200000000</v>
      </c>
      <c r="N25" s="40" t="n">
        <v>15996000426.672047</v>
      </c>
      <c r="O25" s="12" t="str">
        <v>2026-09-10</v>
      </c>
      <c r="P25" s="27">
        <v>110.2588</v>
      </c>
      <c r="Q25" s="30">
        <v>46314.26804802084</v>
      </c>
      <c r="R25" s="33" t="inlineStr">
        <is>
          <t>https://dexscreener.com/bsc/0xfd95cb1391999006eb91797a7c62acfe88b20292</t>
        </is>
      </c>
      <c r="S25" s="33" t="inlineStr">
        <is>
          <t>每日 Quote 代币池价；本地可手动更新</t>
        </is>
      </c>
    </row>
    <row r="26" ht="44" customHeight="1">
      <c r="A26" s="2"/>
      <c r="B26" s="2"/>
      <c r="C26" s="12" t="n">
        <v>13</v>
      </c>
      <c r="D26" s="12" t="str">
        <v>股票 / ETF RWA</v>
      </c>
      <c r="E26" s="15" t="str">
        <v>GMEB</v>
      </c>
      <c r="F26" s="15" t="str">
        <v>GameStop</v>
      </c>
      <c r="G26" s="18" t="str">
        <v>​0x46cEeFDa28Dd7207059ed19B0acdc026955bb15C</v>
      </c>
      <c r="H26" s="21" t="n">
        <v>18</v>
      </c>
      <c r="I26" s="24" t="n">
        <v>177.68330498</v>
      </c>
      <c r="J26" s="37" t="n">
        <v>107036751</v>
      </c>
      <c r="K26" s="40" t="n">
        <v>196701948652.0013</v>
      </c>
      <c r="L26" s="24" t="n">
        <v>462.96296297116555</v>
      </c>
      <c r="M26" s="37" t="n">
        <v>200000000</v>
      </c>
      <c r="N26" s="40" t="n">
        <v>92592592594.2331</v>
      </c>
      <c r="O26" s="12" t="str">
        <v>2026-09-10</v>
      </c>
      <c r="P26" s="27">
        <v>26.7922</v>
      </c>
      <c r="Q26" s="30">
        <v>46314.26805366898</v>
      </c>
      <c r="R26" s="33" t="inlineStr">
        <is>
          <t>https://dexscreener.com/bsc/0x908d49048eb3a7bedfd238972403842805eaf2be</t>
        </is>
      </c>
      <c r="S26" s="33" t="inlineStr">
        <is>
          <t>每日 Quote 代币池价；本地可手动更新</t>
        </is>
      </c>
    </row>
    <row r="27" ht="44" customHeight="1">
      <c r="A27" s="2"/>
      <c r="B27" s="2"/>
      <c r="C27" s="12" t="n">
        <v>14</v>
      </c>
      <c r="D27" s="12" t="str">
        <v>股票 / ETF RWA</v>
      </c>
      <c r="E27" s="15" t="str">
        <v>NFLXB</v>
      </c>
      <c r="F27" s="15" t="str">
        <v>Netflix</v>
      </c>
      <c r="G27" s="18" t="str">
        <v>​0xD6829Ea836b6FA224d099D40E54B31262f874631</v>
      </c>
      <c r="H27" s="21" t="n">
        <v>18</v>
      </c>
      <c r="I27" s="24" t="n">
        <v>51.16</v>
      </c>
      <c r="J27" s="37" t="n">
        <v>107036751</v>
      </c>
      <c r="K27" s="40" t="n">
        <v>56636000181.16</v>
      </c>
      <c r="L27" s="24" t="n">
        <v>133.30000355560043</v>
      </c>
      <c r="M27" s="37" t="n">
        <v>200000000</v>
      </c>
      <c r="N27" s="40" t="n">
        <v>26660000711.120083</v>
      </c>
      <c r="O27" s="12" t="str">
        <v>2026-09-10</v>
      </c>
      <c r="P27" s="27">
        <v>70.7828</v>
      </c>
      <c r="Q27" s="30">
        <v>46314.26805934028</v>
      </c>
      <c r="R27" s="33" t="inlineStr">
        <is>
          <t>https://dexscreener.com/bsc/0xafab4441d8b354bba790229c0e235e7e6187b3d0</t>
        </is>
      </c>
      <c r="S27" s="33" t="inlineStr">
        <is>
          <t>每日 Quote 代币池价；本地可手动更新</t>
        </is>
      </c>
    </row>
    <row r="28" ht="44" customHeight="1">
      <c r="A28" s="2"/>
      <c r="B28" s="2"/>
      <c r="C28" s="12" t="n">
        <v>15</v>
      </c>
      <c r="D28" s="12" t="str">
        <v>股票 / ETF RWA</v>
      </c>
      <c r="E28" s="15" t="str">
        <v>MSTRB</v>
      </c>
      <c r="F28" s="15" t="str">
        <v>Strategy</v>
      </c>
      <c r="G28" s="18" t="str">
        <v>​0xE87afb3076AeB0f9B14E368DE8145ae6a2826A14</v>
      </c>
      <c r="H28" s="21" t="n">
        <v>18</v>
      </c>
      <c r="I28" s="24" t="n">
        <v>34.26749453</v>
      </c>
      <c r="J28" s="37" t="n">
        <v>107036751</v>
      </c>
      <c r="K28" s="40" t="n">
        <v>37935375809.401474</v>
      </c>
      <c r="L28" s="24" t="n">
        <v>89.28571428245735</v>
      </c>
      <c r="M28" s="37" t="n">
        <v>200000000</v>
      </c>
      <c r="N28" s="40" t="n">
        <v>17857142856.491467</v>
      </c>
      <c r="O28" s="12" t="str">
        <v>2026-09-10</v>
      </c>
      <c r="P28" s="27">
        <v>140.753</v>
      </c>
      <c r="Q28" s="30">
        <v>46314.268065289354</v>
      </c>
      <c r="R28" s="33" t="inlineStr">
        <is>
          <t>https://dexscreener.com/bsc/0x692081209619735f25700557078ab084d3e5d007</t>
        </is>
      </c>
      <c r="S28" s="33" t="inlineStr">
        <is>
          <t>每日 Quote 代币池价；本地可手动更新</t>
        </is>
      </c>
    </row>
    <row r="29" ht="44" customHeight="1">
      <c r="A29" s="2"/>
      <c r="B29" s="2"/>
      <c r="C29" s="12" t="n">
        <v>16</v>
      </c>
      <c r="D29" s="12" t="str">
        <v>股票 / ETF RWA</v>
      </c>
      <c r="E29" s="15" t="str">
        <v>DJTB</v>
      </c>
      <c r="F29" s="15" t="str">
        <v>Trump Media &amp; Technology Group Corp</v>
      </c>
      <c r="G29" s="18" t="str">
        <v>​0xF2ec508422174Ee564de98187db9359D318AFB6b</v>
      </c>
      <c r="H29" s="21" t="n">
        <v>18</v>
      </c>
      <c r="I29" s="24" t="n">
        <v>383.7</v>
      </c>
      <c r="J29" s="37" t="n">
        <v>107036751</v>
      </c>
      <c r="K29" s="40" t="n">
        <v>424770001358.7</v>
      </c>
      <c r="L29" s="24" t="n">
        <v>999.7500266670031</v>
      </c>
      <c r="M29" s="37" t="n">
        <v>200000000</v>
      </c>
      <c r="N29" s="40" t="n">
        <v>199950005333.4006</v>
      </c>
      <c r="O29" s="12" t="str">
        <v>2026-09-10</v>
      </c>
      <c r="P29" s="27" t="inlineStr">
        <is>
          <t/>
        </is>
      </c>
      <c r="Q29" s="30">
        <v>46314.26807113426</v>
      </c>
      <c r="R29" s="33" t="inlineStr">
        <is>
          <t/>
        </is>
      </c>
      <c r="S29" s="33" t="inlineStr">
        <is>
          <t>暂无合格池价；可手动输入</t>
        </is>
      </c>
    </row>
    <row r="30" ht="44" customHeight="1">
      <c r="A30" s="2"/>
      <c r="B30" s="2"/>
      <c r="C30" s="12" t="n">
        <v>17</v>
      </c>
      <c r="D30" s="12" t="str">
        <v>股票 / ETF RWA</v>
      </c>
      <c r="E30" s="15" t="str">
        <v>SOXSB</v>
      </c>
      <c r="F30" s="15" t="str">
        <v>Direxion Semiconductor Bear 3X ETF</v>
      </c>
      <c r="G30" s="18" t="str">
        <v>​0xE28Cd11C99AF2df76bb8aDA4Cd0ef3904378280F</v>
      </c>
      <c r="H30" s="21" t="n">
        <v>18</v>
      </c>
      <c r="I30" s="24" t="n">
        <v>76.74</v>
      </c>
      <c r="J30" s="37" t="n">
        <v>107036751</v>
      </c>
      <c r="K30" s="40" t="n">
        <v>84954000271.74</v>
      </c>
      <c r="L30" s="24" t="n">
        <v>199.9500053334006</v>
      </c>
      <c r="M30" s="37" t="n">
        <v>200000000</v>
      </c>
      <c r="N30" s="40" t="n">
        <v>39990001066.680115</v>
      </c>
      <c r="O30" s="12" t="str">
        <v>2026-09-10</v>
      </c>
      <c r="P30" s="27" t="inlineStr">
        <is>
          <t/>
        </is>
      </c>
      <c r="Q30" s="30">
        <v>46314.268076608794</v>
      </c>
      <c r="R30" s="33" t="inlineStr">
        <is>
          <t/>
        </is>
      </c>
      <c r="S30" s="33" t="inlineStr">
        <is>
          <t>暂无合格池价；可手动输入</t>
        </is>
      </c>
    </row>
    <row r="31" ht="44" customHeight="1">
      <c r="A31" s="2"/>
      <c r="B31" s="2"/>
      <c r="C31" s="12" t="n">
        <v>18</v>
      </c>
      <c r="D31" s="12" t="str">
        <v>股票 / ETF RWA</v>
      </c>
      <c r="E31" s="15" t="str">
        <v>SOXLB</v>
      </c>
      <c r="F31" s="15" t="str">
        <v>Semicon Bull 3X ETF</v>
      </c>
      <c r="G31" s="18" t="str">
        <v>​0xd97d097a89113fa59b76c572E5b2Eb647E8eefaf</v>
      </c>
      <c r="H31" s="21" t="n">
        <v>18</v>
      </c>
      <c r="I31" s="24" t="n">
        <v>34.88181818</v>
      </c>
      <c r="J31" s="37" t="n">
        <v>107036751</v>
      </c>
      <c r="K31" s="40" t="n">
        <v>38615454668.972725</v>
      </c>
      <c r="L31" s="24" t="n">
        <v>90.88636606245481</v>
      </c>
      <c r="M31" s="37" t="n">
        <v>200000000</v>
      </c>
      <c r="N31" s="40" t="n">
        <v>18177273212.49096</v>
      </c>
      <c r="O31" s="12" t="str">
        <v>2026-09-10</v>
      </c>
      <c r="P31" s="27">
        <v>102.3099</v>
      </c>
      <c r="Q31" s="30">
        <v>46314.26808289352</v>
      </c>
      <c r="R31" s="33" t="inlineStr">
        <is>
          <t>https://dexscreener.com/bsc/0x3d7d950377eca7b4af7233716ff17def00ab2045</t>
        </is>
      </c>
      <c r="S31" s="33" t="inlineStr">
        <is>
          <t>每日 Quote 代币池价；本地可手动更新</t>
        </is>
      </c>
    </row>
    <row r="32" ht="44" customHeight="1">
      <c r="A32" s="2"/>
      <c r="B32" s="2"/>
      <c r="C32" s="12" t="n">
        <v>19</v>
      </c>
      <c r="D32" s="12" t="str">
        <v>股票 / ETF RWA</v>
      </c>
      <c r="E32" s="15" t="str">
        <v>MRNAB</v>
      </c>
      <c r="F32" s="15" t="str">
        <v>Moderna</v>
      </c>
      <c r="G32" s="18" t="str">
        <v>​0x5fd86da9B05abE396fe9d02a4A213A7c00556503</v>
      </c>
      <c r="H32" s="21" t="n">
        <v>18</v>
      </c>
      <c r="I32" s="24" t="n">
        <v>24.38502698</v>
      </c>
      <c r="J32" s="37" t="n">
        <v>107036751</v>
      </c>
      <c r="K32" s="40" t="n">
        <v>26995121040.98654</v>
      </c>
      <c r="L32" s="24" t="n">
        <v>63.536438294320014</v>
      </c>
      <c r="M32" s="37" t="n">
        <v>200000000</v>
      </c>
      <c r="N32" s="40" t="n">
        <v>12707287658.864</v>
      </c>
      <c r="O32" s="12" t="str">
        <v>2026-09-10</v>
      </c>
      <c r="P32" s="27" t="inlineStr">
        <is>
          <t/>
        </is>
      </c>
      <c r="Q32" s="30">
        <v>46314.268089178244</v>
      </c>
      <c r="R32" s="33" t="inlineStr">
        <is>
          <t/>
        </is>
      </c>
      <c r="S32" s="33" t="inlineStr">
        <is>
          <t>暂无合格池价；可手动输入</t>
        </is>
      </c>
    </row>
    <row r="33" ht="44" customHeight="1">
      <c r="A33" s="2"/>
      <c r="B33" s="2"/>
      <c r="C33" s="12" t="n">
        <v>20</v>
      </c>
      <c r="D33" s="12" t="str">
        <v>股票 / ETF RWA</v>
      </c>
      <c r="E33" s="15" t="str">
        <v>FLNCB</v>
      </c>
      <c r="F33" s="15" t="str">
        <v>Fluence Energy</v>
      </c>
      <c r="G33" s="18" t="str">
        <v>​0x4af1D41cd9dD950dcA43984b43aaA2A8702714Ac</v>
      </c>
      <c r="H33" s="21" t="n">
        <v>18</v>
      </c>
      <c r="I33" s="24" t="n">
        <v>383.7</v>
      </c>
      <c r="J33" s="37" t="n">
        <v>107036751</v>
      </c>
      <c r="K33" s="40" t="n">
        <v>424770001358.7</v>
      </c>
      <c r="L33" s="24" t="n">
        <v>999.7500266670031</v>
      </c>
      <c r="M33" s="37" t="n">
        <v>200000000</v>
      </c>
      <c r="N33" s="40" t="n">
        <v>199950005333.4006</v>
      </c>
      <c r="O33" s="12" t="str">
        <v>2026-09-10</v>
      </c>
      <c r="P33" s="27" t="inlineStr">
        <is>
          <t/>
        </is>
      </c>
      <c r="Q33" s="30">
        <v>46314.26809453704</v>
      </c>
      <c r="R33" s="33" t="inlineStr">
        <is>
          <t/>
        </is>
      </c>
      <c r="S33" s="33" t="inlineStr">
        <is>
          <t>暂无合格池价；可手动输入</t>
        </is>
      </c>
    </row>
    <row r="34" ht="44" customHeight="1">
      <c r="A34" s="2"/>
      <c r="B34" s="2"/>
      <c r="C34" s="12" t="n">
        <v>21</v>
      </c>
      <c r="D34" s="12" t="str">
        <v>股票 / ETF RWA</v>
      </c>
      <c r="E34" s="15" t="str">
        <v>FXIon</v>
      </c>
      <c r="F34" s="15" t="str">
        <v>iShares China Large-Cap ETF</v>
      </c>
      <c r="G34" s="18" t="str">
        <v>​0x9b8E987e6fEc8Cf1380C4dcA7071e2C7853AEEA1</v>
      </c>
      <c r="H34" s="21" t="n">
        <v>18</v>
      </c>
      <c r="I34" s="24" t="n">
        <v>109.62857143</v>
      </c>
      <c r="J34" s="37" t="n">
        <v>107036751</v>
      </c>
      <c r="K34" s="40" t="n">
        <v>121362857531.05714</v>
      </c>
      <c r="L34" s="24" t="n">
        <v>285.64286476057237</v>
      </c>
      <c r="M34" s="37" t="n">
        <v>200000000</v>
      </c>
      <c r="N34" s="40" t="n">
        <v>57128572952.11446</v>
      </c>
      <c r="O34" s="12" t="str">
        <v>2026-09-10</v>
      </c>
      <c r="P34" s="27">
        <v>34.1066</v>
      </c>
      <c r="Q34" s="30">
        <v>46314.26810016204</v>
      </c>
      <c r="R34" s="33" t="inlineStr">
        <is>
          <t>https://dexscreener.com/bsc/0x8768c8969e177575e37435b8295afa2dfb231c86</t>
        </is>
      </c>
      <c r="S34" s="33" t="inlineStr">
        <is>
          <t>每日 Quote 代币池价；本地可手动更新</t>
        </is>
      </c>
    </row>
    <row r="35" ht="44" customHeight="1">
      <c r="A35" s="2"/>
      <c r="B35" s="2"/>
      <c r="C35" s="12" t="n">
        <v>22</v>
      </c>
      <c r="D35" s="12" t="str">
        <v>股票 / ETF RWA</v>
      </c>
      <c r="E35" s="15" t="str">
        <v>BMNRB</v>
      </c>
      <c r="F35" s="15" t="str">
        <v>BitMine Immersion Technologies</v>
      </c>
      <c r="G35" s="18" t="str">
        <v>​0x3548Da95a9eFFE481e8604664d75e95821e557F5</v>
      </c>
      <c r="H35" s="21" t="n">
        <v>18</v>
      </c>
      <c r="I35" s="24" t="n">
        <v>153.48</v>
      </c>
      <c r="J35" s="37" t="n">
        <v>107036751</v>
      </c>
      <c r="K35" s="40" t="n">
        <v>169908000543.48</v>
      </c>
      <c r="L35" s="24" t="n">
        <v>399.9000106668012</v>
      </c>
      <c r="M35" s="37" t="n">
        <v>200000000</v>
      </c>
      <c r="N35" s="40" t="n">
        <v>79980002133.36023</v>
      </c>
      <c r="O35" s="12" t="str">
        <v>2026-09-10</v>
      </c>
      <c r="P35" s="27" t="inlineStr">
        <is>
          <t/>
        </is>
      </c>
      <c r="Q35" s="30">
        <v>46314.26810650463</v>
      </c>
      <c r="R35" s="33" t="inlineStr">
        <is>
          <t/>
        </is>
      </c>
      <c r="S35" s="33" t="inlineStr">
        <is>
          <t>暂无合格池价；可手动输入</t>
        </is>
      </c>
    </row>
    <row r="36" ht="44" customHeight="1">
      <c r="A36" s="2"/>
      <c r="B36" s="2"/>
      <c r="C36" s="13" t="n">
        <v>23</v>
      </c>
      <c r="D36" s="13" t="str">
        <v>股票 / ETF RWA</v>
      </c>
      <c r="E36" s="16" t="str">
        <v>BILIon</v>
      </c>
      <c r="F36" s="16" t="str">
        <v>Bilibili</v>
      </c>
      <c r="G36" s="19" t="str">
        <v>​0x91fc7371d6dE682A1e8CFcB4EB7dA693312A03a4</v>
      </c>
      <c r="H36" s="22" t="n">
        <v>18</v>
      </c>
      <c r="I36" s="25" t="n">
        <v>239.8125</v>
      </c>
      <c r="J36" s="38" t="n">
        <v>107036751</v>
      </c>
      <c r="K36" s="41" t="n">
        <v>265481250849.1875</v>
      </c>
      <c r="L36" s="25" t="n">
        <v>624.843766666877</v>
      </c>
      <c r="M36" s="38" t="n">
        <v>200000000</v>
      </c>
      <c r="N36" s="41" t="n">
        <v>124968753333.37537</v>
      </c>
      <c r="O36" s="13" t="str">
        <v>2026-09-10</v>
      </c>
      <c r="P36" s="28" t="inlineStr">
        <is>
          <t/>
        </is>
      </c>
      <c r="Q36" s="31">
        <v>46314.26811173611</v>
      </c>
      <c r="R36" s="34" t="inlineStr">
        <is>
          <t/>
        </is>
      </c>
      <c r="S36" s="34" t="inlineStr">
        <is>
          <t>暂无合格池价；可手动输入</t>
        </is>
      </c>
    </row>
  </sheetData>
  <mergeCells>
    <mergeCell ref="C3:O3"/>
    <mergeCell ref="C5:D5"/>
    <mergeCell ref="E5:O5"/>
    <mergeCell ref="C6:D6"/>
    <mergeCell ref="E6:O6"/>
    <mergeCell ref="C7:D7"/>
    <mergeCell ref="E7:O7"/>
    <mergeCell ref="C8:D8"/>
    <mergeCell ref="E8:O8"/>
    <mergeCell ref="C9:D9"/>
    <mergeCell ref="E9:O9"/>
    <mergeCell ref="C10:D10"/>
    <mergeCell ref="E10:O10"/>
    <mergeCell ref="C11:D11"/>
    <mergeCell ref="E11:O11"/>
    <mergeCell ref="P6:S6"/>
    <mergeCell ref="R3:S3"/>
  </mergeCells>
  <pageMargins left="0.7" right="0.7" top="0.75" bottom="0.75" header="0.3" footer="0.3"/>
</worksheet>
</file>