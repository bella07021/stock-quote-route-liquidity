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f1d8e1c1c43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67f6ee109244896"/>
    <x:sheet xmlns:r="http://schemas.openxmlformats.org/officeDocument/2006/relationships" name="Quote参数" sheetId="2" r:id="Rd7871358ec0440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79f1108fe04217" /><Relationship Type="http://schemas.openxmlformats.org/officeDocument/2006/relationships/theme" Target="/xl/theme/theme1.xml" Id="R1b76c068776d47c2" /><Relationship Type="http://schemas.openxmlformats.org/officeDocument/2006/relationships/sharedStrings" Target="/xl/sharedStrings.xml" Id="R01195225f71d4a0a" /><Relationship Type="http://schemas.openxmlformats.org/officeDocument/2006/relationships/worksheet" Target="/xl/worksheets/sheet1.xml" Id="R767f6ee109244896" /><Relationship Type="http://schemas.openxmlformats.org/officeDocument/2006/relationships/worksheet" Target="/xl/worksheets/sheet2.xml" Id="Rd7871358ec0440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1" hidden="0" customWidth="1"/>
    <x:col min="5" max="5" width="14" hidden="0" customWidth="1"/>
    <x:col min="6" max="6" width="25" hidden="0" customWidth="1"/>
    <x:col min="7" max="7" width="21" hidden="0" customWidth="1"/>
    <x:col min="8" max="8" width="14" hidden="0" customWidth="1"/>
    <x:col min="9" max="9" width="25" hidden="0" customWidth="1"/>
    <x:col min="10" max="10" width="21" hidden="0" customWidth="1"/>
    <x:col min="11" max="11" width="14" hidden="0" customWidth="1"/>
    <x:col min="12" max="12" width="17" hidden="0" customWidth="1"/>
  </x:cols>
  <x:sheetData>
    <x:row r="1" ht="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8" customHeight="1">
      <x:c r="A2" s="2"/>
      <x:c r="B2" s="2"/>
      <x:c r="C2" s="4" t="str">
        <x:v>Flap BSC 控筹模型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 ht="20" customHeight="1">
      <x:c r="A3" s="2"/>
      <x:c r="B3" s="2"/>
      <x:c r="C3" s="5" t="str">
        <x:v>蓝色格可编辑。Quote 资金与原生币 Gas 分开准备；总折算价值包含 Gas。</x:v>
      </x:c>
      <x:c r="D3" s="5"/>
      <x:c r="E3" s="5"/>
      <x:c r="F3" s="5"/>
      <x:c r="G3" s="5"/>
      <x:c r="H3" s="5"/>
      <x:c r="I3" s="5"/>
      <x:c r="J3" s="5"/>
      <x:c r="K3" s="5"/>
      <x:c r="L3" s="5"/>
    </x:row>
    <x:row r="4" ht="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4" customHeight="1">
      <x:c r="A5" s="2"/>
      <x:c r="B5" s="2"/>
      <x:c r="C5" s="8" t="str">
        <x:v>一、可编辑参数</x:v>
      </x:c>
      <x:c r="D5" s="8"/>
      <x:c r="E5" s="8"/>
      <x:c r="F5" s="8"/>
      <x:c r="G5" s="8"/>
      <x:c r="H5" s="8"/>
      <x:c r="I5" s="8"/>
      <x:c r="J5" s="8"/>
      <x:c r="K5" s="8"/>
      <x:c r="L5" s="8"/>
    </x:row>
    <x:row r="6" ht="20" customHeight="1">
      <x:c r="A6" s="2"/>
      <x:c r="B6" s="2"/>
      <x:c r="C6" s="46" t="str">
        <x:v>交易参数</x:v>
      </x:c>
      <x:c r="D6" s="2"/>
      <x:c r="E6" s="2"/>
      <x:c r="F6" s="46" t="str">
        <x:v>地址与 Gas</x:v>
      </x:c>
      <x:c r="G6" s="2"/>
      <x:c r="H6" s="2"/>
      <x:c r="I6" s="46" t="str">
        <x:v>平台设置</x:v>
      </x:c>
      <x:c r="J6" s="2"/>
      <x:c r="K6" s="2"/>
      <x:c r="L6" s="2"/>
    </x:row>
    <x:row r="7" ht="20" customHeight="1">
      <x:c r="A7" s="2"/>
      <x:c r="B7" s="2"/>
      <x:c r="C7" s="35" t="str">
        <x:v>Quote</x:v>
      </x:c>
      <x:c r="D7" s="49" t="str">
        <x:v>SPCXB</x:v>
      </x:c>
      <x:c r="E7" s="2"/>
      <x:c r="F7" s="35" t="str">
        <x:v>内盘套数</x:v>
      </x:c>
      <x:c r="G7" s="49" t="n">
        <x:v>2</x:v>
      </x:c>
      <x:c r="H7" s="2"/>
      <x:c r="I7" s="35" t="str">
        <x:v>买入税率</x:v>
      </x:c>
      <x:c r="J7" s="50" t="n">
        <x:v>0</x:v>
      </x:c>
      <x:c r="K7" s="2"/>
      <x:c r="L7" s="2"/>
    </x:row>
    <x:row r="8" ht="20" customHeight="1">
      <x:c r="A8" s="2"/>
      <x:c r="B8" s="2"/>
      <x:c r="C8" s="35" t="str">
        <x:v>目标控筹率</x:v>
      </x:c>
      <x:c r="D8" s="50" t="n">
        <x:v>0.94</x:v>
      </x:c>
      <x:c r="E8" s="35" t="str">
        <x:v>预算沿用 +1%</x:v>
      </x:c>
      <x:c r="F8" s="35" t="str">
        <x:v>内盘地址 / 套</x:v>
      </x:c>
      <x:c r="G8" s="49" t="n">
        <x:v>20</x:v>
      </x:c>
      <x:c r="H8" s="2"/>
      <x:c r="I8" s="35" t="str">
        <x:v>卖出税率</x:v>
      </x:c>
      <x:c r="J8" s="50" t="n">
        <x:v>0</x:v>
      </x:c>
      <x:c r="K8" s="2"/>
      <x:c r="L8" s="2"/>
    </x:row>
    <x:row r="9" ht="20" customHeight="1">
      <x:c r="A9" s="2"/>
      <x:c r="B9" s="2"/>
      <x:c r="C9" s="35" t="str">
        <x:v>手动价格 / USDT</x:v>
      </x:c>
      <x:c r="D9" s="51"/>
      <x:c r="E9" s="35" t="str">
        <x:v>留空用日更价</x:v>
      </x:c>
      <x:c r="F9" s="35" t="str">
        <x:v>外盘地址数</x:v>
      </x:c>
      <x:c r="G9" s="49" t="n">
        <x:v>30</x:v>
      </x:c>
      <x:c r="H9" s="2"/>
      <x:c r="I9" s="2"/>
      <x:c r="J9" s="2"/>
      <x:c r="K9" s="2"/>
      <x:c r="L9" s="2"/>
    </x:row>
    <x:row r="10" ht="20" customHeight="1">
      <x:c r="A10" s="2"/>
      <x:c r="B10" s="2"/>
      <x:c r="C10" s="2"/>
      <x:c r="D10" s="2"/>
      <x:c r="E10" s="2"/>
      <x:c r="F10" s="35" t="str">
        <x:v>Holder 地址数</x:v>
      </x:c>
      <x:c r="G10" s="49" t="n">
        <x:v>150</x:v>
      </x:c>
      <x:c r="H10" s="2"/>
      <x:c r="I10" s="2"/>
      <x:c r="J10" s="2"/>
      <x:c r="K10" s="2"/>
      <x:c r="L10" s="2"/>
    </x:row>
    <x:row r="11" ht="20" customHeight="1">
      <x:c r="A11" s="2"/>
      <x:c r="B11" s="2"/>
      <x:c r="C11" s="2"/>
      <x:c r="D11" s="2"/>
      <x:c r="E11" s="2"/>
      <x:c r="F11" s="35" t="str">
        <x:v>单地址 Gas / BNB</x:v>
      </x:c>
      <x:c r="G11" s="51" t="n">
        <x:v>0.01</x:v>
      </x:c>
      <x:c r="H11" s="2"/>
      <x:c r="I11" s="2"/>
      <x:c r="J11" s="2"/>
      <x:c r="K11" s="2"/>
      <x:c r="L11" s="2"/>
    </x:row>
    <x:row r="12" ht="20" customHeight="1">
      <x:c r="A12" s="2"/>
      <x:c r="B12" s="2"/>
      <x:c r="C12" s="2"/>
      <x:c r="D12" s="2"/>
      <x:c r="E12" s="2"/>
      <x:c r="F12" s="35" t="str">
        <x:v>资金预留 / Quote</x:v>
      </x:c>
      <x:c r="G12" s="146" t="n">
        <x:f>IF(AND(ISNUMBER($D$55),$D$55&gt;0),ROUNDUP($G$56/$D$55,0),"")</x:f>
        <x:v>66</x:v>
      </x:c>
      <x:c r="H12" s="2"/>
      <x:c r="I12" s="2"/>
      <x:c r="J12" s="2"/>
      <x:c r="K12" s="2"/>
      <x:c r="L12" s="2"/>
    </x:row>
    <x:row r="13" ht="20" customHeight="1">
      <x:c r="A13" s="2"/>
      <x:c r="B13" s="2"/>
      <x:c r="C13" s="52" t="str">
        <x:v>预留资金 = 10,000 USDT ÷ Quote 价格，向上取整。手动价格会同时调整预留与折算价值；清空后恢复每日价。</x:v>
      </x:c>
      <x:c r="D13" s="52"/>
      <x:c r="E13" s="52"/>
      <x:c r="F13" s="52"/>
      <x:c r="G13" s="52"/>
      <x:c r="H13" s="52"/>
      <x:c r="I13" s="52"/>
      <x:c r="J13" s="52"/>
      <x:c r="K13" s="52"/>
      <x:c r="L13" s="52"/>
    </x:row>
    <x:row r="14" ht="6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6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6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4" customHeight="1">
      <x:c r="A17" s="2"/>
      <x:c r="B17" s="2"/>
      <x:c r="C17" s="9" t="str">
        <x:v>二、测算结果</x:v>
      </x:c>
      <x:c r="D17" s="8"/>
      <x:c r="E17" s="8"/>
      <x:c r="F17" s="8"/>
      <x:c r="G17" s="8"/>
      <x:c r="H17" s="8"/>
      <x:c r="I17" s="8"/>
      <x:c r="J17" s="8"/>
      <x:c r="K17" s="8"/>
      <x:c r="L17" s="8"/>
    </x:row>
    <x:row r="18" ht="30" customHeight="1">
      <x:c r="A18" s="2"/>
      <x:c r="B18" s="2"/>
      <x:c r="C18" s="101" t="str">
        <x:v>建议 Quote 资金</x:v>
      </x:c>
      <x:c r="D18" s="114" t="n">
        <x:f>IF(AND(LEFT($D$51,2)="可达",ISNUMBER($D$22),ISNUMBER($D$23),ISNUMBER($D$25),ISNUMBER($D$26)),SUM($D$22:$D$23,$D$25:$D$26),"")</x:f>
        <x:v>536.5327825179661</x:v>
      </x:c>
      <x:c r="E18" s="58" t="str">
        <x:f>$D$7</x:f>
        <x:v>SPCXB</x:v>
      </x:c>
      <x:c r="F18" s="101" t="str">
        <x:v>原生币 Gas 储备</x:v>
      </x:c>
      <x:c r="G18" s="68" t="n">
        <x:f>$D$53*MAX(0,$G$11)+1</x:f>
        <x:v>3.2</x:v>
      </x:c>
      <x:c r="H18" s="58" t="str">
        <x:v>BNB</x:v>
      </x:c>
      <x:c r="I18" s="101" t="str">
        <x:v>总折算 / USDT</x:v>
      </x:c>
      <x:c r="J18" s="114" t="n">
        <x:f>IF(AND(ISNUMBER($D$19),ISNUMBER($G$19)),SUM(D19,G19),"")</x:f>
        <x:v>84438.25575731783</x:v>
      </x:c>
      <x:c r="K18" s="58" t="str">
        <x:v>USDT</x:v>
      </x:c>
      <x:c r="L18" s="58"/>
    </x:row>
    <x:row r="19" ht="20" customHeight="1">
      <x:c r="A19" s="2"/>
      <x:c r="B19" s="2"/>
      <x:c r="C19" s="101" t="str">
        <x:v>Quote 折算 / USDT</x:v>
      </x:c>
      <x:c r="D19" s="115" t="n">
        <x:f>IF(ISNUMBER($D$18),IF($D$18=0,0,IF($D$55&gt;0,$D$18*$D$55,"")),"")</x:f>
        <x:v>81922.1174971032</x:v>
      </x:c>
      <x:c r="E19" s="100" t="str">
        <x:v>USDT</x:v>
      </x:c>
      <x:c r="F19" s="101" t="str">
        <x:v>Gas 折算 / USDT</x:v>
      </x:c>
      <x:c r="G19" s="115" t="n">
        <x:f>IF($G$18=0,0,IF($J$19="","",$G$18*$J$19))</x:f>
        <x:v>2516.1382602146305</x:v>
      </x:c>
      <x:c r="H19" s="100" t="str">
        <x:v>USDT</x:v>
      </x:c>
      <x:c r="I19" s="101" t="str">
        <x:v>原生币价格 / USDT</x:v>
      </x:c>
      <x:c r="J19" s="116" t="n">
        <x:f>IF($D$7="BNB",$D$55,IF('Quote参数'!$P$7&gt;0,'Quote参数'!$P$7,""))</x:f>
        <x:v>786.293206317072</x:v>
      </x:c>
      <x:c r="K19" s="100"/>
      <x:c r="L19" s="100"/>
    </x:row>
    <x:row r="20" ht="6" customHeight="1">
      <x:c r="A20" s="2"/>
      <x:c r="B20" s="2"/>
      <x:c r="C20" s="100"/>
      <x:c r="D20" s="100"/>
      <x:c r="E20" s="100"/>
      <x:c r="F20" s="100"/>
      <x:c r="G20" s="100"/>
      <x:c r="H20" s="100"/>
      <x:c r="I20" s="100"/>
      <x:c r="J20" s="100"/>
      <x:c r="K20" s="100"/>
      <x:c r="L20" s="100"/>
    </x:row>
    <x:row r="21" ht="24" customHeight="1">
      <x:c r="A21" s="2"/>
      <x:c r="B21" s="2"/>
      <x:c r="C21" s="70" t="str">
        <x:v>Quote 资金构成</x:v>
      </x:c>
      <x:c r="D21" s="69"/>
      <x:c r="E21" s="69"/>
      <x:c r="F21" s="69"/>
      <x:c r="G21" s="100"/>
      <x:c r="H21" s="100"/>
      <x:c r="I21" s="70" t="str">
        <x:v>手续费</x:v>
      </x:c>
      <x:c r="J21" s="69"/>
      <x:c r="K21" s="69"/>
      <x:c r="L21" s="69"/>
    </x:row>
    <x:row r="22" ht="20" customHeight="1">
      <x:c r="A22" s="2"/>
      <x:c r="B22" s="2"/>
      <x:c r="C22" s="100" t="str">
        <x:f>"预算 "&amp;TEXT($D$52,"0%")&amp;" 理论资金"</x:f>
        <x:v>预算 95% 理论资金</x:v>
      </x:c>
      <x:c r="D22" s="115" t="n">
        <x:f>IF(LEFT($D$51,2)&lt;&gt;"可达","",IF($J$45="","",$J$41+$J$45))</x:f>
        <x:v>358.7053571297718</x:v>
      </x:c>
      <x:c r="E22" s="100" t="str">
        <x:f>$D$7</x:f>
        <x:v>SPCXB</x:v>
      </x:c>
      <x:c r="F22" s="100"/>
      <x:c r="G22" s="100"/>
      <x:c r="H22" s="100"/>
      <x:c r="I22" s="112" t="str">
        <x:v>内盘</x:v>
      </x:c>
      <x:c r="J22" s="113"/>
      <x:c r="K22" s="113"/>
      <x:c r="L22" s="113"/>
    </x:row>
    <x:row r="23" ht="20" customHeight="1">
      <x:c r="A23" s="2"/>
      <x:c r="B23" s="2"/>
      <x:c r="C23" s="101" t="str">
        <x:v>额外内盘资金</x:v>
      </x:c>
      <x:c r="D23" s="115" t="n">
        <x:f>IF(LEFT($D$51,2)&lt;&gt;"可达","",$J$41*MAX(0,$G$7-1))</x:f>
        <x:v>90.17857142528192</x:v>
      </x:c>
      <x:c r="E23" s="100" t="str">
        <x:f>$D$7</x:f>
        <x:v>SPCXB</x:v>
      </x:c>
      <x:c r="F23" s="100"/>
      <x:c r="G23" s="100"/>
      <x:c r="H23" s="100"/>
      <x:c r="I23" s="101" t="str">
        <x:v>基础手续费</x:v>
      </x:c>
      <x:c r="J23" s="117" t="n">
        <x:f>$G$41</x:f>
        <x:v>0.01</x:v>
      </x:c>
      <x:c r="K23" s="100"/>
      <x:c r="L23" s="100"/>
    </x:row>
    <x:row r="24" hidden="1" customHeight="1">
      <x:c r="A24" s="2"/>
      <x:c r="B24" s="2"/>
      <x:c r="C24" s="101"/>
      <x:c r="D24" s="149"/>
      <x:c r="E24" s="100" t="str">
        <x:f>$D$7</x:f>
        <x:v>SPCXB</x:v>
      </x:c>
      <x:c r="F24" s="100"/>
      <x:c r="G24" s="100"/>
      <x:c r="H24" s="100"/>
      <x:c r="I24" s="101" t="str">
        <x:v>买入含税费率</x:v>
      </x:c>
      <x:c r="J24" s="117" t="n">
        <x:f>$G$41+$J$7</x:f>
        <x:v>0.01</x:v>
      </x:c>
      <x:c r="K24" s="100"/>
      <x:c r="L24" s="100"/>
    </x:row>
    <x:row r="25" ht="20" customHeight="1">
      <x:c r="A25" s="2"/>
      <x:c r="B25" s="2"/>
      <x:c r="C25" s="101" t="str">
        <x:v>资金预留</x:v>
      </x:c>
      <x:c r="D25" s="115" t="n">
        <x:f>MAX(0,$G$12)</x:f>
        <x:v>66</x:v>
      </x:c>
      <x:c r="E25" s="100" t="str">
        <x:f>$D$7</x:f>
        <x:v>SPCXB</x:v>
      </x:c>
      <x:c r="F25" s="100"/>
      <x:c r="G25" s="100"/>
      <x:c r="H25" s="100"/>
      <x:c r="I25" s="101" t="str">
        <x:v>卖出含税费率</x:v>
      </x:c>
      <x:c r="J25" s="117" t="n">
        <x:f>$G$41+$J$8</x:f>
        <x:v>0.01</x:v>
      </x:c>
      <x:c r="K25" s="100"/>
      <x:c r="L25" s="100"/>
    </x:row>
    <x:row r="26" ht="20" customHeight="1">
      <x:c r="A26" s="2"/>
      <x:c r="B26" s="2"/>
      <x:c r="C26" s="101" t="str">
        <x:v>恢复目标控筹预留</x:v>
      </x:c>
      <x:c r="D26" s="115" t="n">
        <x:f>IF($D$51&lt;&gt;"可达","",IF(AND($J$55&gt;0,$J$56&gt;0),MAX(0,($G$50/$J$55-$G$50/$J$56)*(1+$G$42)),""))</x:f>
        <x:v>21.648853962912405</x:v>
      </x:c>
      <x:c r="E26" s="100" t="str">
        <x:f>$D$7</x:f>
        <x:v>SPCXB</x:v>
      </x:c>
      <x:c r="F26" s="100"/>
      <x:c r="G26" s="100"/>
      <x:c r="H26" s="100"/>
      <x:c r="I26" s="100"/>
      <x:c r="J26" s="100"/>
      <x:c r="K26" s="100"/>
      <x:c r="L26" s="100"/>
    </x:row>
    <x:row r="27" ht="20" customHeight="1">
      <x:c r="A27" s="2"/>
      <x:c r="B27" s="2"/>
      <x:c r="C27" s="101" t="str">
        <x:v>洗后控筹率（估算）</x:v>
      </x:c>
      <x:c r="D27" s="118" t="n">
        <x:f>$D$8*$J$54</x:f>
        <x:v>0.9353058750000001</x:v>
      </x:c>
      <x:c r="E27" s="100"/>
      <x:c r="F27" s="100"/>
      <x:c r="G27" s="100"/>
      <x:c r="H27" s="100"/>
      <x:c r="I27" s="112" t="str">
        <x:v>外盘 · LP</x:v>
      </x:c>
      <x:c r="J27" s="113"/>
      <x:c r="K27" s="113"/>
      <x:c r="L27" s="113"/>
    </x:row>
    <x:row r="28" ht="20" customHeight="1">
      <x:c r="A28" s="2"/>
      <x:c r="B28" s="2"/>
      <x:c r="C28" s="101" t="str">
        <x:v>原目标控筹率</x:v>
      </x:c>
      <x:c r="D28" s="117" t="n">
        <x:f>$D$8</x:f>
        <x:v>0.94</x:v>
      </x:c>
      <x:c r="E28" s="100"/>
      <x:c r="F28" s="100"/>
      <x:c r="G28" s="100"/>
      <x:c r="H28" s="100"/>
      <x:c r="I28" s="101" t="str">
        <x:v>基础手续费</x:v>
      </x:c>
      <x:c r="J28" s="117" t="n">
        <x:f>$G$42</x:f>
        <x:v>0.0025</x:v>
      </x:c>
      <x:c r="K28" s="100"/>
      <x:c r="L28" s="100"/>
    </x:row>
    <x:row r="29" ht="20" customHeight="1">
      <x:c r="A29" s="2"/>
      <x:c r="B29" s="2"/>
      <x:c r="C29" s="101" t="str">
        <x:v>洗筹双边总费率</x:v>
      </x:c>
      <x:c r="D29" s="117" t="n">
        <x:f>$J$47</x:f>
        <x:v>0.005</x:v>
      </x:c>
      <x:c r="E29" s="100"/>
      <x:c r="F29" s="100"/>
      <x:c r="G29" s="100"/>
      <x:c r="H29" s="100"/>
      <x:c r="I29" s="101" t="str">
        <x:v>买入含税费率</x:v>
      </x:c>
      <x:c r="J29" s="117" t="n">
        <x:f>$G$42+$J$7</x:f>
        <x:v>0.0025</x:v>
      </x:c>
      <x:c r="K29" s="100"/>
      <x:c r="L29" s="100"/>
    </x:row>
    <x:row r="30" ht="32" customHeight="1">
      <x:c r="A30" s="2"/>
      <x:c r="B30" s="2"/>
      <x:c r="C30"/>
      <x:c r="D30"/>
      <x:c r="E30"/>
      <x:c r="F30"/>
      <x:c r="G30"/>
      <x:c r="H30"/>
      <x:c r="I30" s="101" t="str">
        <x:v>卖出含税费率</x:v>
      </x:c>
      <x:c r="J30" s="117" t="n">
        <x:f>$G$42+$J$8</x:f>
        <x:v>0.0025</x:v>
      </x:c>
      <x:c r="K30" s="100"/>
      <x:c r="L30" s="100"/>
    </x:row>
    <x:row r="31" hidden="1" customHeight="1">
      <x:c r="A31" s="2"/>
      <x:c r="B31" s="2"/>
      <x:c r="C31"/>
      <x:c r="D31"/>
      <x:c r="E31"/>
      <x:c r="F31"/>
      <x:c r="G31"/>
      <x:c r="H31"/>
      <x:c r="I31" s="100"/>
      <x:c r="J31" s="100"/>
      <x:c r="K31" s="100"/>
      <x:c r="L31" s="100"/>
    </x:row>
    <x:row r="32" hidden="1" customHeight="1">
      <x:c r="A32" s="2"/>
      <x:c r="B32" s="2"/>
      <x:c r="C32"/>
      <x:c r="D32"/>
      <x:c r="E32"/>
      <x:c r="F32"/>
      <x:c r="G32"/>
      <x:c r="H32"/>
      <x:c r="I32" s="100"/>
      <x:c r="J32" s="100"/>
      <x:c r="K32" s="100"/>
      <x:c r="L32" s="100"/>
    </x:row>
    <x:row r="33" hidden="1" customHeight="1">
      <x:c r="A33" s="2"/>
      <x:c r="B33" s="2"/>
      <x:c r="C33"/>
      <x:c r="D33"/>
      <x:c r="E33"/>
      <x:c r="F33"/>
      <x:c r="G33"/>
      <x:c r="H33"/>
      <x:c r="I33" s="100"/>
      <x:c r="J33" s="100"/>
      <x:c r="K33" s="100"/>
      <x:c r="L33" s="100"/>
    </x:row>
    <x:row r="34" hidden="1" customHeight="1">
      <x:c r="A34" s="2"/>
      <x:c r="B34" s="2"/>
      <x:c r="C34"/>
      <x:c r="D34"/>
      <x:c r="E34"/>
      <x:c r="F34"/>
      <x:c r="G34"/>
      <x:c r="H34"/>
      <x:c r="I34" s="100"/>
      <x:c r="J34" s="100"/>
      <x:c r="K34" s="100"/>
      <x:c r="L34" s="100"/>
    </x:row>
    <x:row r="35" hidden="1" customHeight="1">
      <x:c r="A35" s="2"/>
      <x:c r="B35" s="2"/>
      <x:c r="C35"/>
      <x:c r="D35"/>
      <x:c r="E35"/>
      <x:c r="F35"/>
      <x:c r="G35"/>
      <x:c r="H35"/>
      <x:c r="I35" s="100"/>
      <x:c r="J35" s="100"/>
      <x:c r="K35" s="100"/>
      <x:c r="L35" s="100"/>
    </x:row>
    <x:row r="36" ht="36" customHeight="1">
      <x:c r="A36" s="2"/>
      <x:c r="B36" s="2"/>
      <x:c r="C36" s="108" t="str">
        <x:v>外盘一卖一买使用卖出所得 Quote 回买；手续费仅降低洗后持币，不另列资金。洗后若低于目标，再按外盘曲线差额及买入费预留恢复所需 Quote；未模拟成交量、滑点与价格冲击。</x:v>
      </x:c>
      <x:c r="D36" s="108"/>
      <x:c r="E36" s="108"/>
      <x:c r="F36" s="108"/>
      <x:c r="G36" s="108"/>
      <x:c r="H36" s="108"/>
      <x:c r="I36" s="108"/>
      <x:c r="J36" s="108"/>
      <x:c r="K36" s="108"/>
      <x:c r="L36" s="108"/>
    </x:row>
    <x:row r="37" ht="22" customHeight="1">
      <x:c r="A37" s="2"/>
      <x:c r="B37" s="2"/>
      <x:c r="C37" s="120" t="str">
        <x:v>沉没成本（模型参考，不重复计入预算）</x:v>
      </x:c>
      <x:c r="D37" s="120"/>
      <x:c r="E37" s="120"/>
      <x:c r="F37" s="120"/>
      <x:c r="G37" s="121" t="n">
        <x:f>E125</x:f>
        <x:v>17.857142856491468</x:v>
      </x:c>
      <x:c r="H37" s="120" t="str">
        <x:f>$D$7</x:f>
        <x:v>SPCXB</x:v>
      </x:c>
      <x:c r="I37" s="100"/>
      <x:c r="J37" s="100"/>
      <x:c r="K37" s="100"/>
      <x:c r="L37" s="100"/>
    </x:row>
    <x:row r="38" ht="6" customHeight="1">
      <x:c r="A38" s="2"/>
      <x:c r="B38" s="2"/>
      <x:c r="C38" s="100"/>
      <x:c r="D38" s="100"/>
      <x:c r="E38" s="100"/>
      <x:c r="F38" s="100"/>
      <x:c r="G38" s="100"/>
      <x:c r="H38" s="100"/>
      <x:c r="I38" s="100"/>
      <x:c r="J38" s="100"/>
      <x:c r="K38" s="100"/>
      <x:c r="L38" s="100"/>
    </x:row>
    <x:row r="39" ht="24" customHeight="1">
      <x:c r="A39"/>
      <x:c r="B39"/>
      <x:c r="C39" s="8" t="str">
        <x:v>三、模型信息与计算口径（默认折叠，点左侧 + 展开）</x:v>
      </x:c>
      <x:c r="D39" s="8"/>
      <x:c r="E39" s="8"/>
      <x:c r="F39" s="8"/>
      <x:c r="G39" s="8"/>
      <x:c r="H39" s="8"/>
      <x:c r="I39" s="8"/>
      <x:c r="J39" s="8"/>
      <x:c r="K39" s="8"/>
      <x:c r="L39" s="8"/>
    </x:row>
    <x:row r="40" ht="30" hidden="1" customHeight="1">
      <x:c r="A40"/>
      <x:c r="B40"/>
      <x:c r="C40" s="101" t="str">
        <x:v>Quote 信息</x:v>
      </x:c>
      <x:c r="D40" s="101"/>
      <x:c r="E40" s="101"/>
      <x:c r="F40" s="101" t="str">
        <x:v>协议与曲线参数</x:v>
      </x:c>
      <x:c r="G40" s="101"/>
      <x:c r="H40" s="101"/>
      <x:c r="I40" s="101" t="str">
        <x:v>预算中间计算</x:v>
      </x:c>
      <x:c r="J40" s="101"/>
      <x:c r="K40" s="101"/>
      <x:c r="L40" s="101"/>
    </x:row>
    <x:row r="41" ht="30" hidden="1" customHeight="1">
      <x:c r="A41"/>
      <x:c r="B41"/>
      <x:c r="C41" s="101" t="str">
        <x:v>Quote 名称</x:v>
      </x:c>
      <x:c r="D41" s="102" t="str">
        <x:f>VLOOKUP($D$7,'Quote参数'!$E$14:$M$36,2,FALSE)</x:f>
        <x:v>SpaceX</x:v>
      </x:c>
      <x:c r="E41" s="101"/>
      <x:c r="F41" s="101" t="str">
        <x:v>内盘基础费</x:v>
      </x:c>
      <x:c r="G41" s="106" t="n">
        <x:f>0.01</x:f>
        <x:v>0.01</x:v>
      </x:c>
      <x:c r="H41" s="101"/>
      <x:c r="I41" s="101" t="str">
        <x:v>一套内盘打满 / Quote</x:v>
      </x:c>
      <x:c r="J41" s="102" t="n">
        <x:f>$G$44*(1+$G$41+$J$7)</x:f>
        <x:v>90.17857142528192</x:v>
      </x:c>
      <x:c r="K41" s="101"/>
      <x:c r="L41" s="101"/>
    </x:row>
    <x:row r="42" ht="30" hidden="1" customHeight="1">
      <x:c r="A42"/>
      <x:c r="B42"/>
      <x:c r="C42" s="101" t="str">
        <x:v>Quote 合约</x:v>
      </x:c>
      <x:c r="D42" s="103" t="str">
        <x:f>VLOOKUP($D$7,'Quote参数'!$E$14:$M$36,3,FALSE)</x:f>
        <x:v>​0xbe9D156892E55e7154BcD3cB0FEA677F9D3103E1</x:v>
      </x:c>
      <x:c r="E42" s="101"/>
      <x:c r="F42" s="101" t="str">
        <x:v>外盘 LP 费</x:v>
      </x:c>
      <x:c r="G42" s="106" t="n">
        <x:f>0.0025</x:f>
        <x:v>0.0025</x:v>
      </x:c>
      <x:c r="H42" s="101"/>
      <x:c r="I42" s="101" t="str">
        <x:v>目标+1% Pool TOKEN</x:v>
      </x:c>
      <x:c r="J42" s="102" t="n">
        <x:f>IF($J$49="","",$G$48-$J$49)</x:f>
        <x:v>50000000.00000006</x:v>
      </x:c>
      <x:c r="K42" s="101"/>
      <x:c r="L42" s="101"/>
    </x:row>
    <x:row r="43" ht="30" hidden="1" customHeight="1">
      <x:c r="A43"/>
      <x:c r="B43"/>
      <x:c r="C43" s="101"/>
      <x:c r="D43" s="102"/>
      <x:c r="E43" s="101"/>
      <x:c r="F43" s="101" t="str">
        <x:v>毕业控筹率</x:v>
      </x:c>
      <x:c r="G43" s="106" t="n">
        <x:f>0.8</x:f>
        <x:v>0.8</x:v>
      </x:c>
      <x:c r="H43" s="101"/>
      <x:c r="I43" s="101" t="str">
        <x:v>目标+1% Pool Quote</x:v>
      </x:c>
      <x:c r="J43" s="102" t="n">
        <x:f>IF($J$42="","",$G$50/$J$42)</x:f>
        <x:v>357.1428571298289</x:v>
      </x:c>
      <x:c r="K43" s="101"/>
      <x:c r="L43" s="101"/>
    </x:row>
    <x:row r="44" ht="30" hidden="1" customHeight="1">
      <x:c r="A44"/>
      <x:c r="B44"/>
      <x:c r="C44" s="101" t="str">
        <x:v>Decimals</x:v>
      </x:c>
      <x:c r="D44" s="104" t="n">
        <x:f>VLOOKUP($D$7,'Quote参数'!$E$14:$M$36,4,FALSE)</x:f>
        <x:v>18</x:v>
      </x:c>
      <x:c r="E44" s="101"/>
      <x:c r="F44" s="101" t="str">
        <x:v>毕业真实 Quote</x:v>
      </x:c>
      <x:c r="G44" s="102" t="n">
        <x:f>VLOOKUP($D$7,'Quote参数'!$E$14:$M$36,8,FALSE)</x:f>
        <x:v>89.28571428245735</x:v>
      </x:c>
      <x:c r="H44" s="101"/>
      <x:c r="I44" s="101" t="str">
        <x:v>外盘净增加 / Quote</x:v>
      </x:c>
      <x:c r="J44" s="102" t="n">
        <x:f>IF($J$43="","",MAX(0,$J$43-$G$44))</x:f>
        <x:v>267.8571428473715</x:v>
      </x:c>
      <x:c r="K44" s="101"/>
      <x:c r="L44" s="101"/>
    </x:row>
    <x:row r="45" ht="30" hidden="1" customHeight="1">
      <x:c r="A45"/>
      <x:c r="B45"/>
      <x:c r="C45" s="101" t="str">
        <x:v>总供应量</x:v>
      </x:c>
      <x:c r="D45" s="105" t="n">
        <x:v>1000000000</x:v>
      </x:c>
      <x:c r="E45" s="101"/>
      <x:c r="F45" s="101" t="str">
        <x:v>内盘初始 TOKEN</x:v>
      </x:c>
      <x:c r="G45" s="102" t="n">
        <x:f>$D$45+$G$52</x:f>
        <x:v>1107036751</x:v>
      </x:c>
      <x:c r="H45" s="101"/>
      <x:c r="I45" s="101" t="str">
        <x:v>外盘含费投入 / Quote</x:v>
      </x:c>
      <x:c r="J45" s="102" t="n">
        <x:f>IF($J$44="","",$J$44*(1+$G$42))</x:f>
        <x:v>268.5267857044899</x:v>
      </x:c>
      <x:c r="K45" s="101"/>
      <x:c r="L45" s="101"/>
    </x:row>
    <x:row r="46" ht="30" hidden="1" customHeight="1">
      <x:c r="A46"/>
      <x:c r="B46"/>
      <x:c r="C46" s="101" t="str">
        <x:v>协议参数时点</x:v>
      </x:c>
      <x:c r="D46" s="102" t="str">
        <x:v>2026-09-10 / block 121074671</x:v>
      </x:c>
      <x:c r="E46" s="101"/>
      <x:c r="F46" s="101" t="str">
        <x:v>虚拟 Quote r</x:v>
      </x:c>
      <x:c r="G46" s="102" t="n">
        <x:f>VLOOKUP($D$7,'Quote参数'!$E$14:$M$36,5,FALSE)</x:f>
        <x:v>34.26749453</x:v>
      </x:c>
      <x:c r="H46" s="101"/>
      <x:c r="I46" s="101" t="str">
        <x:v>目标+1% FDV / Quote</x:v>
      </x:c>
      <x:c r="J46" s="102" t="n">
        <x:f>IF($J$43="","",$J$43/$J$42*1000000000)</x:f>
        <x:v>7142.857142596569</x:v>
      </x:c>
      <x:c r="K46" s="101"/>
      <x:c r="L46" s="101"/>
    </x:row>
    <x:row r="47" ht="30" hidden="1" customHeight="1">
      <x:c r="A47"/>
      <x:c r="B47"/>
      <x:c r="C47" s="101" t="str">
        <x:v>外盘机制</x:v>
      </x:c>
      <x:c r="D47" s="102" t="str">
        <x:v>Pancake V3</x:v>
      </x:c>
      <x:c r="E47" s="101"/>
      <x:c r="F47" s="101" t="str">
        <x:v>内盘 k</x:v>
      </x:c>
      <x:c r="G47" s="107" t="n">
        <x:f>VLOOKUP($D$7,'Quote参数'!$E$14:$M$36,7,FALSE)</x:f>
        <x:v>37935375809.401474</x:v>
      </x:c>
      <x:c r="H47" s="101"/>
      <x:c r="I47" s="101" t="str">
        <x:v>洗筹总费率</x:v>
      </x:c>
      <x:c r="J47" s="106" t="n">
        <x:f>$G$42*2+$J$7+$J$8</x:f>
        <x:v>0.005</x:v>
      </x:c>
      <x:c r="K47" s="101"/>
      <x:c r="L47" s="101"/>
    </x:row>
    <x:row r="48" ht="30" hidden="1" customHeight="1">
      <x:c r="A48"/>
      <x:c r="B48"/>
      <x:c r="C48" s="101" t="str">
        <x:v>费用方向</x:v>
      </x:c>
      <x:c r="D48" s="102" t="str">
        <x:v>内盘买税加收 Quote；DEX 买税扣 TOKEN 输出</x:v>
      </x:c>
      <x:c r="E48" s="101"/>
      <x:c r="F48" s="101" t="str">
        <x:v>外盘初始 TOKEN</x:v>
      </x:c>
      <x:c r="G48" s="102" t="n">
        <x:f>1000000000*(1-0.8)</x:f>
        <x:v>199999999.99999997</x:v>
      </x:c>
      <x:c r="H48" s="101"/>
      <x:c r="I48" s="101" t="str">
        <x:v>外盘净控筹 TOKEN</x:v>
      </x:c>
      <x:c r="J48" s="102" t="n">
        <x:f>IF($D$52&lt;$D$54,MAX(0,($D$52-$G$43)*1000000000),"")</x:f>
        <x:v>149999999.9999999</x:v>
      </x:c>
      <x:c r="K48" s="101"/>
      <x:c r="L48" s="101"/>
    </x:row>
    <x:row r="49" ht="30" hidden="1" customHeight="1">
      <x:c r="A49"/>
      <x:c r="B49"/>
      <x:c r="C49" s="101" t="str">
        <x:v>洗筹口径</x:v>
      </x:c>
      <x:c r="D49" s="102" t="str">
        <x:v>目标+1% FDV ×（2×LP费 + 买税 + 卖税）</x:v>
      </x:c>
      <x:c r="E49" s="101"/>
      <x:c r="F49" s="101" t="str">
        <x:v>外盘初始 Quote</x:v>
      </x:c>
      <x:c r="G49" s="102" t="n">
        <x:f>$G$44</x:f>
        <x:v>89.28571428245735</x:v>
      </x:c>
      <x:c r="H49" s="101"/>
      <x:c r="I49" s="101" t="str">
        <x:v>外盘需扫 TOKEN</x:v>
      </x:c>
      <x:c r="J49" s="102" t="n">
        <x:f>IF($J$48="","",$J$48/(1-$J$7))</x:f>
        <x:v>149999999.9999999</x:v>
      </x:c>
      <x:c r="K49" s="101"/>
      <x:c r="L49" s="101"/>
    </x:row>
    <x:row r="50" ht="30" hidden="1" customHeight="1">
      <x:c r="A50"/>
      <x:c r="B50"/>
      <x:c r="C50" s="101"/>
      <x:c r="D50" s="102"/>
      <x:c r="E50" s="101"/>
      <x:c r="F50" s="101" t="str">
        <x:v>外盘 k</x:v>
      </x:c>
      <x:c r="G50" s="107" t="n">
        <x:f>VLOOKUP($D$7,'Quote参数'!$E$14:$N$36,10,FALSE)</x:f>
        <x:v>17857142856.491467</x:v>
      </x:c>
      <x:c r="H50" s="101"/>
      <x:c r="I50" s="101"/>
      <x:c r="J50" s="102"/>
      <x:c r="K50" s="101"/>
      <x:c r="L50" s="101"/>
    </x:row>
    <x:row r="51" ht="30" hidden="1" customHeight="1">
      <x:c r="A51"/>
      <x:c r="B51"/>
      <x:c r="C51" s="101" t="str">
        <x:v>目标是否可达</x:v>
      </x:c>
      <x:c r="D51" s="102" t="str">
        <x:f>IF($J$51&lt;&gt;"参数有效",$J$51,IF(OR($D$8&lt;80%,$D$8&gt;=100%),"目标控筹率无效",IF(OR($J$7&lt;0,$J$7&gt;10%,$J$8&lt;0,$J$8&gt;10%),"税率无效",IF($D$52&gt;=$D$54,"目标+1%不可达","可达"))))</x:f>
        <x:v>可达</x:v>
      </x:c>
      <x:c r="E51" s="101"/>
      <x:c r="F51" s="101" t="str">
        <x:v>协议来源</x:v>
      </x:c>
      <x:c r="G51" s="102" t="str">
        <x:v>Quote参数页</x:v>
      </x:c>
      <x:c r="H51" s="101"/>
      <x:c r="I51" s="101" t="str">
        <x:v>输入检查</x:v>
      </x:c>
      <x:c r="J51" s="102" t="str">
        <x: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x:f>
        <x:v>参数有效</x:v>
      </x:c>
      <x:c r="K51" s="101"/>
      <x:c r="L51" s="101"/>
    </x:row>
    <x:row r="52" ht="30" hidden="1" customHeight="1">
      <x:c r="A52"/>
      <x:c r="B52"/>
      <x:c r="C52" s="101" t="str">
        <x:v>预算使用控筹率</x:v>
      </x:c>
      <x:c r="D52" s="143" t="n">
        <x:f>$D$8+1%</x:f>
        <x:v>0.95</x:v>
      </x:c>
      <x:c r="E52" s="101"/>
      <x:c r="F52" s="101" t="str">
        <x:v>虚拟 TOKEN h</x:v>
      </x:c>
      <x:c r="G52" s="102" t="n">
        <x:f>VLOOKUP($D$7,'Quote参数'!$E$14:$M$36,6,FALSE)</x:f>
        <x:v>107036751</x:v>
      </x:c>
      <x:c r="H52" s="101"/>
      <x:c r="I52" s="101"/>
      <x:c r="J52" s="102"/>
      <x:c r="K52" s="101"/>
      <x:c r="L52" s="101"/>
    </x:row>
    <x:row r="53" ht="30" hidden="1" customHeight="1">
      <x:c r="A53"/>
      <x:c r="B53"/>
      <x:c r="C53" s="101" t="str">
        <x:v>地址总数</x:v>
      </x:c>
      <x:c r="D53" s="105" t="n">
        <x:f>MAX(0,$G$8)*MAX(0,$G$7)+MAX(0,$G$9)+MAX(0,$G$10)</x:f>
        <x:v>220</x:v>
      </x:c>
      <x:c r="E53" s="101"/>
      <x:c r="F53" s="101" t="str">
        <x:v>买税方向</x:v>
      </x:c>
      <x:c r="G53" s="102" t="str">
        <x:v>TOKEN 输出端</x:v>
      </x:c>
      <x:c r="H53" s="101"/>
      <x:c r="I53" s="101"/>
      <x:c r="J53" s="102"/>
      <x:c r="K53" s="101"/>
      <x:c r="L53" s="101"/>
    </x:row>
    <x:row r="54" ht="30" hidden="1" customHeight="1">
      <x:c r="A54"/>
      <x:c r="B54"/>
      <x:c r="C54" s="101" t="str">
        <x:v>当前控筹上限</x:v>
      </x:c>
      <x:c r="D54" s="143" t="n">
        <x:f>$G$43+(1-$J$7)*$G$48/1000000000</x:f>
        <x:v>1</x:v>
      </x:c>
      <x:c r="E54" s="101"/>
      <x:c r="F54" s="101" t="str">
        <x:v>价格采用方式</x:v>
      </x:c>
      <x:c r="G54" s="102" t="str">
        <x:f>IF($D$9&lt;&gt;"","手动覆盖","每日行情")</x:f>
        <x:v>每日行情</x:v>
      </x:c>
      <x:c r="H54" s="101"/>
      <x:c r="I54" s="101" t="str">
        <x:v>洗后持仓保留比例</x:v>
      </x:c>
      <x:c r="J54" s="106" t="n">
        <x:f>MAX(0,1-$J$29)*MAX(0,1-$J$30)</x:f>
        <x:v>0.9950062500000001</x:v>
      </x:c>
      <x:c r="K54" s="101"/>
      <x:c r="L54" s="101"/>
    </x:row>
    <x:row r="55" ht="30" hidden="1" customHeight="1">
      <x:c r="A55"/>
      <x:c r="B55"/>
      <x:c r="C55" s="101" t="str">
        <x:v>Quote 价格 / USDT</x:v>
      </x:c>
      <x:c r="D55" s="102" t="n">
        <x:f>IF($D$9&lt;&gt;"",IF(AND(ISNUMBER($D$9),$D$9&gt;0),$D$9,""),IF(VLOOKUP($D$7,'Quote参数'!$E$14:$P$36,12,FALSE)&gt;0,VLOOKUP($D$7,'Quote参数'!$E$14:$P$36,12,FALSE),""))</x:f>
        <x:v>152.688</x:v>
      </x:c>
      <x:c r="E55" s="101"/>
      <x:c r="F55" s="101" t="str">
        <x:v>价格状态</x:v>
      </x:c>
      <x:c r="G55" s="102" t="str">
        <x:f>IF($D$9&lt;&gt;"",IF($D$55="","手动价格无效","手动价格"),IF($D$55="","缺少价格","每日行情"))</x:f>
        <x:v>每日行情</x:v>
      </x:c>
      <x:c r="H55" s="101"/>
      <x:c r="I55" s="101" t="str">
        <x:v>目标外盘 Pool TOKEN</x:v>
      </x:c>
      <x:c r="J55" s="102" t="n">
        <x:f>$G$48-($D$8-$G$43)*$D$45/(1-$J$7)</x:f>
        <x:v>60000000.00000006</x:v>
      </x:c>
      <x:c r="K55" s="101"/>
      <x:c r="L55" s="101"/>
    </x:row>
    <x:row r="56" ht="30" hidden="1" customHeight="1">
      <x:c r="A56"/>
      <x:c r="B56"/>
      <x:c r="C56" s="101" t="str">
        <x:v>行情时间 / UTC</x:v>
      </x:c>
      <x:c r="D56" s="144" t="n">
        <x:f>IF(VLOOKUP($D$7,'Quote参数'!$E$14:$Q$36,13,FALSE)=0,"",VLOOKUP($D$7,'Quote参数'!$E$14:$Q$36,13,FALSE))</x:f>
        <x:v>46287.26956986111</x:v>
      </x:c>
      <x:c r="E56" s="101"/>
      <x:c r="F56" s="101" t="str">
        <x:v>预留预算 / USDT</x:v>
      </x:c>
      <x:c r="G56" s="105" t="n">
        <x:v>10000</x:v>
      </x:c>
      <x:c r="H56" s="101"/>
      <x:c r="I56" s="101" t="str">
        <x:v>洗后外盘 Pool TOKEN</x:v>
      </x:c>
      <x:c r="J56" s="102" t="n">
        <x:f>$G$48-($D$27-$G$43)*$D$45/(1-$J$7)</x:f>
        <x:v>64694124.99999994</x:v>
      </x:c>
      <x:c r="K56" s="101"/>
      <x:c r="L56" s="101"/>
    </x:row>
    <x:row r="57" ht="24" customHeight="1">
      <x:c r="A57"/>
      <x:c r="B57"/>
      <x:c r="C57" s="8" t="str">
        <x:v>内盘曲线</x:v>
      </x:c>
      <x:c r="D57" s="8"/>
      <x:c r="E57" s="8"/>
      <x:c r="F57" s="8"/>
      <x:c r="G57" s="8"/>
      <x:c r="H57" s="8"/>
      <x:c r="I57" s="8"/>
      <x:c r="J57" s="8"/>
      <x:c r="K57" s="8"/>
      <x:c r="L57" s="8"/>
    </x:row>
    <x:row r="58" ht="32" customHeight="1">
      <x:c r="A58"/>
      <x:c r="B58"/>
      <x:c r="C58" s="71" t="str">
        <x:v>控筹率</x:v>
      </x:c>
      <x:c r="D58" s="71" t="str">
        <x:v>pooled TOKEN</x:v>
      </x:c>
      <x:c r="E58" s="71" t="str">
        <x:v>pooled Quote</x:v>
      </x:c>
      <x:c r="F58" s="71" t="str">
        <x:v>价格 / Quote</x:v>
      </x:c>
      <x:c r="G58" s="71" t="str">
        <x:v>价格 / USDT</x:v>
      </x:c>
      <x:c r="H58" s="71" t="str">
        <x:v>市值 / Quote</x:v>
      </x:c>
      <x:c r="I58" s="71" t="str">
        <x:v>市值 / USDT</x:v>
      </x:c>
      <x:c r="J58" s="71" t="str">
        <x:v>区间净投入
/ Quote</x:v>
      </x:c>
      <x:c r="K58" s="71" t="str">
        <x:v>区间含费
/ Quote</x:v>
      </x:c>
      <x:c r="L58" s="71" t="str">
        <x:v>理论累计所需
/ Quote</x:v>
      </x:c>
    </x:row>
    <x:row r="59" ht="20" customHeight="1">
      <x:c r="A59"/>
      <x:c r="B59"/>
      <x:c r="C59" s="125" t="n">
        <x:v>0</x:v>
      </x:c>
      <x:c r="D59" s="137" t="n">
        <x:f>$D$45+$G$52-$D$45*C59</x:f>
        <x:v>1107036751</x:v>
      </x:c>
      <x:c r="E59" s="137" t="n">
        <x:f>$G$47/D59</x:f>
        <x:v>34.26749453</x:v>
      </x:c>
      <x:c r="F59" s="128" t="n">
        <x:f>IF(OR(D59="",E59=""),"",E59/D59)</x:f>
        <x:v>3.0954251969544594e-8</x:v>
      </x:c>
      <x:c r="G59" s="128" t="n">
        <x:f>IF(OR($D$55="",NOT(ISNUMBER(F59))),"",F59*$D$55)</x:f>
        <x:v>0.0000047263428247258245</x:v>
      </x:c>
      <x:c r="H59" s="137" t="n">
        <x:f>IF(NOT(ISNUMBER(F59)),"",F59*$D$45)</x:f>
        <x:v>30.954251969544593</x:v>
      </x:c>
      <x:c r="I59" s="137" t="n">
        <x:f>IF(OR($D$55="",NOT(ISNUMBER(H59))),"",H59*$D$55)</x:f>
        <x:v>4726.342824725824</x:v>
      </x:c>
      <x:c r="J59" s="137" t="n">
        <x:f>0</x:f>
        <x:v>0</x:v>
      </x:c>
      <x:c r="K59" s="137" t="n">
        <x:f>J59*(1+$G$41+$J$7)</x:f>
        <x:v>0</x:v>
      </x:c>
      <x:c r="L59" s="140" t="n">
        <x:f>(E59-$G$46)*(1+$G$41+$J$7)</x:f>
        <x:v>0</x:v>
      </x:c>
    </x:row>
    <x:row r="60" ht="20" customHeight="1">
      <x:c r="A60"/>
      <x:c r="B60"/>
      <x:c r="C60" s="126" t="n">
        <x:v>0.1</x:v>
      </x:c>
      <x:c r="D60" s="138" t="n">
        <x:f>$D$45+$G$52-$D$45*C60</x:f>
        <x:v>1007036751</x:v>
      </x:c>
      <x:c r="E60" s="138" t="n">
        <x:f>$G$47/D60</x:f>
        <x:v>37.670299293179895</x:v>
      </x:c>
      <x:c r="F60" s="129" t="n">
        <x:f>IF(OR(D60="",E60=""),"",E60/D60)</x:f>
        <x:v>3.740707502062146e-8</x:v>
      </x:c>
      <x:c r="G60" s="129" t="n">
        <x:f>IF(OR($D$55="",NOT(ISNUMBER(F60))),"",F60*$D$55)</x:f>
        <x:v>0.000005711611470748649</x:v>
      </x:c>
      <x:c r="H60" s="138" t="n">
        <x:f>IF(NOT(ISNUMBER(F60)),"",F60*$D$45)</x:f>
        <x:v>37.40707502062146</x:v>
      </x:c>
      <x:c r="I60" s="138" t="n">
        <x:f>IF(OR($D$55="",NOT(ISNUMBER(H60))),"",H60*$D$55)</x:f>
        <x:v>5711.6114707486495</x:v>
      </x:c>
      <x:c r="J60" s="138" t="n">
        <x:f>E60-E59</x:f>
        <x:v>3.402804763179894</x:v>
      </x:c>
      <x:c r="K60" s="138" t="n">
        <x:f>J60*(1+$G$41+$J$7)</x:f>
        <x:v>3.4368328108116932</x:v>
      </x:c>
      <x:c r="L60" s="141" t="n">
        <x:f>(E60-$G$46)*(1+$G$41+$J$7)</x:f>
        <x:v>3.4368328108116932</x:v>
      </x:c>
    </x:row>
    <x:row r="61" ht="20" customHeight="1">
      <x:c r="A61"/>
      <x:c r="B61"/>
      <x:c r="C61" s="126" t="n">
        <x:v>0.2</x:v>
      </x:c>
      <x:c r="D61" s="138" t="n">
        <x:f>$D$45+$G$52-$D$45*C61</x:f>
        <x:v>907036751</x:v>
      </x:c>
      <x:c r="E61" s="138" t="n">
        <x:f>$G$47/D61</x:f>
        <x:v>41.82341649065273</x:v>
      </x:c>
      <x:c r="F61" s="129" t="n">
        <x:f>IF(OR(D61="",E61=""),"",E61/D61)</x:f>
        <x:v>4.6109946972427285e-8</x:v>
      </x:c>
      <x:c r="G61" s="129" t="n">
        <x:f>IF(OR($D$55="",NOT(ISNUMBER(F61))),"",F61*$D$55)</x:f>
        <x:v>0.000007040435583325977</x:v>
      </x:c>
      <x:c r="H61" s="138" t="n">
        <x:f>IF(NOT(ISNUMBER(F61)),"",F61*$D$45)</x:f>
        <x:v>46.10994697242729</x:v>
      </x:c>
      <x:c r="I61" s="138" t="n">
        <x:f>IF(OR($D$55="",NOT(ISNUMBER(H61))),"",H61*$D$55)</x:f>
        <x:v>7040.435583325977</x:v>
      </x:c>
      <x:c r="J61" s="138" t="n">
        <x:f>E61-E60</x:f>
        <x:v>4.153117197472838</x:v>
      </x:c>
      <x:c r="K61" s="138" t="n">
        <x:f>J61*(1+$G$41+$J$7)</x:f>
        <x:v>4.194648369447567</x:v>
      </x:c>
      <x:c r="L61" s="141" t="n">
        <x:f>(E61-$G$46)*(1+$G$41+$J$7)</x:f>
        <x:v>7.63148118025926</x:v>
      </x:c>
    </x:row>
    <x:row r="62" ht="20" customHeight="1">
      <x:c r="A62"/>
      <x:c r="B62"/>
      <x:c r="C62" s="126" t="n">
        <x:v>0.3</x:v>
      </x:c>
      <x:c r="D62" s="138" t="n">
        <x:f>$D$45+$G$52-$D$45*C62</x:f>
        <x:v>807036751</x:v>
      </x:c>
      <x:c r="E62" s="138" t="n">
        <x:f>$G$47/D62</x:f>
        <x:v>47.00575997610482</x:v>
      </x:c>
      <x:c r="F62" s="129" t="n">
        <x:f>IF(OR(D62="",E62=""),"",E62/D62)</x:f>
        <x:v>5.824488155943325e-8</x:v>
      </x:c>
      <x:c r="G62" s="129" t="n">
        <x:f>IF(OR($D$55="",NOT(ISNUMBER(F62))),"",F62*$D$55)</x:f>
        <x:v>0.000008893294475546743</x:v>
      </x:c>
      <x:c r="H62" s="138" t="n">
        <x:f>IF(NOT(ISNUMBER(F62)),"",F62*$D$45)</x:f>
        <x:v>58.244881559433246</x:v>
      </x:c>
      <x:c r="I62" s="138" t="n">
        <x:f>IF(OR($D$55="",NOT(ISNUMBER(H62))),"",H62*$D$55)</x:f>
        <x:v>8893.294475546743</x:v>
      </x:c>
      <x:c r="J62" s="138" t="n">
        <x:f>E62-E61</x:f>
        <x:v>5.182343485452087</x:v>
      </x:c>
      <x:c r="K62" s="138" t="n">
        <x:f>J62*(1+$G$41+$J$7)</x:f>
        <x:v>5.234166920306608</x:v>
      </x:c>
      <x:c r="L62" s="141" t="n">
        <x:f>(E62-$G$46)*(1+$G$41+$J$7)</x:f>
        <x:v>12.865648100565867</x:v>
      </x:c>
    </x:row>
    <x:row r="63" ht="20" customHeight="1">
      <x:c r="A63"/>
      <x:c r="B63"/>
      <x:c r="C63" s="126" t="n">
        <x:v>0.4</x:v>
      </x:c>
      <x:c r="D63" s="138" t="n">
        <x:f>$D$45+$G$52-$D$45*C63</x:f>
        <x:v>707036751</x:v>
      </x:c>
      <x:c r="E63" s="138" t="n">
        <x:f>$G$47/D63</x:f>
        <x:v>53.65403673252831</x:v>
      </x:c>
      <x:c r="F63" s="129" t="n">
        <x:f>IF(OR(D63="",E63=""),"",E63/D63)</x:f>
        <x:v>7.588578197193078e-8</x:v>
      </x:c>
      <x:c r="G63" s="129" t="n">
        <x:f>IF(OR($D$55="",NOT(ISNUMBER(F63))),"",F63*$D$55)</x:f>
        <x:v>0.000011586848277730167</x:v>
      </x:c>
      <x:c r="H63" s="138" t="n">
        <x:f>IF(NOT(ISNUMBER(F63)),"",F63*$D$45)</x:f>
        <x:v>75.88578197193078</x:v>
      </x:c>
      <x:c r="I63" s="138" t="n">
        <x:f>IF(OR($D$55="",NOT(ISNUMBER(H63))),"",H63*$D$55)</x:f>
        <x:v>11586.848277730167</x:v>
      </x:c>
      <x:c r="J63" s="138" t="n">
        <x:f>E63-E62</x:f>
        <x:v>6.648276756423492</x:v>
      </x:c>
      <x:c r="K63" s="138" t="n">
        <x:f>J63*(1+$G$41+$J$7)</x:f>
        <x:v>6.714759523987727</x:v>
      </x:c>
      <x:c r="L63" s="141" t="n">
        <x:f>(E63-$G$46)*(1+$G$41+$J$7)</x:f>
        <x:v>19.580407624553594</x:v>
      </x:c>
    </x:row>
    <x:row r="64" ht="20" customHeight="1">
      <x:c r="A64"/>
      <x:c r="B64"/>
      <x:c r="C64" s="126" t="n">
        <x:v>0.5</x:v>
      </x:c>
      <x:c r="D64" s="138" t="n">
        <x:f>$D$45+$G$52-$D$45*C64</x:f>
        <x:v>607036751</x:v>
      </x:c>
      <x:c r="E64" s="138" t="n">
        <x:f>$G$47/D64</x:f>
        <x:v>62.49271686913314</x:v>
      </x:c>
      <x:c r="F64" s="129" t="n">
        <x:f>IF(OR(D64="",E64=""),"",E64/D64)</x:f>
        <x:v>1.0294717208832245e-7</x:v>
      </x:c>
      <x:c r="G64" s="129" t="n">
        <x:f>IF(OR($D$55="",NOT(ISNUMBER(F64))),"",F64*$D$55)</x:f>
        <x:v>0.000015718797811821775</x:v>
      </x:c>
      <x:c r="H64" s="138" t="n">
        <x:f>IF(NOT(ISNUMBER(F64)),"",F64*$D$45)</x:f>
        <x:v>102.94717208832245</x:v>
      </x:c>
      <x:c r="I64" s="138" t="n">
        <x:f>IF(OR($D$55="",NOT(ISNUMBER(H64))),"",H64*$D$55)</x:f>
        <x:v>15718.797811821776</x:v>
      </x:c>
      <x:c r="J64" s="138" t="n">
        <x:f>E64-E63</x:f>
        <x:v>8.838680136604829</x:v>
      </x:c>
      <x:c r="K64" s="138" t="n">
        <x:f>J64*(1+$G$41+$J$7)</x:f>
        <x:v>8.927066937970878</x:v>
      </x:c>
      <x:c r="L64" s="141" t="n">
        <x:f>(E64-$G$46)*(1+$G$41+$J$7)</x:f>
        <x:v>28.50747456252447</x:v>
      </x:c>
    </x:row>
    <x:row r="65" ht="20" customHeight="1">
      <x:c r="A65"/>
      <x:c r="B65"/>
      <x:c r="C65" s="126" t="n">
        <x:v>0.6</x:v>
      </x:c>
      <x:c r="D65" s="138" t="n">
        <x:f>$D$45+$G$52-$D$45*C65</x:f>
        <x:v>507036751</x:v>
      </x:c>
      <x:c r="E65" s="138" t="n">
        <x:f>$G$47/D65</x:f>
        <x:v>74.81780311700024</x:v>
      </x:c>
      <x:c r="F65" s="129" t="n">
        <x:f>IF(OR(D65="",E65=""),"",E65/D65)</x:f>
        <x:v>1.475589352634524e-7</x:v>
      </x:c>
      <x:c r="G65" s="129" t="n">
        <x:f>IF(OR($D$55="",NOT(ISNUMBER(F65))),"",F65*$D$55)</x:f>
        <x:v>0.000022530478707506018</x:v>
      </x:c>
      <x:c r="H65" s="138" t="n">
        <x:f>IF(NOT(ISNUMBER(F65)),"",F65*$D$45)</x:f>
        <x:v>147.5589352634524</x:v>
      </x:c>
      <x:c r="I65" s="138" t="n">
        <x:f>IF(OR($D$55="",NOT(ISNUMBER(H65))),"",H65*$D$55)</x:f>
        <x:v>22530.47870750602</x:v>
      </x:c>
      <x:c r="J65" s="138" t="n">
        <x:f>E65-E64</x:f>
        <x:v>12.325086247867098</x:v>
      </x:c>
      <x:c r="K65" s="138" t="n">
        <x:f>J65*(1+$G$41+$J$7)</x:f>
        <x:v>12.448337110345769</x:v>
      </x:c>
      <x:c r="L65" s="141" t="n">
        <x:f>(E65-$G$46)*(1+$G$41+$J$7)</x:f>
        <x:v>40.95581167287024</x:v>
      </x:c>
    </x:row>
    <x:row r="66" ht="20" customHeight="1">
      <x:c r="A66"/>
      <x:c r="B66"/>
      <x:c r="C66" s="126" t="n">
        <x:v>0.7</x:v>
      </x:c>
      <x:c r="D66" s="138" t="n">
        <x:f>$D$45+$G$52-$D$45*C66</x:f>
        <x:v>407036751</x:v>
      </x:c>
      <x:c r="E66" s="138" t="n">
        <x:f>$G$47/D66</x:f>
        <x:v>93.19889596259448</x:v>
      </x:c>
      <x:c r="F66" s="129" t="n">
        <x:f>IF(OR(D66="",E66=""),"",E66/D66)</x:f>
        <x:v>2.289692410663785e-7</x:v>
      </x:c>
      <x:c r="G66" s="129" t="n">
        <x:f>IF(OR($D$55="",NOT(ISNUMBER(F66))),"",F66*$D$55)</x:f>
        <x:v>0.000034960855479943196</x:v>
      </x:c>
      <x:c r="H66" s="138" t="n">
        <x:f>IF(NOT(ISNUMBER(F66)),"",F66*$D$45)</x:f>
        <x:v>228.9692410663785</x:v>
      </x:c>
      <x:c r="I66" s="138" t="n">
        <x:f>IF(OR($D$55="",NOT(ISNUMBER(H66))),"",H66*$D$55)</x:f>
        <x:v>34960.855479943195</x:v>
      </x:c>
      <x:c r="J66" s="138" t="n">
        <x:f>E66-E65</x:f>
        <x:v>18.38109284559424</x:v>
      </x:c>
      <x:c r="K66" s="138" t="n">
        <x:f>J66*(1+$G$41+$J$7)</x:f>
        <x:v>18.56490377405018</x:v>
      </x:c>
      <x:c r="L66" s="141" t="n">
        <x:f>(E66-$G$46)*(1+$G$41+$J$7)</x:f>
        <x:v>59.52071544692042</x:v>
      </x:c>
    </x:row>
    <x:row r="67" ht="20" customHeight="1">
      <x:c r="A67"/>
      <x:c r="B67"/>
      <x:c r="C67" s="127" t="n">
        <x:f>$G$43</x:f>
        <x:v>0.8</x:v>
      </x:c>
      <x:c r="D67" s="139" t="n">
        <x:f>$D$45+$G$52-$D$45*C67</x:f>
        <x:v>307036751</x:v>
      </x:c>
      <x:c r="E67" s="139" t="n">
        <x:f>$G$47/D67</x:f>
        <x:v>123.55320881245736</x:v>
      </x:c>
      <x:c r="F67" s="130" t="n">
        <x:f>IF(OR(D67="",E67=""),"",E67/D67)</x:f>
        <x:v>4.024052769254888e-7</x:v>
      </x:c>
      <x:c r="G67" s="130" t="n">
        <x:f>IF(OR($D$55="",NOT(ISNUMBER(F67))),"",F67*$D$55)</x:f>
        <x:v>0.00006144245692319904</x:v>
      </x:c>
      <x:c r="H67" s="139" t="n">
        <x:f>IF(NOT(ISNUMBER(F67)),"",F67*$D$45)</x:f>
        <x:v>402.4052769254888</x:v>
      </x:c>
      <x:c r="I67" s="139" t="n">
        <x:f>IF(OR($D$55="",NOT(ISNUMBER(H67))),"",H67*$D$55)</x:f>
        <x:v>61442.45692319903</x:v>
      </x:c>
      <x:c r="J67" s="139" t="n">
        <x:f>E67-E66</x:f>
        <x:v>30.35431284986288</x:v>
      </x:c>
      <x:c r="K67" s="139" t="n">
        <x:f>J67*(1+$G$41+$J$7)</x:f>
        <x:v>30.657855978361507</x:v>
      </x:c>
      <x:c r="L67" s="142" t="n">
        <x:f>(E67-$G$46)*(1+$G$41+$J$7)</x:f>
        <x:v>90.17857142528192</x:v>
      </x:c>
    </x:row>
    <x:row r="68" ht="20" customHeight="1">
      <x:c r="A68"/>
      <x:c r="B68"/>
      <x:c r="C68" s="100"/>
      <x:c r="D68" s="100"/>
      <x:c r="E68" s="100"/>
      <x:c r="F68" s="100"/>
      <x:c r="G68" s="100"/>
      <x:c r="H68" s="100"/>
      <x:c r="I68" s="100"/>
      <x:c r="J68" s="100"/>
      <x:c r="K68" s="100"/>
      <x:c r="L68" s="100"/>
    </x:row>
    <x:row r="69" ht="20" customHeight="1">
      <x:c r="A69"/>
      <x:c r="B69"/>
      <x:c r="C69" s="100"/>
      <x:c r="D69" s="100"/>
      <x:c r="E69" s="100"/>
      <x:c r="F69" s="100"/>
      <x:c r="G69" s="100"/>
      <x:c r="H69" s="100"/>
      <x:c r="I69" s="100"/>
      <x:c r="J69" s="100"/>
      <x:c r="K69" s="100"/>
      <x:c r="L69" s="100"/>
    </x:row>
    <x:row r="70" ht="24" customHeight="1">
      <x:c r="A70"/>
      <x:c r="B70"/>
      <x:c r="C70" s="8" t="str">
        <x:v>外盘曲线</x:v>
      </x:c>
      <x:c r="D70" s="8"/>
      <x:c r="E70" s="8"/>
      <x:c r="F70" s="8"/>
      <x:c r="G70" s="8"/>
      <x:c r="H70" s="8"/>
      <x:c r="I70" s="8"/>
      <x:c r="J70" s="8"/>
      <x:c r="K70" s="8"/>
      <x:c r="L70" s="8"/>
    </x:row>
    <x:row r="71" ht="32" customHeight="1">
      <x:c r="A71"/>
      <x:c r="B71"/>
      <x:c r="C71" s="71" t="str">
        <x:v>控筹率</x:v>
      </x:c>
      <x:c r="D71" s="71" t="str">
        <x:v>pooled TOKEN</x:v>
      </x:c>
      <x:c r="E71" s="71" t="str">
        <x:v>pooled Quote</x:v>
      </x:c>
      <x:c r="F71" s="71" t="str">
        <x:v>价格 / Quote</x:v>
      </x:c>
      <x:c r="G71" s="71" t="str">
        <x:v>价格 / USDT</x:v>
      </x:c>
      <x:c r="H71" s="71" t="str">
        <x:v>市值 / Quote</x:v>
      </x:c>
      <x:c r="I71" s="71" t="str">
        <x:v>市值 / USDT</x:v>
      </x:c>
      <x:c r="J71" s="71" t="str">
        <x:v>外盘净投入
/ Quote</x:v>
      </x:c>
      <x:c r="K71" s="71" t="str">
        <x:v>外盘含费
/ Quote</x:v>
      </x:c>
      <x:c r="L71" s="71" t="str">
        <x:v>理论累计所需
/ Quote</x:v>
      </x:c>
    </x:row>
    <x:row r="72" ht="20" customHeight="1">
      <x:c r="A72"/>
      <x:c r="B72"/>
      <x:c r="C72" s="125" t="n">
        <x:f>$G$43</x:f>
        <x:v>0.8</x:v>
      </x:c>
      <x:c r="D72" s="137" t="n">
        <x:f>$G$48</x:f>
        <x:v>199999999.99999997</x:v>
      </x:c>
      <x:c r="E72" s="137" t="n">
        <x:f>$G$44</x:f>
        <x:v>89.28571428245735</x:v>
      </x:c>
      <x:c r="F72" s="128" t="n">
        <x:f>IF(OR(D72="",E72=""),"",E72/D72)</x:f>
        <x:v>4.464285714122868e-7</x:v>
      </x:c>
      <x:c r="G72" s="128" t="n">
        <x:f>IF(OR($D$55="",NOT(ISNUMBER(F72))),"",F72*$D$55)</x:f>
        <x:v>0.00006816428571179924</x:v>
      </x:c>
      <x:c r="H72" s="137" t="n">
        <x:f>IF(NOT(ISNUMBER(F72)),"",F72*$D$45)</x:f>
        <x:v>446.4285714122868</x:v>
      </x:c>
      <x:c r="I72" s="137" t="n">
        <x:f>IF(OR($D$55="",NOT(ISNUMBER(H72))),"",H72*$D$55)</x:f>
        <x:v>68164.28571179924</x:v>
      </x:c>
      <x:c r="J72" s="137" t="n">
        <x:f>0</x:f>
        <x:v>0</x:v>
      </x:c>
      <x:c r="K72" s="137" t="n">
        <x:f>0</x:f>
        <x:v>0</x:v>
      </x:c>
      <x:c r="L72" s="140" t="n">
        <x:f>$J$41</x:f>
        <x:v>90.17857142528192</x:v>
      </x:c>
    </x:row>
    <x:row r="73" ht="20" customHeight="1">
      <x:c r="A73"/>
      <x:c r="B73"/>
      <x:c r="C73" s="126" t="n">
        <x:v>0.805</x:v>
      </x:c>
      <x:c r="D73" s="138" t="n">
        <x:f>IF(C73&lt;$D$54,$G$48-MAX(0,(C73-$G$43)*$D$45)/(1-$J$7),"")</x:f>
        <x:v>194999999.99999997</x:v>
      </x:c>
      <x:c r="E73" s="138" t="n">
        <x:f>IF(D73="","",$G$50/D73)</x:f>
        <x:v>91.57509157175113</x:v>
      </x:c>
      <x:c r="F73" s="129" t="n">
        <x:f>IF(OR(D73="",E73=""),"",E73/D73)</x:f>
        <x:v>4.696158542141084e-7</x:v>
      </x:c>
      <x:c r="G73" s="129" t="n">
        <x:f>IF(OR($D$55="",NOT(ISNUMBER(F73))),"",F73*$D$55)</x:f>
        <x:v>0.00007170470554824379</x:v>
      </x:c>
      <x:c r="H73" s="138" t="n">
        <x:f>IF(NOT(ISNUMBER(F73)),"",F73*$D$45)</x:f>
        <x:v>469.6158542141084</x:v>
      </x:c>
      <x:c r="I73" s="138" t="n">
        <x:f>IF(OR($D$55="",NOT(ISNUMBER(H73))),"",H73*$D$55)</x:f>
        <x:v>71704.70554824379</x:v>
      </x:c>
      <x:c r="J73" s="138" t="n">
        <x:f>IF(E73="","",MAX(0,E73-$G$44))</x:f>
        <x:v>2.289377289293782</x:v>
      </x:c>
      <x:c r="K73" s="138" t="n">
        <x:f>IF(J73="","",J73*(1+$G$42))</x:f>
        <x:v>2.295100732517016</x:v>
      </x:c>
      <x:c r="L73" s="141" t="n">
        <x:f>IF(K73="","",$J$41+K73)</x:f>
        <x:v>92.47367215779893</x:v>
      </x:c>
    </x:row>
    <x:row r="74" ht="20" customHeight="1">
      <x:c r="A74"/>
      <x:c r="B74"/>
      <x:c r="C74" s="126" t="n">
        <x:v>0.81</x:v>
      </x:c>
      <x:c r="D74" s="138" t="n">
        <x:f>IF(C74&lt;$D$54,$G$48-MAX(0,(C74-$G$43)*$D$45)/(1-$J$7),"")</x:f>
        <x:v>189999999.99999997</x:v>
      </x:c>
      <x:c r="E74" s="138" t="n">
        <x:f>IF(D74="","",$G$50/D74)</x:f>
        <x:v>93.98496240258667</x:v>
      </x:c>
      <x:c r="F74" s="129" t="n">
        <x:f>IF(OR(D74="",E74=""),"",E74/D74)</x:f>
        <x:v>4.946576968557194e-7</x:v>
      </x:c>
      <x:c r="G74" s="129" t="n">
        <x:f>IF(OR($D$55="",NOT(ISNUMBER(F74))),"",F74*$D$55)</x:f>
        <x:v>0.00007552829441750608</x:v>
      </x:c>
      <x:c r="H74" s="138" t="n">
        <x:f>IF(NOT(ISNUMBER(F74)),"",F74*$D$45)</x:f>
        <x:v>494.65769685571945</x:v>
      </x:c>
      <x:c r="I74" s="138" t="n">
        <x:f>IF(OR($D$55="",NOT(ISNUMBER(H74))),"",H74*$D$55)</x:f>
        <x:v>75528.29441750608</x:v>
      </x:c>
      <x:c r="J74" s="138" t="n">
        <x:f>IF(E74="","",MAX(0,E74-$G$44))</x:f>
        <x:v>4.699248120129326</x:v>
      </x:c>
      <x:c r="K74" s="138" t="n">
        <x:f>IF(J74="","",J74*(1+$G$42))</x:f>
        <x:v>4.710996240429649</x:v>
      </x:c>
      <x:c r="L74" s="141" t="n">
        <x:f>IF(K74="","",$J$41+K74)</x:f>
        <x:v>94.88956766571157</x:v>
      </x:c>
    </x:row>
    <x:row r="75" ht="20" customHeight="1">
      <x:c r="A75"/>
      <x:c r="B75"/>
      <x:c r="C75" s="126" t="n">
        <x:v>0.8150000000000001</x:v>
      </x:c>
      <x:c r="D75" s="138" t="n">
        <x:f>IF(C75&lt;$D$54,$G$48-MAX(0,(C75-$G$43)*$D$45)/(1-$J$7),"")</x:f>
        <x:v>184999999.99999997</x:v>
      </x:c>
      <x:c r="E75" s="138" t="n">
        <x:f>IF(D75="","",$G$50/D75)</x:f>
        <x:v>96.5250965215755</x:v>
      </x:c>
      <x:c r="F75" s="129" t="n">
        <x:f>IF(OR(D75="",E75=""),"",E75/D75)</x:f>
        <x:v>5.217572784950028e-7</x:v>
      </x:c>
      <x:c r="G75" s="129" t="n">
        <x:f>IF(OR($D$55="",NOT(ISNUMBER(F75))),"",F75*$D$55)</x:f>
        <x:v>0.00007966607533884499</x:v>
      </x:c>
      <x:c r="H75" s="138" t="n">
        <x:f>IF(NOT(ISNUMBER(F75)),"",F75*$D$45)</x:f>
        <x:v>521.7572784950029</x:v>
      </x:c>
      <x:c r="I75" s="138" t="n">
        <x:f>IF(OR($D$55="",NOT(ISNUMBER(H75))),"",H75*$D$55)</x:f>
        <x:v>79666.075338845</x:v>
      </x:c>
      <x:c r="J75" s="138" t="n">
        <x:f>IF(E75="","",MAX(0,E75-$G$44))</x:f>
        <x:v>7.239382239118157</x:v>
      </x:c>
      <x:c r="K75" s="138" t="n">
        <x:f>IF(J75="","",J75*(1+$G$42))</x:f>
        <x:v>7.2574806947159525</x:v>
      </x:c>
      <x:c r="L75" s="141" t="n">
        <x:f>IF(K75="","",$J$41+K75)</x:f>
        <x:v>97.43605211999787</x:v>
      </x:c>
    </x:row>
    <x:row r="76" ht="20" customHeight="1">
      <x:c r="A76"/>
      <x:c r="B76"/>
      <x:c r="C76" s="126" t="n">
        <x:v>0.8200000000000001</x:v>
      </x:c>
      <x:c r="D76" s="138" t="n">
        <x:f>IF(C76&lt;$D$54,$G$48-MAX(0,(C76-$G$43)*$D$45)/(1-$J$7),"")</x:f>
        <x:v>179999999.99999994</x:v>
      </x:c>
      <x:c r="E76" s="138" t="n">
        <x:f>IF(D76="","",$G$50/D76)</x:f>
        <x:v>99.20634920273041</x:v>
      </x:c>
      <x:c r="F76" s="129" t="n">
        <x:f>IF(OR(D76="",E76=""),"",E76/D76)</x:f>
        <x:v>5.511463844596135e-7</x:v>
      </x:c>
      <x:c r="G76" s="129" t="n">
        <x:f>IF(OR($D$55="",NOT(ISNUMBER(F76))),"",F76*$D$55)</x:f>
        <x:v>0.00008415343915036946</x:v>
      </x:c>
      <x:c r="H76" s="138" t="n">
        <x:f>IF(NOT(ISNUMBER(F76)),"",F76*$D$45)</x:f>
        <x:v>551.1463844596135</x:v>
      </x:c>
      <x:c r="I76" s="138" t="n">
        <x:f>IF(OR($D$55="",NOT(ISNUMBER(H76))),"",H76*$D$55)</x:f>
        <x:v>84153.43915036946</x:v>
      </x:c>
      <x:c r="J76" s="138" t="n">
        <x:f>IF(E76="","",MAX(0,E76-$G$44))</x:f>
        <x:v>9.92063492027306</x:v>
      </x:c>
      <x:c r="K76" s="138" t="n">
        <x:f>IF(J76="","",J76*(1+$G$42))</x:f>
        <x:v>9.945436507573742</x:v>
      </x:c>
      <x:c r="L76" s="141" t="n">
        <x:f>IF(K76="","",$J$41+K76)</x:f>
        <x:v>100.12400793285566</x:v>
      </x:c>
    </x:row>
    <x:row r="77" ht="20" customHeight="1">
      <x:c r="A77"/>
      <x:c r="B77"/>
      <x:c r="C77" s="126" t="n">
        <x:v>0.8250000000000001</x:v>
      </x:c>
      <x:c r="D77" s="138" t="n">
        <x:f>IF(C77&lt;$D$54,$G$48-MAX(0,(C77-$G$43)*$D$45)/(1-$J$7),"")</x:f>
        <x:v>174999999.99999994</x:v>
      </x:c>
      <x:c r="E77" s="138" t="n">
        <x:f>IF(D77="","",$G$50/D77)</x:f>
        <x:v>102.04081632280841</x:v>
      </x:c>
      <x:c r="F77" s="129" t="n">
        <x:f>IF(OR(D77="",E77=""),"",E77/D77)</x:f>
        <x:v>5.830903789874768e-7</x:v>
      </x:c>
      <x:c r="G77" s="129" t="n">
        <x:f>IF(OR($D$55="",NOT(ISNUMBER(F77))),"",F77*$D$55)</x:f>
        <x:v>0.00008903090378683986</x:v>
      </x:c>
      <x:c r="H77" s="138" t="n">
        <x:f>IF(NOT(ISNUMBER(F77)),"",F77*$D$45)</x:f>
        <x:v>583.0903789874768</x:v>
      </x:c>
      <x:c r="I77" s="138" t="n">
        <x:f>IF(OR($D$55="",NOT(ISNUMBER(H77))),"",H77*$D$55)</x:f>
        <x:v>89030.90378683986</x:v>
      </x:c>
      <x:c r="J77" s="138" t="n">
        <x:f>IF(E77="","",MAX(0,E77-$G$44))</x:f>
        <x:v>12.755102040351062</x:v>
      </x:c>
      <x:c r="K77" s="138" t="n">
        <x:f>IF(J77="","",J77*(1+$G$42))</x:f>
        <x:v>12.78698979545194</x:v>
      </x:c>
      <x:c r="L77" s="141" t="n">
        <x:f>IF(K77="","",$J$41+K77)</x:f>
        <x:v>102.96556122073386</x:v>
      </x:c>
    </x:row>
    <x:row r="78" ht="20" customHeight="1">
      <x:c r="A78"/>
      <x:c r="B78"/>
      <x:c r="C78" s="126" t="n">
        <x:v>0.8300000000000001</x:v>
      </x:c>
      <x:c r="D78" s="138" t="n">
        <x:f>IF(C78&lt;$D$54,$G$48-MAX(0,(C78-$G$43)*$D$45)/(1-$J$7),"")</x:f>
        <x:v>169999999.99999994</x:v>
      </x:c>
      <x:c r="E78" s="138" t="n">
        <x:f>IF(D78="","",$G$50/D78)</x:f>
        <x:v>105.04201680289101</x:v>
      </x:c>
      <x:c r="F78" s="129" t="n">
        <x:f>IF(OR(D78="",E78=""),"",E78/D78)</x:f>
        <x:v>6.178942164875944e-7</x:v>
      </x:c>
      <x:c r="G78" s="129" t="n">
        <x:f>IF(OR($D$55="",NOT(ISNUMBER(F78))),"",F78*$D$55)</x:f>
        <x:v>0.00009434503212705781</x:v>
      </x:c>
      <x:c r="H78" s="138" t="n">
        <x:f>IF(NOT(ISNUMBER(F78)),"",F78*$D$45)</x:f>
        <x:v>617.8942164875945</x:v>
      </x:c>
      <x:c r="I78" s="138" t="n">
        <x:f>IF(OR($D$55="",NOT(ISNUMBER(H78))),"",H78*$D$55)</x:f>
        <x:v>94345.03212705781</x:v>
      </x:c>
      <x:c r="J78" s="138" t="n">
        <x:f>IF(E78="","",MAX(0,E78-$G$44))</x:f>
        <x:v>15.756302520433664</x:v>
      </x:c>
      <x:c r="K78" s="138" t="n">
        <x:f>IF(J78="","",J78*(1+$G$42))</x:f>
        <x:v>15.795693276734747</x:v>
      </x:c>
      <x:c r="L78" s="141" t="n">
        <x:f>IF(K78="","",$J$41+K78)</x:f>
        <x:v>105.97426470201667</x:v>
      </x:c>
    </x:row>
    <x:row r="79" ht="20" customHeight="1">
      <x:c r="A79"/>
      <x:c r="B79"/>
      <x:c r="C79" s="126" t="n">
        <x:v>0.8350000000000001</x:v>
      </x:c>
      <x:c r="D79" s="138" t="n">
        <x:f>IF(C79&lt;$D$54,$G$48-MAX(0,(C79-$G$43)*$D$45)/(1-$J$7),"")</x:f>
        <x:v>164999999.99999994</x:v>
      </x:c>
      <x:c r="E79" s="138" t="n">
        <x:f>IF(D79="","",$G$50/D79)</x:f>
        <x:v>108.22510822116044</x:v>
      </x:c>
      <x:c r="F79" s="129" t="n">
        <x:f>IF(OR(D79="",E79=""),"",E79/D79)</x:f>
        <x:v>6.55909746794912e-7</x:v>
      </x:c>
      <x:c r="G79" s="129" t="n">
        <x:f>IF(OR($D$55="",NOT(ISNUMBER(F79))),"",F79*$D$55)</x:f>
        <x:v>0.0001001495474186215</x:v>
      </x:c>
      <x:c r="H79" s="138" t="n">
        <x:f>IF(NOT(ISNUMBER(F79)),"",F79*$D$45)</x:f>
        <x:v>655.9097467949119</x:v>
      </x:c>
      <x:c r="I79" s="138" t="n">
        <x:f>IF(OR($D$55="",NOT(ISNUMBER(H79))),"",H79*$D$55)</x:f>
        <x:v>100149.5474186215</x:v>
      </x:c>
      <x:c r="J79" s="138" t="n">
        <x:f>IF(E79="","",MAX(0,E79-$G$44))</x:f>
        <x:v>18.93939393870309</x:v>
      </x:c>
      <x:c r="K79" s="138" t="n">
        <x:f>IF(J79="","",J79*(1+$G$42))</x:f>
        <x:v>18.98674242354985</x:v>
      </x:c>
      <x:c r="L79" s="141" t="n">
        <x:f>IF(K79="","",$J$41+K79)</x:f>
        <x:v>109.16531384883177</x:v>
      </x:c>
    </x:row>
    <x:row r="80" ht="20" customHeight="1">
      <x:c r="A80"/>
      <x:c r="B80"/>
      <x:c r="C80" s="126" t="n">
        <x:v>0.8400000000000001</x:v>
      </x:c>
      <x:c r="D80" s="138" t="n">
        <x:f>IF(C80&lt;$D$54,$G$48-MAX(0,(C80-$G$43)*$D$45)/(1-$J$7),"")</x:f>
        <x:v>159999999.99999994</x:v>
      </x:c>
      <x:c r="E80" s="138" t="n">
        <x:f>IF(D80="","",$G$50/D80)</x:f>
        <x:v>111.60714285307171</x:v>
      </x:c>
      <x:c r="F80" s="129" t="n">
        <x:f>IF(OR(D80="",E80=""),"",E80/D80)</x:f>
        <x:v>6.975446428316984e-7</x:v>
      </x:c>
      <x:c r="G80" s="129" t="n">
        <x:f>IF(OR($D$55="",NOT(ISNUMBER(F80))),"",F80*$D$55)</x:f>
        <x:v>0.00010650669642468637</x:v>
      </x:c>
      <x:c r="H80" s="138" t="n">
        <x:f>IF(NOT(ISNUMBER(F80)),"",F80*$D$45)</x:f>
        <x:v>697.5446428316984</x:v>
      </x:c>
      <x:c r="I80" s="138" t="n">
        <x:f>IF(OR($D$55="",NOT(ISNUMBER(H80))),"",H80*$D$55)</x:f>
        <x:v>106506.69642468636</x:v>
      </x:c>
      <x:c r="J80" s="138" t="n">
        <x:f>IF(E80="","",MAX(0,E80-$G$44))</x:f>
        <x:v>22.32142857061436</x:v>
      </x:c>
      <x:c r="K80" s="138" t="n">
        <x:f>IF(J80="","",J80*(1+$G$42))</x:f>
        <x:v>22.377232142040892</x:v>
      </x:c>
      <x:c r="L80" s="141" t="n">
        <x:f>IF(K80="","",$J$41+K80)</x:f>
        <x:v>112.55580356732281</x:v>
      </x:c>
    </x:row>
    <x:row r="81" ht="20" customHeight="1">
      <x:c r="A81"/>
      <x:c r="B81"/>
      <x:c r="C81" s="126" t="n">
        <x:v>0.8450000000000001</x:v>
      </x:c>
      <x:c r="D81" s="138" t="n">
        <x:f>IF(C81&lt;$D$54,$G$48-MAX(0,(C81-$G$43)*$D$45)/(1-$J$7),"")</x:f>
        <x:v>154999999.99999994</x:v>
      </x:c>
      <x:c r="E81" s="138" t="n">
        <x:f>IF(D81="","",$G$50/D81)</x:f>
        <x:v>115.20737326768692</x:v>
      </x:c>
      <x:c r="F81" s="129" t="n">
        <x:f>IF(OR(D81="",E81=""),"",E81/D81)</x:f>
        <x:v>7.43273375920561e-7</x:v>
      </x:c>
      <x:c r="G81" s="129" t="n">
        <x:f>IF(OR($D$55="",NOT(ISNUMBER(F81))),"",F81*$D$55)</x:f>
        <x:v>0.00011348892522255861</x:v>
      </x:c>
      <x:c r="H81" s="138" t="n">
        <x:f>IF(NOT(ISNUMBER(F81)),"",F81*$D$45)</x:f>
        <x:v>743.2733759205611</x:v>
      </x:c>
      <x:c r="I81" s="138" t="n">
        <x:f>IF(OR($D$55="",NOT(ISNUMBER(H81))),"",H81*$D$55)</x:f>
        <x:v>113488.92522255862</x:v>
      </x:c>
      <x:c r="J81" s="138" t="n">
        <x:f>IF(E81="","",MAX(0,E81-$G$44))</x:f>
        <x:v>25.92165898522957</x:v>
      </x:c>
      <x:c r="K81" s="138" t="n">
        <x:f>IF(J81="","",J81*(1+$G$42))</x:f>
        <x:v>25.98646313269264</x:v>
      </x:c>
      <x:c r="L81" s="141" t="n">
        <x:f>IF(K81="","",$J$41+K81)</x:f>
        <x:v>116.16503455797456</x:v>
      </x:c>
    </x:row>
    <x:row r="82" ht="20" customHeight="1">
      <x:c r="A82"/>
      <x:c r="B82"/>
      <x:c r="C82" s="126" t="n">
        <x:v>0.8500000000000001</x:v>
      </x:c>
      <x:c r="D82" s="138" t="n">
        <x:f>IF(C82&lt;$D$54,$G$48-MAX(0,(C82-$G$43)*$D$45)/(1-$J$7),"")</x:f>
        <x:v>149999999.99999994</x:v>
      </x:c>
      <x:c r="E82" s="138" t="n">
        <x:f>IF(D82="","",$G$50/D82)</x:f>
        <x:v>119.04761904327648</x:v>
      </x:c>
      <x:c r="F82" s="129" t="n">
        <x:f>IF(OR(D82="",E82=""),"",E82/D82)</x:f>
        <x:v>7.936507936218436e-7</x:v>
      </x:c>
      <x:c r="G82" s="129" t="n">
        <x:f>IF(OR($D$55="",NOT(ISNUMBER(F82))),"",F82*$D$55)</x:f>
        <x:v>0.00012118095237653204</x:v>
      </x:c>
      <x:c r="H82" s="138" t="n">
        <x:f>IF(NOT(ISNUMBER(F82)),"",F82*$D$45)</x:f>
        <x:v>793.6507936218436</x:v>
      </x:c>
      <x:c r="I82" s="138" t="n">
        <x:f>IF(OR($D$55="",NOT(ISNUMBER(H82))),"",H82*$D$55)</x:f>
        <x:v>121180.95237653205</x:v>
      </x:c>
      <x:c r="J82" s="138" t="n">
        <x:f>IF(E82="","",MAX(0,E82-$G$44))</x:f>
        <x:v>29.761904760819135</x:v>
      </x:c>
      <x:c r="K82" s="138" t="n">
        <x:f>IF(J82="","",J82*(1+$G$42))</x:f>
        <x:v>29.83630952272118</x:v>
      </x:c>
      <x:c r="L82" s="141" t="n">
        <x:f>IF(K82="","",$J$41+K82)</x:f>
        <x:v>120.0148809480031</x:v>
      </x:c>
    </x:row>
    <x:row r="83" ht="20" customHeight="1">
      <x:c r="A83"/>
      <x:c r="B83"/>
      <x:c r="C83" s="126" t="n">
        <x:v>0.8550000000000001</x:v>
      </x:c>
      <x:c r="D83" s="138" t="n">
        <x:f>IF(C83&lt;$D$54,$G$48-MAX(0,(C83-$G$43)*$D$45)/(1-$J$7),"")</x:f>
        <x:v>144999999.9999999</x:v>
      </x:c>
      <x:c r="E83" s="138" t="n">
        <x:f>IF(D83="","",$G$50/D83)</x:f>
        <x:v>123.15270935511364</x:v>
      </x:c>
      <x:c r="F83" s="129" t="n">
        <x:f>IF(OR(D83="",E83=""),"",E83/D83)</x:f>
        <x:v>8.49329030035267e-7</x:v>
      </x:c>
      <x:c r="G83" s="129" t="n">
        <x:f>IF(OR($D$55="",NOT(ISNUMBER(F83))),"",F83*$D$55)</x:f>
        <x:v>0.00012968235093802484</x:v>
      </x:c>
      <x:c r="H83" s="138" t="n">
        <x:f>IF(NOT(ISNUMBER(F83)),"",F83*$D$45)</x:f>
        <x:v>849.329030035267</x:v>
      </x:c>
      <x:c r="I83" s="138" t="n">
        <x:f>IF(OR($D$55="",NOT(ISNUMBER(H83))),"",H83*$D$55)</x:f>
        <x:v>129682.35093802484</x:v>
      </x:c>
      <x:c r="J83" s="138" t="n">
        <x:f>IF(E83="","",MAX(0,E83-$G$44))</x:f>
        <x:v>33.866995072656294</x:v>
      </x:c>
      <x:c r="K83" s="138" t="n">
        <x:f>IF(J83="","",J83*(1+$G$42))</x:f>
        <x:v>33.95166256033794</x:v>
      </x:c>
      <x:c r="L83" s="141" t="n">
        <x:f>IF(K83="","",$J$41+K83)</x:f>
        <x:v>124.13023398561985</x:v>
      </x:c>
    </x:row>
    <x:row r="84" ht="20" customHeight="1">
      <x:c r="A84"/>
      <x:c r="B84"/>
      <x:c r="C84" s="126" t="n">
        <x:v>0.8600000000000001</x:v>
      </x:c>
      <x:c r="D84" s="138" t="n">
        <x:f>IF(C84&lt;$D$54,$G$48-MAX(0,(C84-$G$43)*$D$45)/(1-$J$7),"")</x:f>
        <x:v>139999999.9999999</x:v>
      </x:c>
      <x:c r="E84" s="138" t="n">
        <x:f>IF(D84="","",$G$50/D84)</x:f>
        <x:v>127.55102040351056</x:v>
      </x:c>
      <x:c r="F84" s="129" t="n">
        <x:f>IF(OR(D84="",E84=""),"",E84/D84)</x:f>
        <x:v>9.110787171679332e-7</x:v>
      </x:c>
      <x:c r="G84" s="129" t="n">
        <x:f>IF(OR($D$55="",NOT(ISNUMBER(F84))),"",F84*$D$55)</x:f>
        <x:v>0.0001391107871669374</x:v>
      </x:c>
      <x:c r="H84" s="138" t="n">
        <x:f>IF(NOT(ISNUMBER(F84)),"",F84*$D$45)</x:f>
        <x:v>911.0787171679332</x:v>
      </x:c>
      <x:c r="I84" s="138" t="n">
        <x:f>IF(OR($D$55="",NOT(ISNUMBER(H84))),"",H84*$D$55)</x:f>
        <x:v>139110.78716693737</x:v>
      </x:c>
      <x:c r="J84" s="138" t="n">
        <x:f>IF(E84="","",MAX(0,E84-$G$44))</x:f>
        <x:v>38.265306121053214</x:v>
      </x:c>
      <x:c r="K84" s="138" t="n">
        <x:f>IF(J84="","",J84*(1+$G$42))</x:f>
        <x:v>38.36096938635585</x:v>
      </x:c>
      <x:c r="L84" s="141" t="n">
        <x:f>IF(K84="","",$J$41+K84)</x:f>
        <x:v>128.53954081163778</x:v>
      </x:c>
    </x:row>
    <x:row r="85" ht="20" customHeight="1">
      <x:c r="A85"/>
      <x:c r="B85"/>
      <x:c r="C85" s="126" t="n">
        <x:v>0.865</x:v>
      </x:c>
      <x:c r="D85" s="138" t="n">
        <x:f>IF(C85&lt;$D$54,$G$48-MAX(0,(C85-$G$43)*$D$45)/(1-$J$7),"")</x:f>
        <x:v>135000000.00000003</x:v>
      </x:c>
      <x:c r="E85" s="138" t="n">
        <x:f>IF(D85="","",$G$50/D85)</x:f>
        <x:v>132.27513227030713</x:v>
      </x:c>
      <x:c r="F85" s="129" t="n">
        <x:f>IF(OR(D85="",E85=""),"",E85/D85)</x:f>
        <x:v>9.798157945948675e-7</x:v>
      </x:c>
      <x:c r="G85" s="129" t="n">
        <x:f>IF(OR($D$55="",NOT(ISNUMBER(F85))),"",F85*$D$55)</x:f>
        <x:v>0.0001496061140451011</x:v>
      </x:c>
      <x:c r="H85" s="138" t="n">
        <x:f>IF(NOT(ISNUMBER(F85)),"",F85*$D$45)</x:f>
        <x:v>979.8157945948675</x:v>
      </x:c>
      <x:c r="I85" s="138" t="n">
        <x:f>IF(OR($D$55="",NOT(ISNUMBER(H85))),"",H85*$D$55)</x:f>
        <x:v>149606.11404510113</x:v>
      </x:c>
      <x:c r="J85" s="138" t="n">
        <x:f>IF(E85="","",MAX(0,E85-$G$44))</x:f>
        <x:v>42.98941798784978</x:v>
      </x:c>
      <x:c r="K85" s="138" t="n">
        <x:f>IF(J85="","",J85*(1+$G$42))</x:f>
        <x:v>43.0968915328194</x:v>
      </x:c>
      <x:c r="L85" s="141" t="n">
        <x:f>IF(K85="","",$J$41+K85)</x:f>
        <x:v>133.27546295810131</x:v>
      </x:c>
    </x:row>
    <x:row r="86" ht="20" customHeight="1">
      <x:c r="A86"/>
      <x:c r="B86"/>
      <x:c r="C86" s="126" t="n">
        <x:v>0.8700000000000001</x:v>
      </x:c>
      <x:c r="D86" s="138" t="n">
        <x:f>IF(C86&lt;$D$54,$G$48-MAX(0,(C86-$G$43)*$D$45)/(1-$J$7),"")</x:f>
        <x:v>129999999.99999991</x:v>
      </x:c>
      <x:c r="E86" s="138" t="n">
        <x:f>IF(D86="","",$G$50/D86)</x:f>
        <x:v>137.36263735762677</x:v>
      </x:c>
      <x:c r="F86" s="129" t="n">
        <x:f>IF(OR(D86="",E86=""),"",E86/D86)</x:f>
        <x:v>0.0000010566356719817452</x:v>
      </x:c>
      <x:c r="G86" s="129" t="n">
        <x:f>IF(OR($D$55="",NOT(ISNUMBER(F86))),"",F86*$D$55)</x:f>
        <x:v>0.00016133558748354868</x:v>
      </x:c>
      <x:c r="H86" s="138" t="n">
        <x:f>IF(NOT(ISNUMBER(F86)),"",F86*$D$45)</x:f>
        <x:v>1056.6356719817452</x:v>
      </x:c>
      <x:c r="I86" s="138" t="n">
        <x:f>IF(OR($D$55="",NOT(ISNUMBER(H86))),"",H86*$D$55)</x:f>
        <x:v>161335.5874835487</x:v>
      </x:c>
      <x:c r="J86" s="138" t="n">
        <x:f>IF(E86="","",MAX(0,E86-$G$44))</x:f>
        <x:v>48.07692307516942</x:v>
      </x:c>
      <x:c r="K86" s="138" t="n">
        <x:f>IF(J86="","",J86*(1+$G$42))</x:f>
        <x:v>48.19711538285734</x:v>
      </x:c>
      <x:c r="L86" s="141" t="n">
        <x:f>IF(K86="","",$J$41+K86)</x:f>
        <x:v>138.37568680813925</x:v>
      </x:c>
    </x:row>
    <x:row r="87" ht="20" customHeight="1">
      <x:c r="A87"/>
      <x:c r="B87"/>
      <x:c r="C87" s="126" t="n">
        <x:v>0.875</x:v>
      </x:c>
      <x:c r="D87" s="138" t="n">
        <x:f>IF(C87&lt;$D$54,$G$48-MAX(0,(C87-$G$43)*$D$45)/(1-$J$7),"")</x:f>
        <x:v>125000000.00000001</x:v>
      </x:c>
      <x:c r="E87" s="138" t="n">
        <x:f>IF(D87="","",$G$50/D87)</x:f>
        <x:v>142.8571428519317</x:v>
      </x:c>
      <x:c r="F87" s="129" t="n">
        <x:f>IF(OR(D87="",E87=""),"",E87/D87)</x:f>
        <x:v>0.0000011428571428154535</x:v>
      </x:c>
      <x:c r="G87" s="129" t="n">
        <x:f>IF(OR($D$55="",NOT(ISNUMBER(F87))),"",F87*$D$55)</x:f>
        <x:v>0.00017450057142220595</x:v>
      </x:c>
      <x:c r="H87" s="138" t="n">
        <x:f>IF(NOT(ISNUMBER(F87)),"",F87*$D$45)</x:f>
        <x:v>1142.8571428154535</x:v>
      </x:c>
      <x:c r="I87" s="138" t="n">
        <x:f>IF(OR($D$55="",NOT(ISNUMBER(H87))),"",H87*$D$55)</x:f>
        <x:v>174500.57142220595</x:v>
      </x:c>
      <x:c r="J87" s="138" t="n">
        <x:f>IF(E87="","",MAX(0,E87-$G$44))</x:f>
        <x:v>53.571428569474364</x:v>
      </x:c>
      <x:c r="K87" s="138" t="n">
        <x:f>IF(J87="","",J87*(1+$G$42))</x:f>
        <x:v>53.705357140898045</x:v>
      </x:c>
      <x:c r="L87" s="141" t="n">
        <x:f>IF(K87="","",$J$41+K87)</x:f>
        <x:v>143.88392856617997</x:v>
      </x:c>
    </x:row>
    <x:row r="88" ht="20" customHeight="1">
      <x:c r="A88"/>
      <x:c r="B88"/>
      <x:c r="C88" s="126" t="n">
        <x:v>0.88</x:v>
      </x:c>
      <x:c r="D88" s="138" t="n">
        <x:f>IF(C88&lt;$D$54,$G$48-MAX(0,(C88-$G$43)*$D$45)/(1-$J$7),"")</x:f>
        <x:v>120000000.00000001</x:v>
      </x:c>
      <x:c r="E88" s="138" t="n">
        <x:f>IF(D88="","",$G$50/D88)</x:f>
        <x:v>148.80952380409553</x:v>
      </x:c>
      <x:c r="F88" s="129" t="n">
        <x:f>IF(OR(D88="",E88=""),"",E88/D88)</x:f>
        <x:v>0.0000012400793650341293</x:v>
      </x:c>
      <x:c r="G88" s="129" t="n">
        <x:f>IF(OR($D$55="",NOT(ISNUMBER(F88))),"",F88*$D$55)</x:f>
        <x:v>0.0001893452380883311</x:v>
      </x:c>
      <x:c r="H88" s="138" t="n">
        <x:f>IF(NOT(ISNUMBER(F88)),"",F88*$D$45)</x:f>
        <x:v>1240.0793650341293</x:v>
      </x:c>
      <x:c r="I88" s="138" t="n">
        <x:f>IF(OR($D$55="",NOT(ISNUMBER(H88))),"",H88*$D$55)</x:f>
        <x:v>189345.23808833113</x:v>
      </x:c>
      <x:c r="J88" s="138" t="n">
        <x:f>IF(E88="","",MAX(0,E88-$G$44))</x:f>
        <x:v>59.523809521638185</x:v>
      </x:c>
      <x:c r="K88" s="138" t="n">
        <x:f>IF(J88="","",J88*(1+$G$42))</x:f>
        <x:v>59.672619045442275</x:v>
      </x:c>
      <x:c r="L88" s="141" t="n">
        <x:f>IF(K88="","",$J$41+K88)</x:f>
        <x:v>149.8511904707242</x:v>
      </x:c>
    </x:row>
    <x:row r="89" ht="20" customHeight="1">
      <x:c r="A89"/>
      <x:c r="B89"/>
      <x:c r="C89" s="126" t="n">
        <x:v>0.885</x:v>
      </x:c>
      <x:c r="D89" s="138" t="n">
        <x:f>IF(C89&lt;$D$54,$G$48-MAX(0,(C89-$G$43)*$D$45)/(1-$J$7),"")</x:f>
        <x:v>115000000</x:v>
      </x:c>
      <x:c r="E89" s="138" t="n">
        <x:f>IF(D89="","",$G$50/D89)</x:f>
        <x:v>155.2795030999258</x:v>
      </x:c>
      <x:c r="F89" s="129" t="n">
        <x:f>IF(OR(D89="",E89=""),"",E89/D89)</x:f>
        <x:v>0.0000013502565486950068</x:v>
      </x:c>
      <x:c r="G89" s="129" t="n">
        <x:f>IF(OR($D$55="",NOT(ISNUMBER(F89))),"",F89*$D$55)</x:f>
        <x:v>0.0002061679719071432</x:v>
      </x:c>
      <x:c r="H89" s="138" t="n">
        <x:f>IF(NOT(ISNUMBER(F89)),"",F89*$D$45)</x:f>
        <x:v>1350.2565486950068</x:v>
      </x:c>
      <x:c r="I89" s="138" t="n">
        <x:f>IF(OR($D$55="",NOT(ISNUMBER(H89))),"",H89*$D$55)</x:f>
        <x:v>206167.9719071432</x:v>
      </x:c>
      <x:c r="J89" s="138" t="n">
        <x:f>IF(E89="","",MAX(0,E89-$G$44))</x:f>
        <x:v>65.99378881746844</x:v>
      </x:c>
      <x:c r="K89" s="138" t="n">
        <x:f>IF(J89="","",J89*(1+$G$42))</x:f>
        <x:v>66.15877328951211</x:v>
      </x:c>
      <x:c r="L89" s="141" t="n">
        <x:f>IF(K89="","",$J$41+K89)</x:f>
        <x:v>156.33734471479403</x:v>
      </x:c>
    </x:row>
    <x:row r="90" ht="20" customHeight="1">
      <x:c r="A90"/>
      <x:c r="B90"/>
      <x:c r="C90" s="126" t="n">
        <x:v>0.89</x:v>
      </x:c>
      <x:c r="D90" s="138" t="n">
        <x:f>IF(C90&lt;$D$54,$G$48-MAX(0,(C90-$G$43)*$D$45)/(1-$J$7),"")</x:f>
        <x:v>110000000</x:v>
      </x:c>
      <x:c r="E90" s="138" t="n">
        <x:f>IF(D90="","",$G$50/D90)</x:f>
        <x:v>162.3376623317406</x:v>
      </x:c>
      <x:c r="F90" s="129" t="n">
        <x:f>IF(OR(D90="",E90=""),"",E90/D90)</x:f>
        <x:v>0.0000014757969302885509</x:v>
      </x:c>
      <x:c r="G90" s="129" t="n">
        <x:f>IF(OR($D$55="",NOT(ISNUMBER(F90))),"",F90*$D$55)</x:f>
        <x:v>0.00022533648169189823</x:v>
      </x:c>
      <x:c r="H90" s="138" t="n">
        <x:f>IF(NOT(ISNUMBER(F90)),"",F90*$D$45)</x:f>
        <x:v>1475.7969302885508</x:v>
      </x:c>
      <x:c r="I90" s="138" t="n">
        <x:f>IF(OR($D$55="",NOT(ISNUMBER(H90))),"",H90*$D$55)</x:f>
        <x:v>225336.48169189823</x:v>
      </x:c>
      <x:c r="J90" s="138" t="n">
        <x:f>IF(E90="","",MAX(0,E90-$G$44))</x:f>
        <x:v>73.05194804928325</x:v>
      </x:c>
      <x:c r="K90" s="138" t="n">
        <x:f>IF(J90="","",J90*(1+$G$42))</x:f>
        <x:v>73.23457791940646</x:v>
      </x:c>
      <x:c r="L90" s="141" t="n">
        <x:f>IF(K90="","",$J$41+K90)</x:f>
        <x:v>163.41314934468838</x:v>
      </x:c>
    </x:row>
    <x:row r="91" ht="20" customHeight="1">
      <x:c r="A91"/>
      <x:c r="B91"/>
      <x:c r="C91" s="126" t="n">
        <x:v>0.895</x:v>
      </x:c>
      <x:c r="D91" s="138" t="n">
        <x:f>IF(C91&lt;$D$54,$G$48-MAX(0,(C91-$G$43)*$D$45)/(1-$J$7),"")</x:f>
        <x:v>105000000</x:v>
      </x:c>
      <x:c r="E91" s="138" t="n">
        <x:f>IF(D91="","",$G$50/D91)</x:f>
        <x:v>170.06802720468065</x:v>
      </x:c>
      <x:c r="F91" s="129" t="n">
        <x:f>IF(OR(D91="",E91=""),"",E91/D91)</x:f>
        <x:v>0.0000016196954971874346</x:v>
      </x:c>
      <x:c r="G91" s="129" t="n">
        <x:f>IF(OR($D$55="",NOT(ISNUMBER(F91))),"",F91*$D$55)</x:f>
        <x:v>0.000247308066074555</x:v>
      </x:c>
      <x:c r="H91" s="138" t="n">
        <x:f>IF(NOT(ISNUMBER(F91)),"",F91*$D$45)</x:f>
        <x:v>1619.6954971874347</x:v>
      </x:c>
      <x:c r="I91" s="138" t="n">
        <x:f>IF(OR($D$55="",NOT(ISNUMBER(H91))),"",H91*$D$55)</x:f>
        <x:v>247308.066074555</x:v>
      </x:c>
      <x:c r="J91" s="138" t="n">
        <x:f>IF(E91="","",MAX(0,E91-$G$44))</x:f>
        <x:v>80.7823129222233</x:v>
      </x:c>
      <x:c r="K91" s="138" t="n">
        <x:f>IF(J91="","",J91*(1+$G$42))</x:f>
        <x:v>80.98426870452886</x:v>
      </x:c>
      <x:c r="L91" s="141" t="n">
        <x:f>IF(K91="","",$J$41+K91)</x:f>
        <x:v>171.16284012981077</x:v>
      </x:c>
    </x:row>
    <x:row r="92" ht="20" customHeight="1">
      <x:c r="A92"/>
      <x:c r="B92"/>
      <x:c r="C92" s="126" t="n">
        <x:v>0.9</x:v>
      </x:c>
      <x:c r="D92" s="138" t="n">
        <x:f>IF(C92&lt;$D$54,$G$48-MAX(0,(C92-$G$43)*$D$45)/(1-$J$7),"")</x:f>
        <x:v>99999999.99999999</x:v>
      </x:c>
      <x:c r="E92" s="138" t="n">
        <x:f>IF(D92="","",$G$50/D92)</x:f>
        <x:v>178.5714285649147</x:v>
      </x:c>
      <x:c r="F92" s="129" t="n">
        <x:f>IF(OR(D92="",E92=""),"",E92/D92)</x:f>
        <x:v>0.0000017857142856491472</x:v>
      </x:c>
      <x:c r="G92" s="129" t="n">
        <x:f>IF(OR($D$55="",NOT(ISNUMBER(F92))),"",F92*$D$55)</x:f>
        <x:v>0.00027265714284719695</x:v>
      </x:c>
      <x:c r="H92" s="138" t="n">
        <x:f>IF(NOT(ISNUMBER(F92)),"",F92*$D$45)</x:f>
        <x:v>1785.714285649147</x:v>
      </x:c>
      <x:c r="I92" s="138" t="n">
        <x:f>IF(OR($D$55="",NOT(ISNUMBER(H92))),"",H92*$D$55)</x:f>
        <x:v>272657.14284719696</x:v>
      </x:c>
      <x:c r="J92" s="138" t="n">
        <x:f>IF(E92="","",MAX(0,E92-$G$44))</x:f>
        <x:v>89.28571428245735</x:v>
      </x:c>
      <x:c r="K92" s="138" t="n">
        <x:f>IF(J92="","",J92*(1+$G$42))</x:f>
        <x:v>89.50892856816348</x:v>
      </x:c>
      <x:c r="L92" s="141" t="n">
        <x:f>IF(K92="","",$J$41+K92)</x:f>
        <x:v>179.68749999344539</x:v>
      </x:c>
    </x:row>
    <x:row r="93" ht="20" customHeight="1">
      <x:c r="A93"/>
      <x:c r="B93"/>
      <x:c r="C93" s="126" t="n">
        <x:v>0.905</x:v>
      </x:c>
      <x:c r="D93" s="138" t="n">
        <x:f>IF(C93&lt;$D$54,$G$48-MAX(0,(C93-$G$43)*$D$45)/(1-$J$7),"")</x:f>
        <x:v>94999999.99999999</x:v>
      </x:c>
      <x:c r="E93" s="138" t="n">
        <x:f>IF(D93="","",$G$50/D93)</x:f>
        <x:v>187.96992480517335</x:v>
      </x:c>
      <x:c r="F93" s="129" t="n">
        <x:f>IF(OR(D93="",E93=""),"",E93/D93)</x:f>
        <x:v>0.0000019786307874228778</x:v>
      </x:c>
      <x:c r="G93" s="129" t="n">
        <x:f>IF(OR($D$55="",NOT(ISNUMBER(F93))),"",F93*$D$55)</x:f>
        <x:v>0.0003021131776700243</x:v>
      </x:c>
      <x:c r="H93" s="138" t="n">
        <x:f>IF(NOT(ISNUMBER(F93)),"",F93*$D$45)</x:f>
        <x:v>1978.6307874228778</x:v>
      </x:c>
      <x:c r="I93" s="138" t="n">
        <x:f>IF(OR($D$55="",NOT(ISNUMBER(H93))),"",H93*$D$55)</x:f>
        <x:v>302113.17767002434</x:v>
      </x:c>
      <x:c r="J93" s="138" t="n">
        <x:f>IF(E93="","",MAX(0,E93-$G$44))</x:f>
        <x:v>98.684210522716</x:v>
      </x:c>
      <x:c r="K93" s="138" t="n">
        <x:f>IF(J93="","",J93*(1+$G$42))</x:f>
        <x:v>98.93092104902279</x:v>
      </x:c>
      <x:c r="L93" s="141" t="n">
        <x:f>IF(K93="","",$J$41+K93)</x:f>
        <x:v>189.10949247430472</x:v>
      </x:c>
    </x:row>
    <x:row r="94" ht="20" customHeight="1">
      <x:c r="A94"/>
      <x:c r="B94"/>
      <x:c r="C94" s="126" t="n">
        <x:v>0.91</x:v>
      </x:c>
      <x:c r="D94" s="138" t="n">
        <x:f>IF(C94&lt;$D$54,$G$48-MAX(0,(C94-$G$43)*$D$45)/(1-$J$7),"")</x:f>
        <x:v>89999999.99999999</x:v>
      </x:c>
      <x:c r="E94" s="138" t="n">
        <x:f>IF(D94="","",$G$50/D94)</x:f>
        <x:v>198.41269840546076</x:v>
      </x:c>
      <x:c r="F94" s="129" t="n">
        <x:f>IF(OR(D94="",E94=""),"",E94/D94)</x:f>
        <x:v>0.0000022045855378384533</x:v>
      </x:c>
      <x:c r="G94" s="129" t="n">
        <x:f>IF(OR($D$55="",NOT(ISNUMBER(F94))),"",F94*$D$55)</x:f>
        <x:v>0.00033661375660147774</x:v>
      </x:c>
      <x:c r="H94" s="138" t="n">
        <x:f>IF(NOT(ISNUMBER(F94)),"",F94*$D$45)</x:f>
        <x:v>2204.5855378384535</x:v>
      </x:c>
      <x:c r="I94" s="138" t="n">
        <x:f>IF(OR($D$55="",NOT(ISNUMBER(H94))),"",H94*$D$55)</x:f>
        <x:v>336613.75660147774</x:v>
      </x:c>
      <x:c r="J94" s="138" t="n">
        <x:f>IF(E94="","",MAX(0,E94-$G$44))</x:f>
        <x:v>109.12698412300341</x:v>
      </x:c>
      <x:c r="K94" s="138" t="n">
        <x:f>IF(J94="","",J94*(1+$G$42))</x:f>
        <x:v>109.39980158331092</x:v>
      </x:c>
      <x:c r="L94" s="141" t="n">
        <x:f>IF(K94="","",$J$41+K94)</x:f>
        <x:v>199.57837300859285</x:v>
      </x:c>
    </x:row>
    <x:row r="95" ht="20" customHeight="1">
      <x:c r="A95"/>
      <x:c r="B95"/>
      <x:c r="C95" s="126" t="n">
        <x:v>0.915</x:v>
      </x:c>
      <x:c r="D95" s="138" t="n">
        <x:f>IF(C95&lt;$D$54,$G$48-MAX(0,(C95-$G$43)*$D$45)/(1-$J$7),"")</x:f>
        <x:v>84999999.99999999</x:v>
      </x:c>
      <x:c r="E95" s="138" t="n">
        <x:f>IF(D95="","",$G$50/D95)</x:f>
        <x:v>210.084033605782</x:v>
      </x:c>
      <x:c r="F95" s="129" t="n">
        <x:f>IF(OR(D95="",E95=""),"",E95/D95)</x:f>
        <x:v>0.000002471576865950377</x:v>
      </x:c>
      <x:c r="G95" s="129" t="n">
        <x:f>IF(OR($D$55="",NOT(ISNUMBER(F95))),"",F95*$D$55)</x:f>
        <x:v>0.0003773801285082311</x:v>
      </x:c>
      <x:c r="H95" s="138" t="n">
        <x:f>IF(NOT(ISNUMBER(F95)),"",F95*$D$45)</x:f>
        <x:v>2471.576865950377</x:v>
      </x:c>
      <x:c r="I95" s="138" t="n">
        <x:f>IF(OR($D$55="",NOT(ISNUMBER(H95))),"",H95*$D$55)</x:f>
        <x:v>377380.12850823114</x:v>
      </x:c>
      <x:c r="J95" s="138" t="n">
        <x:f>IF(E95="","",MAX(0,E95-$G$44))</x:f>
        <x:v>120.79831932332465</x:v>
      </x:c>
      <x:c r="K95" s="138" t="n">
        <x:f>IF(J95="","",J95*(1+$G$42))</x:f>
        <x:v>121.10031512163296</x:v>
      </x:c>
      <x:c r="L95" s="141" t="n">
        <x:f>IF(K95="","",$J$41+K95)</x:f>
        <x:v>211.27888654691486</x:v>
      </x:c>
    </x:row>
    <x:row r="96" ht="20" customHeight="1">
      <x:c r="A96"/>
      <x:c r="B96"/>
      <x:c r="C96" s="126" t="n">
        <x:v>0.92</x:v>
      </x:c>
      <x:c r="D96" s="138" t="n">
        <x:f>IF(C96&lt;$D$54,$G$48-MAX(0,(C96-$G$43)*$D$45)/(1-$J$7),"")</x:f>
        <x:v>79999999.99999997</x:v>
      </x:c>
      <x:c r="E96" s="138" t="n">
        <x:f>IF(D96="","",$G$50/D96)</x:f>
        <x:v>223.21428570614341</x:v>
      </x:c>
      <x:c r="F96" s="129" t="n">
        <x:f>IF(OR(D96="",E96=""),"",E96/D96)</x:f>
        <x:v>0.0000027901785713267936</x:v>
      </x:c>
      <x:c r="G96" s="129" t="n">
        <x:f>IF(OR($D$55="",NOT(ISNUMBER(F96))),"",F96*$D$55)</x:f>
        <x:v>0.00042602678569874546</x:v>
      </x:c>
      <x:c r="H96" s="138" t="n">
        <x:f>IF(NOT(ISNUMBER(F96)),"",F96*$D$45)</x:f>
        <x:v>2790.1785713267936</x:v>
      </x:c>
      <x:c r="I96" s="138" t="n">
        <x:f>IF(OR($D$55="",NOT(ISNUMBER(H96))),"",H96*$D$55)</x:f>
        <x:v>426026.78569874546</x:v>
      </x:c>
      <x:c r="J96" s="138" t="n">
        <x:f>IF(E96="","",MAX(0,E96-$G$44))</x:f>
        <x:v>133.92857142368607</x:v>
      </x:c>
      <x:c r="K96" s="138" t="n">
        <x:f>IF(J96="","",J96*(1+$G$42))</x:f>
        <x:v>134.26339285224526</x:v>
      </x:c>
      <x:c r="L96" s="141" t="n">
        <x:f>IF(K96="","",$J$41+K96)</x:f>
        <x:v>224.44196427752718</x:v>
      </x:c>
    </x:row>
    <x:row r="97" ht="20" customHeight="1">
      <x:c r="A97"/>
      <x:c r="B97"/>
      <x:c r="C97" s="126" t="n">
        <x:v>0.925</x:v>
      </x:c>
      <x:c r="D97" s="138" t="n">
        <x:f>IF(C97&lt;$D$54,$G$48-MAX(0,(C97-$G$43)*$D$45)/(1-$J$7),"")</x:f>
        <x:v>74999999.99999997</x:v>
      </x:c>
      <x:c r="E97" s="138" t="n">
        <x:f>IF(D97="","",$G$50/D97)</x:f>
        <x:v>238.09523808655297</x:v>
      </x:c>
      <x:c r="F97" s="129" t="n">
        <x:f>IF(OR(D97="",E97=""),"",E97/D97)</x:f>
        <x:v>0.0000031746031744873742</x:v>
      </x:c>
      <x:c r="G97" s="129" t="n">
        <x:f>IF(OR($D$55="",NOT(ISNUMBER(F97))),"",F97*$D$55)</x:f>
        <x:v>0.00048472380950612815</x:v>
      </x:c>
      <x:c r="H97" s="138" t="n">
        <x:f>IF(NOT(ISNUMBER(F97)),"",F97*$D$45)</x:f>
        <x:v>3174.6031744873744</x:v>
      </x:c>
      <x:c r="I97" s="138" t="n">
        <x:f>IF(OR($D$55="",NOT(ISNUMBER(H97))),"",H97*$D$55)</x:f>
        <x:v>484723.8095061282</x:v>
      </x:c>
      <x:c r="J97" s="138" t="n">
        <x:f>IF(E97="","",MAX(0,E97-$G$44))</x:f>
        <x:v>148.80952380409562</x:v>
      </x:c>
      <x:c r="K97" s="138" t="n">
        <x:f>IF(J97="","",J97*(1+$G$42))</x:f>
        <x:v>149.18154761360586</x:v>
      </x:c>
      <x:c r="L97" s="141" t="n">
        <x:f>IF(K97="","",$J$41+K97)</x:f>
        <x:v>239.36011903888777</x:v>
      </x:c>
    </x:row>
    <x:row r="98" ht="20" customHeight="1">
      <x:c r="A98"/>
      <x:c r="B98"/>
      <x:c r="C98" s="126" t="n">
        <x:v>0.93</x:v>
      </x:c>
      <x:c r="D98" s="138" t="n">
        <x:f>IF(C98&lt;$D$54,$G$48-MAX(0,(C98-$G$43)*$D$45)/(1-$J$7),"")</x:f>
        <x:v>69999999.99999997</x:v>
      </x:c>
      <x:c r="E98" s="138" t="n">
        <x:f>IF(D98="","",$G$50/D98)</x:f>
        <x:v>255.10204080702107</x:v>
      </x:c>
      <x:c r="F98" s="129" t="n">
        <x:f>IF(OR(D98="",E98=""),"",E98/D98)</x:f>
        <x:v>0.000003644314868671731</x:v>
      </x:c>
      <x:c r="G98" s="129" t="n">
        <x:f>IF(OR($D$55="",NOT(ISNUMBER(F98))),"",F98*$D$55)</x:f>
        <x:v>0.0005564431486677492</x:v>
      </x:c>
      <x:c r="H98" s="138" t="n">
        <x:f>IF(NOT(ISNUMBER(F98)),"",F98*$D$45)</x:f>
        <x:v>3644.3148686717313</x:v>
      </x:c>
      <x:c r="I98" s="138" t="n">
        <x:f>IF(OR($D$55="",NOT(ISNUMBER(H98))),"",H98*$D$55)</x:f>
        <x:v>556443.1486677493</x:v>
      </x:c>
      <x:c r="J98" s="138" t="n">
        <x:f>IF(E98="","",MAX(0,E98-$G$44))</x:f>
        <x:v>165.81632652456372</x:v>
      </x:c>
      <x:c r="K98" s="138" t="n">
        <x:f>IF(J98="","",J98*(1+$G$42))</x:f>
        <x:v>166.2308673408751</x:v>
      </x:c>
      <x:c r="L98" s="141" t="n">
        <x:f>IF(K98="","",$J$41+K98)</x:f>
        <x:v>256.409438766157</x:v>
      </x:c>
    </x:row>
    <x:row r="99" ht="20" customHeight="1">
      <x:c r="A99"/>
      <x:c r="B99"/>
      <x:c r="C99" s="126" t="n">
        <x:v>0.935</x:v>
      </x:c>
      <x:c r="D99" s="138" t="n">
        <x:f>IF(C99&lt;$D$54,$G$48-MAX(0,(C99-$G$43)*$D$45)/(1-$J$7),"")</x:f>
        <x:v>64999999.99999997</x:v>
      </x:c>
      <x:c r="E99" s="138" t="n">
        <x:f>IF(D99="","",$G$50/D99)</x:f>
        <x:v>274.7252747152535</x:v>
      </x:c>
      <x:c r="F99" s="129" t="n">
        <x:f>IF(OR(D99="",E99=""),"",E99/D99)</x:f>
        <x:v>0.000004226542687926978</x:v>
      </x:c>
      <x:c r="G99" s="129" t="n">
        <x:f>IF(OR($D$55="",NOT(ISNUMBER(F99))),"",F99*$D$55)</x:f>
        <x:v>0.0006453423499341944</x:v>
      </x:c>
      <x:c r="H99" s="138" t="n">
        <x:f>IF(NOT(ISNUMBER(F99)),"",F99*$D$45)</x:f>
        <x:v>4226.542687926978</x:v>
      </x:c>
      <x:c r="I99" s="138" t="n">
        <x:f>IF(OR($D$55="",NOT(ISNUMBER(H99))),"",H99*$D$55)</x:f>
        <x:v>645342.3499341944</x:v>
      </x:c>
      <x:c r="J99" s="138" t="n">
        <x:f>IF(E99="","",MAX(0,E99-$G$44))</x:f>
        <x:v>185.43956043279613</x:v>
      </x:c>
      <x:c r="K99" s="138" t="n">
        <x:f>IF(J99="","",J99*(1+$G$42))</x:f>
        <x:v>185.9031593338781</x:v>
      </x:c>
      <x:c r="L99" s="141" t="n">
        <x:f>IF(K99="","",$J$41+K99)</x:f>
        <x:v>276.08173075916</x:v>
      </x:c>
    </x:row>
    <x:row r="100" ht="20" customHeight="1">
      <x:c r="A100"/>
      <x:c r="B100"/>
      <x:c r="C100" s="126" t="n">
        <x:v>0.9400000000000001</x:v>
      </x:c>
      <x:c r="D100" s="138" t="n">
        <x:f>IF(C100&lt;$D$54,$G$48-MAX(0,(C100-$G$43)*$D$45)/(1-$J$7),"")</x:f>
        <x:v>59999999.99999997</x:v>
      </x:c>
      <x:c r="E100" s="138" t="n">
        <x:f>IF(D100="","",$G$50/D100)</x:f>
        <x:v>297.61904760819124</x:v>
      </x:c>
      <x:c r="F100" s="129" t="n">
        <x:f>IF(OR(D100="",E100=""),"",E100/D100)</x:f>
        <x:v>0.000004960317460136523</x:v>
      </x:c>
      <x:c r="G100" s="129" t="n">
        <x:f>IF(OR($D$55="",NOT(ISNUMBER(F100))),"",F100*$D$55)</x:f>
        <x:v>0.0007573809523533254</x:v>
      </x:c>
      <x:c r="H100" s="138" t="n">
        <x:f>IF(NOT(ISNUMBER(F100)),"",F100*$D$45)</x:f>
        <x:v>4960.317460136523</x:v>
      </x:c>
      <x:c r="I100" s="138" t="n">
        <x:f>IF(OR($D$55="",NOT(ISNUMBER(H100))),"",H100*$D$55)</x:f>
        <x:v>757380.9523533253</x:v>
      </x:c>
      <x:c r="J100" s="138" t="n">
        <x:f>IF(E100="","",MAX(0,E100-$G$44))</x:f>
        <x:v>208.3333333257339</x:v>
      </x:c>
      <x:c r="K100" s="138" t="n">
        <x:f>IF(J100="","",J100*(1+$G$42))</x:f>
        <x:v>208.85416665904822</x:v>
      </x:c>
      <x:c r="L100" s="141" t="n">
        <x:f>IF(K100="","",$J$41+K100)</x:f>
        <x:v>299.03273808433016</x:v>
      </x:c>
    </x:row>
    <x:row r="101" ht="20" customHeight="1">
      <x:c r="A101"/>
      <x:c r="B101"/>
      <x:c r="C101" s="126" t="n">
        <x:v>0.9450000000000001</x:v>
      </x:c>
      <x:c r="D101" s="138" t="n">
        <x:f>IF(C101&lt;$D$54,$G$48-MAX(0,(C101-$G$43)*$D$45)/(1-$J$7),"")</x:f>
        <x:v>54999999.99999994</x:v>
      </x:c>
      <x:c r="E101" s="138" t="n">
        <x:f>IF(D101="","",$G$50/D101)</x:f>
        <x:v>324.67532466348155</x:v>
      </x:c>
      <x:c r="F101" s="129" t="n">
        <x:f>IF(OR(D101="",E101=""),"",E101/D101)</x:f>
        <x:v>0.000005903187721154216</x:v>
      </x:c>
      <x:c r="G101" s="129" t="n">
        <x:f>IF(OR($D$55="",NOT(ISNUMBER(F101))),"",F101*$D$55)</x:f>
        <x:v>0.0009013459267675949</x:v>
      </x:c>
      <x:c r="H101" s="138" t="n">
        <x:f>IF(NOT(ISNUMBER(F101)),"",F101*$D$45)</x:f>
        <x:v>5903.187721154216</x:v>
      </x:c>
      <x:c r="I101" s="138" t="n">
        <x:f>IF(OR($D$55="",NOT(ISNUMBER(H101))),"",H101*$D$55)</x:f>
        <x:v>901345.9267675949</x:v>
      </x:c>
      <x:c r="J101" s="138" t="n">
        <x:f>IF(E101="","",MAX(0,E101-$G$44))</x:f>
        <x:v>235.3896103810242</x:v>
      </x:c>
      <x:c r="K101" s="138" t="n">
        <x:f>IF(J101="","",J101*(1+$G$42))</x:f>
        <x:v>235.97808440697673</x:v>
      </x:c>
      <x:c r="L101" s="141" t="n">
        <x:f>IF(K101="","",$J$41+K101)</x:f>
        <x:v>326.15665583225865</x:v>
      </x:c>
    </x:row>
    <x:row r="102" ht="20" customHeight="1">
      <x:c r="A102"/>
      <x:c r="B102"/>
      <x:c r="C102" s="126" t="n">
        <x:v>0.9500000000000001</x:v>
      </x:c>
      <x:c r="D102" s="138" t="n">
        <x:f>IF(C102&lt;$D$54,$G$48-MAX(0,(C102-$G$43)*$D$45)/(1-$J$7),"")</x:f>
        <x:v>49999999.99999994</x:v>
      </x:c>
      <x:c r="E102" s="138" t="n">
        <x:f>IF(D102="","",$G$50/D102)</x:f>
        <x:v>357.14285712982974</x:v>
      </x:c>
      <x:c r="F102" s="129" t="n">
        <x:f>IF(OR(D102="",E102=""),"",E102/D102)</x:f>
        <x:v>0.000007142857142596603</x:v>
      </x:c>
      <x:c r="G102" s="129" t="n">
        <x:f>IF(OR($D$55="",NOT(ISNUMBER(F102))),"",F102*$D$55)</x:f>
        <x:v>0.00109062857138879</x:v>
      </x:c>
      <x:c r="H102" s="138" t="n">
        <x:f>IF(NOT(ISNUMBER(F102)),"",F102*$D$45)</x:f>
        <x:v>7142.857142596603</x:v>
      </x:c>
      <x:c r="I102" s="138" t="n">
        <x:f>IF(OR($D$55="",NOT(ISNUMBER(H102))),"",H102*$D$55)</x:f>
        <x:v>1090628.57138879</x:v>
      </x:c>
      <x:c r="J102" s="138" t="n">
        <x:f>IF(E102="","",MAX(0,E102-$G$44))</x:f>
        <x:v>267.8571428473724</x:v>
      </x:c>
      <x:c r="K102" s="138" t="n">
        <x:f>IF(J102="","",J102*(1+$G$42))</x:f>
        <x:v>268.5267857044908</x:v>
      </x:c>
      <x:c r="L102" s="141" t="n">
        <x:f>IF(K102="","",$J$41+K102)</x:f>
        <x:v>358.7053571297727</x:v>
      </x:c>
    </x:row>
    <x:row r="103" ht="20" customHeight="1">
      <x:c r="A103"/>
      <x:c r="B103"/>
      <x:c r="C103" s="126" t="n">
        <x:v>0.9550000000000001</x:v>
      </x:c>
      <x:c r="D103" s="138" t="n">
        <x:f>IF(C103&lt;$D$54,$G$48-MAX(0,(C103-$G$43)*$D$45)/(1-$J$7),"")</x:f>
        <x:v>44999999.99999994</x:v>
      </x:c>
      <x:c r="E103" s="138" t="n">
        <x:f>IF(D103="","",$G$50/D103)</x:f>
        <x:v>396.82539681092203</x:v>
      </x:c>
      <x:c r="F103" s="129" t="n">
        <x:f>IF(OR(D103="",E103=""),"",E103/D103)</x:f>
        <x:v>0.000008818342151353835</x:v>
      </x:c>
      <x:c r="G103" s="129" t="n">
        <x:f>IF(OR($D$55="",NOT(ISNUMBER(F103))),"",F103*$D$55)</x:f>
        <x:v>0.0013464550264059142</x:v>
      </x:c>
      <x:c r="H103" s="138" t="n">
        <x:f>IF(NOT(ISNUMBER(F103)),"",F103*$D$45)</x:f>
        <x:v>8818.342151353836</x:v>
      </x:c>
      <x:c r="I103" s="138" t="n">
        <x:f>IF(OR($D$55="",NOT(ISNUMBER(H103))),"",H103*$D$55)</x:f>
        <x:v>1346455.0264059145</x:v>
      </x:c>
      <x:c r="J103" s="138" t="n">
        <x:f>IF(E103="","",MAX(0,E103-$G$44))</x:f>
        <x:v>307.5396825284647</x:v>
      </x:c>
      <x:c r="K103" s="138" t="n">
        <x:f>IF(J103="","",J103*(1+$G$42))</x:f>
        <x:v>308.30853173478584</x:v>
      </x:c>
      <x:c r="L103" s="141" t="n">
        <x:f>IF(K103="","",$J$41+K103)</x:f>
        <x:v>398.48710316006776</x:v>
      </x:c>
    </x:row>
    <x:row r="104" ht="20" customHeight="1">
      <x:c r="A104"/>
      <x:c r="B104"/>
      <x:c r="C104" s="126" t="n">
        <x:v>0.9600000000000001</x:v>
      </x:c>
      <x:c r="D104" s="138" t="n">
        <x:f>IF(C104&lt;$D$54,$G$48-MAX(0,(C104-$G$43)*$D$45)/(1-$J$7),"")</x:f>
        <x:v>39999999.99999994</x:v>
      </x:c>
      <x:c r="E104" s="138" t="n">
        <x:f>IF(D104="","",$G$50/D104)</x:f>
        <x:v>446.42857141228734</x:v>
      </x:c>
      <x:c r="F104" s="129" t="n">
        <x:f>IF(OR(D104="",E104=""),"",E104/D104)</x:f>
        <x:v>0.0000111607142853072</x:v>
      </x:c>
      <x:c r="G104" s="129" t="n">
        <x:f>IF(OR($D$55="",NOT(ISNUMBER(F104))),"",F104*$D$55)</x:f>
        <x:v>0.0017041071427949855</x:v>
      </x:c>
      <x:c r="H104" s="138" t="n">
        <x:f>IF(NOT(ISNUMBER(F104)),"",F104*$D$45)</x:f>
        <x:v>11160.7142853072</x:v>
      </x:c>
      <x:c r="I104" s="138" t="n">
        <x:f>IF(OR($D$55="",NOT(ISNUMBER(H104))),"",H104*$D$55)</x:f>
        <x:v>1704107.1427949856</x:v>
      </x:c>
      <x:c r="J104" s="138" t="n">
        <x:f>IF(E104="","",MAX(0,E104-$G$44))</x:f>
        <x:v>357.14285712982996</x:v>
      </x:c>
      <x:c r="K104" s="138" t="n">
        <x:f>IF(J104="","",J104*(1+$G$42))</x:f>
        <x:v>358.0357142726545</x:v>
      </x:c>
      <x:c r="L104" s="141" t="n">
        <x:f>IF(K104="","",$J$41+K104)</x:f>
        <x:v>448.2142856979364</x:v>
      </x:c>
    </x:row>
    <x:row r="105" ht="20" customHeight="1">
      <x:c r="A105"/>
      <x:c r="B105"/>
      <x:c r="C105" s="126" t="n">
        <x:v>0.9650000000000001</x:v>
      </x:c>
      <x:c r="D105" s="138" t="n">
        <x:f>IF(C105&lt;$D$54,$G$48-MAX(0,(C105-$G$43)*$D$45)/(1-$J$7),"")</x:f>
        <x:v>34999999.99999994</x:v>
      </x:c>
      <x:c r="E105" s="138" t="n">
        <x:f>IF(D105="","",$G$50/D105)</x:f>
        <x:v>510.20408161404276</x:v>
      </x:c>
      <x:c r="F105" s="129" t="n">
        <x:f>IF(OR(D105="",E105=""),"",E105/D105)</x:f>
        <x:v>0.00001457725947468696</x:v>
      </x:c>
      <x:c r="G105" s="129" t="n">
        <x:f>IF(OR($D$55="",NOT(ISNUMBER(F105))),"",F105*$D$55)</x:f>
        <x:v>0.0022257725946710025</x:v>
      </x:c>
      <x:c r="H105" s="138" t="n">
        <x:f>IF(NOT(ISNUMBER(F105)),"",F105*$D$45)</x:f>
        <x:v>14577.25947468696</x:v>
      </x:c>
      <x:c r="I105" s="138" t="n">
        <x:f>IF(OR($D$55="",NOT(ISNUMBER(H105))),"",H105*$D$55)</x:f>
        <x:v>2225772.5946710026</x:v>
      </x:c>
      <x:c r="J105" s="138" t="n">
        <x:f>IF(E105="","",MAX(0,E105-$G$44))</x:f>
        <x:v>420.9183673315854</x:v>
      </x:c>
      <x:c r="K105" s="138" t="n">
        <x:f>IF(J105="","",J105*(1+$G$42))</x:f>
        <x:v>421.9706632499143</x:v>
      </x:c>
      <x:c r="L105" s="141" t="n">
        <x:f>IF(K105="","",$J$41+K105)</x:f>
        <x:v>512.1492346751962</x:v>
      </x:c>
    </x:row>
    <x:row r="106" ht="20" customHeight="1">
      <x:c r="A106"/>
      <x:c r="B106"/>
      <x:c r="C106" s="126" t="n">
        <x:v>0.9700000000000001</x:v>
      </x:c>
      <x:c r="D106" s="138" t="n">
        <x:f>IF(C106&lt;$D$54,$G$48-MAX(0,(C106-$G$43)*$D$45)/(1-$J$7),"")</x:f>
        <x:v>29999999.99999994</x:v>
      </x:c>
      <x:c r="E106" s="138" t="n">
        <x:f>IF(D106="","",$G$50/D106)</x:f>
        <x:v>595.2380952163834</x:v>
      </x:c>
      <x:c r="F106" s="129" t="n">
        <x:f>IF(OR(D106="",E106=""),"",E106/D106)</x:f>
        <x:v>0.000019841269840546153</x:v>
      </x:c>
      <x:c r="G106" s="129" t="n">
        <x:f>IF(OR($D$55="",NOT(ISNUMBER(F106))),"",F106*$D$55)</x:f>
        <x:v>0.003029523809413311</x:v>
      </x:c>
      <x:c r="H106" s="138" t="n">
        <x:f>IF(NOT(ISNUMBER(F106)),"",F106*$D$45)</x:f>
        <x:v>19841.269840546152</x:v>
      </x:c>
      <x:c r="I106" s="138" t="n">
        <x:f>IF(OR($D$55="",NOT(ISNUMBER(H106))),"",H106*$D$55)</x:f>
        <x:v>3029523.8094133106</x:v>
      </x:c>
      <x:c r="J106" s="138" t="n">
        <x:f>IF(E106="","",MAX(0,E106-$G$44))</x:f>
        <x:v>505.95238093392607</x:v>
      </x:c>
      <x:c r="K106" s="138" t="n">
        <x:f>IF(J106="","",J106*(1+$G$42))</x:f>
        <x:v>507.21726188626087</x:v>
      </x:c>
      <x:c r="L106" s="141" t="n">
        <x:f>IF(K106="","",$J$41+K106)</x:f>
        <x:v>597.3958333115428</x:v>
      </x:c>
    </x:row>
    <x:row r="107" ht="20" customHeight="1">
      <x:c r="A107"/>
      <x:c r="B107"/>
      <x:c r="C107" s="126" t="n">
        <x:v>0.9750000000000001</x:v>
      </x:c>
      <x:c r="D107" s="138" t="n">
        <x:f>IF(C107&lt;$D$54,$G$48-MAX(0,(C107-$G$43)*$D$45)/(1-$J$7),"")</x:f>
        <x:v>24999999.99999994</x:v>
      </x:c>
      <x:c r="E107" s="138" t="n">
        <x:f>IF(D107="","",$G$50/D107)</x:f>
        <x:v>714.2857142596604</x:v>
      </x:c>
      <x:c r="F107" s="129" t="n">
        <x:f>IF(OR(D107="",E107=""),"",E107/D107)</x:f>
        <x:v>0.000028571428570386483</x:v>
      </x:c>
      <x:c r="G107" s="129" t="n">
        <x:f>IF(OR($D$55="",NOT(ISNUMBER(F107))),"",F107*$D$55)</x:f>
        <x:v>0.004362514285555171</x:v>
      </x:c>
      <x:c r="H107" s="138" t="n">
        <x:f>IF(NOT(ISNUMBER(F107)),"",F107*$D$45)</x:f>
        <x:v>28571.428570386484</x:v>
      </x:c>
      <x:c r="I107" s="138" t="n">
        <x:f>IF(OR($D$55="",NOT(ISNUMBER(H107))),"",H107*$D$55)</x:f>
        <x:v>4362514.285555171</x:v>
      </x:c>
      <x:c r="J107" s="138" t="n">
        <x:f>IF(E107="","",MAX(0,E107-$G$44))</x:f>
        <x:v>624.9999999772031</x:v>
      </x:c>
      <x:c r="K107" s="138" t="n">
        <x:f>IF(J107="","",J107*(1+$G$42))</x:f>
        <x:v>626.562499977146</x:v>
      </x:c>
      <x:c r="L107" s="141" t="n">
        <x:f>IF(K107="","",$J$41+K107)</x:f>
        <x:v>716.7410714024279</x:v>
      </x:c>
    </x:row>
    <x:row r="108" ht="20" customHeight="1">
      <x:c r="A108"/>
      <x:c r="B108"/>
      <x:c r="C108" s="126" t="n">
        <x:v>0.98</x:v>
      </x:c>
      <x:c r="D108" s="138" t="n">
        <x:f>IF(C108&lt;$D$54,$G$48-MAX(0,(C108-$G$43)*$D$45)/(1-$J$7),"")</x:f>
        <x:v>20000000.00000003</x:v>
      </x:c>
      <x:c r="E108" s="138" t="n">
        <x:f>IF(D108="","",$G$50/D108)</x:f>
        <x:v>892.857142824572</x:v>
      </x:c>
      <x:c r="F108" s="129" t="n">
        <x:f>IF(OR(D108="",E108=""),"",E108/D108)</x:f>
        <x:v>0.00004464285714122853</x:v>
      </x:c>
      <x:c r="G108" s="129" t="n">
        <x:f>IF(OR($D$55="",NOT(ISNUMBER(F108))),"",F108*$D$55)</x:f>
        <x:v>0.006816428571179901</x:v>
      </x:c>
      <x:c r="H108" s="138" t="n">
        <x:f>IF(NOT(ISNUMBER(F108)),"",F108*$D$45)</x:f>
        <x:v>44642.85714122853</x:v>
      </x:c>
      <x:c r="I108" s="138" t="n">
        <x:f>IF(OR($D$55="",NOT(ISNUMBER(H108))),"",H108*$D$55)</x:f>
        <x:v>6816428.571179901</x:v>
      </x:c>
      <x:c r="J108" s="138" t="n">
        <x:f>IF(E108="","",MAX(0,E108-$G$44))</x:f>
        <x:v>803.5714285421146</x:v>
      </x:c>
      <x:c r="K108" s="138" t="n">
        <x:f>IF(J108="","",J108*(1+$G$42))</x:f>
        <x:v>805.5803571134699</x:v>
      </x:c>
      <x:c r="L108" s="141" t="n">
        <x:f>IF(K108="","",$J$41+K108)</x:f>
        <x:v>895.7589285387518</x:v>
      </x:c>
    </x:row>
    <x:row r="109" ht="20" customHeight="1">
      <x:c r="A109"/>
      <x:c r="B109"/>
      <x:c r="C109" s="126" t="n">
        <x:v>0.9850000000000001</x:v>
      </x:c>
      <x:c r="D109" s="138" t="n">
        <x:f>IF(C109&lt;$D$54,$G$48-MAX(0,(C109-$G$43)*$D$45)/(1-$J$7),"")</x:f>
        <x:v>14999999.99999991</x:v>
      </x:c>
      <x:c r="E109" s="138" t="n">
        <x:f>IF(D109="","",$G$50/D109)</x:f>
        <x:v>1190.4761904327715</x:v>
      </x:c>
      <x:c r="F109" s="129" t="n">
        <x:f>IF(OR(D109="",E109=""),"",E109/D109)</x:f>
        <x:v>0.00007936507936218524</x:v>
      </x:c>
      <x:c r="G109" s="129" t="n">
        <x:f>IF(OR($D$55="",NOT(ISNUMBER(F109))),"",F109*$D$55)</x:f>
        <x:v>0.012118095237653339</x:v>
      </x:c>
      <x:c r="H109" s="138" t="n">
        <x:f>IF(NOT(ISNUMBER(F109)),"",F109*$D$45)</x:f>
        <x:v>79365.07936218524</x:v>
      </x:c>
      <x:c r="I109" s="138" t="n">
        <x:f>IF(OR($D$55="",NOT(ISNUMBER(H109))),"",H109*$D$55)</x:f>
        <x:v>12118095.237653337</x:v>
      </x:c>
      <x:c r="J109" s="138" t="n">
        <x:f>IF(E109="","",MAX(0,E109-$G$44))</x:f>
        <x:v>1101.1904761503142</x:v>
      </x:c>
      <x:c r="K109" s="138" t="n">
        <x:f>IF(J109="","",J109*(1+$G$42))</x:f>
        <x:v>1103.9434523406899</x:v>
      </x:c>
      <x:c r="L109" s="141" t="n">
        <x:f>IF(K109="","",$J$41+K109)</x:f>
        <x:v>1194.1220237659718</x:v>
      </x:c>
    </x:row>
    <x:row r="110" ht="20" customHeight="1">
      <x:c r="A110"/>
      <x:c r="B110"/>
      <x:c r="C110" s="126" t="n">
        <x:v>0.99</x:v>
      </x:c>
      <x:c r="D110" s="138" t="n">
        <x:f>IF(C110&lt;$D$54,$G$48-MAX(0,(C110-$G$43)*$D$45)/(1-$J$7),"")</x:f>
        <x:v>10000000.00000003</x:v>
      </x:c>
      <x:c r="E110" s="138" t="n">
        <x:f>IF(D110="","",$G$50/D110)</x:f>
        <x:v>1785.7142856491414</x:v>
      </x:c>
      <x:c r="F110" s="129" t="n">
        <x:f>IF(OR(D110="",E110=""),"",E110/D110)</x:f>
        <x:v>0.0001785714285649136</x:v>
      </x:c>
      <x:c r="G110" s="129" t="n">
        <x:f>IF(OR($D$55="",NOT(ISNUMBER(F110))),"",F110*$D$55)</x:f>
        <x:v>0.027265714284719526</x:v>
      </x:c>
      <x:c r="H110" s="138" t="n">
        <x:f>IF(NOT(ISNUMBER(F110)),"",F110*$D$45)</x:f>
        <x:v>178571.4285649136</x:v>
      </x:c>
      <x:c r="I110" s="138" t="n">
        <x:f>IF(OR($D$55="",NOT(ISNUMBER(H110))),"",H110*$D$55)</x:f>
        <x:v>27265714.284719527</x:v>
      </x:c>
      <x:c r="J110" s="138" t="n">
        <x:f>IF(E110="","",MAX(0,E110-$G$44))</x:f>
        <x:v>1696.428571366684</x:v>
      </x:c>
      <x:c r="K110" s="138" t="n">
        <x:f>IF(J110="","",J110*(1+$G$42))</x:f>
        <x:v>1700.6696427951008</x:v>
      </x:c>
      <x:c r="L110" s="141" t="n">
        <x:f>IF(K110="","",$J$41+K110)</x:f>
        <x:v>1790.8482142203827</x:v>
      </x:c>
    </x:row>
    <x:row r="111" ht="20" customHeight="1">
      <x:c r="A111"/>
      <x:c r="B111"/>
      <x:c r="C111" s="126" t="n">
        <x:v>0.9950000000000001</x:v>
      </x:c>
      <x:c r="D111" s="138" t="n">
        <x:f>IF(C111&lt;$D$54,$G$48-MAX(0,(C111-$G$43)*$D$45)/(1-$J$7),"")</x:f>
        <x:v>4999999.999999911</x:v>
      </x:c>
      <x:c r="E111" s="138" t="n">
        <x:f>IF(D111="","",$G$50/D111)</x:f>
        <x:v>3571.4285712983574</x:v>
      </x:c>
      <x:c r="F111" s="129" t="n">
        <x:f>IF(OR(D111="",E111=""),"",E111/D111)</x:f>
        <x:v>0.0007142857142596842</x:v>
      </x:c>
      <x:c r="G111" s="129" t="n">
        <x:f>IF(OR($D$55="",NOT(ISNUMBER(F111))),"",F111*$D$55)</x:f>
        <x:v>0.10906285713888265</x:v>
      </x:c>
      <x:c r="H111" s="138" t="n">
        <x:f>IF(NOT(ISNUMBER(F111)),"",F111*$D$45)</x:f>
        <x:v>714285.7142596842</x:v>
      </x:c>
      <x:c r="I111" s="138" t="n">
        <x:f>IF(OR($D$55="",NOT(ISNUMBER(H111))),"",H111*$D$55)</x:f>
        <x:v>109062857.13888265</x:v>
      </x:c>
      <x:c r="J111" s="138" t="n">
        <x:f>IF(E111="","",MAX(0,E111-$G$44))</x:f>
        <x:v>3482.1428570159</x:v>
      </x:c>
      <x:c r="K111" s="138" t="n">
        <x:f>IF(J111="","",J111*(1+$G$42))</x:f>
        <x:v>3490.8482141584395</x:v>
      </x:c>
      <x:c r="L111" s="141" t="n">
        <x:f>IF(K111="","",$J$41+K111)</x:f>
        <x:v>3581.0267855837214</x:v>
      </x:c>
    </x:row>
    <x:row r="112" ht="20" customHeight="1">
      <x:c r="A112"/>
      <x:c r="B112"/>
      <x:c r="C112" s="127" t="n">
        <x:v>1</x:v>
      </x:c>
      <x:c r="D112" s="139" t="str">
        <x:f>IF(C112&lt;$D$54,$G$48-MAX(0,(C112-$G$43)*$D$45)/(1-$J$7),"")</x:f>
      </x:c>
      <x:c r="E112" s="139" t="str">
        <x:f>IF(D112="","",$G$50/D112)</x:f>
      </x:c>
      <x:c r="F112" s="130" t="str">
        <x:f>IF(OR(D112="",E112=""),"",E112/D112)</x:f>
      </x:c>
      <x:c r="G112" s="130" t="str">
        <x:f>IF(OR($D$55="",NOT(ISNUMBER(F112))),"",F112*$D$55)</x:f>
      </x:c>
      <x:c r="H112" s="139" t="str">
        <x:f>IF(NOT(ISNUMBER(F112)),"",F112*$D$45)</x:f>
      </x:c>
      <x:c r="I112" s="139" t="str">
        <x:f>IF(OR($D$55="",NOT(ISNUMBER(H112))),"",H112*$D$55)</x:f>
      </x:c>
      <x:c r="J112" s="139" t="str">
        <x:f>IF(E112="","",MAX(0,E112-$G$44))</x:f>
      </x:c>
      <x:c r="K112" s="139" t="str">
        <x:f>IF(J112="","",J112*(1+$G$42))</x:f>
      </x:c>
      <x:c r="L112" s="142" t="str">
        <x:f>IF(K112="","",$J$41+K112)</x:f>
      </x:c>
    </x:row>
    <x:row r="113" ht="20" customHeight="1">
      <x:c r="A113"/>
      <x:c r="B113"/>
      <x:c r="C113" s="100"/>
      <x:c r="D113" s="100"/>
      <x:c r="E113" s="100"/>
      <x:c r="F113" s="100"/>
      <x:c r="G113" s="100"/>
      <x:c r="H113" s="100"/>
      <x:c r="I113" s="100"/>
      <x:c r="J113" s="100"/>
      <x:c r="K113" s="100"/>
      <x:c r="L113" s="100"/>
    </x:row>
    <x:row r="114" ht="20" customHeight="1">
      <x:c r="A114"/>
      <x:c r="B114"/>
      <x:c r="C114" s="100"/>
      <x:c r="D114" s="100"/>
      <x:c r="E114" s="100"/>
      <x:c r="F114" s="100"/>
      <x:c r="G114" s="100"/>
      <x:c r="H114" s="100"/>
      <x:c r="I114" s="100"/>
      <x:c r="J114" s="100"/>
      <x:c r="K114" s="100"/>
      <x:c r="L114" s="100"/>
    </x:row>
    <x:row r="115" ht="24" customHeight="1">
      <x:c r="A115"/>
      <x:c r="B115"/>
      <x:c r="C115" s="96" t="str">
        <x:v>外盘回落参考</x:v>
      </x:c>
      <x:c r="D115" s="96"/>
      <x:c r="E115" s="96"/>
      <x:c r="F115" s="96"/>
      <x:c r="G115" s="96"/>
      <x:c r="H115" s="96"/>
      <x:c r="I115" s="96"/>
      <x:c r="J115" s="96"/>
      <x:c r="K115" s="96"/>
      <x:c r="L115" s="96"/>
    </x:row>
    <x:row r="116" ht="32" customHeight="1">
      <x:c r="A116"/>
      <x:c r="B116"/>
      <x:c r="C116" s="71" t="str">
        <x:v>控筹率</x:v>
      </x:c>
      <x:c r="D116" s="71" t="str">
        <x:v>pooled TOKEN</x:v>
      </x:c>
      <x:c r="E116" s="71" t="str">
        <x:v>pooled Quote</x:v>
      </x:c>
      <x:c r="F116" s="71" t="str">
        <x:v>价格 / Quote</x:v>
      </x:c>
      <x:c r="G116" s="71" t="str">
        <x:v>价格 / USDT</x:v>
      </x:c>
      <x:c r="H116" s="71" t="str">
        <x:v>市值 / Quote</x:v>
      </x:c>
      <x:c r="I116" s="71" t="str">
        <x:v>市值 / USDT</x:v>
      </x:c>
      <x:c r="J116" s="71" t="str">
        <x:v>较毕业点回撤</x:v>
      </x:c>
      <x:c r="K116" s="71" t="str"/>
      <x:c r="L116" s="71" t="str"/>
    </x:row>
    <x:row r="117" ht="20" customHeight="1">
      <x:c r="A117"/>
      <x:c r="B117"/>
      <x:c r="C117" s="125" t="n">
        <x:v>0.8</x:v>
      </x:c>
      <x:c r="D117" s="137" t="n">
        <x:f>$D$45*(1-C117)</x:f>
        <x:v>199999999.99999997</x:v>
      </x:c>
      <x:c r="E117" s="137" t="n">
        <x:f>$G$50/D117</x:f>
        <x:v>89.28571428245735</x:v>
      </x:c>
      <x:c r="F117" s="128" t="n">
        <x:f>IF(OR(D117="",E117=""),"",E117/D117)</x:f>
        <x:v>4.464285714122868e-7</x:v>
      </x:c>
      <x:c r="G117" s="128" t="n">
        <x:f>IF(OR($D$55="",NOT(ISNUMBER(F117))),"",F117*$D$55)</x:f>
        <x:v>0.00006816428571179924</x:v>
      </x:c>
      <x:c r="H117" s="137" t="n">
        <x:f>IF(NOT(ISNUMBER(F117)),"",F117*$D$45)</x:f>
        <x:v>446.4285714122868</x:v>
      </x:c>
      <x:c r="I117" s="137" t="n">
        <x:f>IF(OR($D$55="",NOT(ISNUMBER(H117))),"",H117*$D$55)</x:f>
        <x:v>68164.28571179924</x:v>
      </x:c>
      <x:c r="J117" s="125" t="n">
        <x:f>IF($H$117&gt;0,1-H117/$H$117,0)</x:f>
        <x:v>0</x:v>
      </x:c>
      <x:c r="K117" s="122"/>
      <x:c r="L117" s="122"/>
    </x:row>
    <x:row r="118" ht="20" customHeight="1">
      <x:c r="A118"/>
      <x:c r="B118"/>
      <x:c r="C118" s="126" t="n">
        <x:v>0.7</x:v>
      </x:c>
      <x:c r="D118" s="138" t="n">
        <x:f>$D$45*(1-C118)</x:f>
        <x:v>300000000.00000006</x:v>
      </x:c>
      <x:c r="E118" s="138" t="n">
        <x:f>$G$50/D118</x:f>
        <x:v>59.523809521638206</x:v>
      </x:c>
      <x:c r="F118" s="129" t="n">
        <x:f>IF(OR(D118="",E118=""),"",E118/D118)</x:f>
        <x:v>1.9841269840546065e-7</x:v>
      </x:c>
      <x:c r="G118" s="129" t="n">
        <x:f>IF(OR($D$55="",NOT(ISNUMBER(F118))),"",F118*$D$55)</x:f>
        <x:v>0.000030295238094132972</x:v>
      </x:c>
      <x:c r="H118" s="138" t="n">
        <x:f>IF(NOT(ISNUMBER(F118)),"",F118*$D$45)</x:f>
        <x:v>198.41269840546065</x:v>
      </x:c>
      <x:c r="I118" s="138" t="n">
        <x:f>IF(OR($D$55="",NOT(ISNUMBER(H118))),"",H118*$D$55)</x:f>
        <x:v>30295.238094132972</x:v>
      </x:c>
      <x:c r="J118" s="126" t="n">
        <x:f>IF($H$117&gt;0,1-H118/$H$117,0)</x:f>
        <x:v>0.5555555555555558</x:v>
      </x:c>
      <x:c r="K118" s="123"/>
      <x:c r="L118" s="123"/>
    </x:row>
    <x:row r="119" ht="20" customHeight="1">
      <x:c r="A119"/>
      <x:c r="B119"/>
      <x:c r="C119" s="126" t="n">
        <x:v>0.6</x:v>
      </x:c>
      <x:c r="D119" s="138" t="n">
        <x:f>$D$45*(1-C119)</x:f>
        <x:v>400000000</x:v>
      </x:c>
      <x:c r="E119" s="138" t="n">
        <x:f>$G$50/D119</x:f>
        <x:v>44.64285714122867</x:v>
      </x:c>
      <x:c r="F119" s="129" t="n">
        <x:f>IF(OR(D119="",E119=""),"",E119/D119)</x:f>
        <x:v>1.1160714285307167e-7</x:v>
      </x:c>
      <x:c r="G119" s="129" t="n">
        <x:f>IF(OR($D$55="",NOT(ISNUMBER(F119))),"",F119*$D$55)</x:f>
        <x:v>0.000017041071427949806</x:v>
      </x:c>
      <x:c r="H119" s="138" t="n">
        <x:f>IF(NOT(ISNUMBER(F119)),"",F119*$D$45)</x:f>
        <x:v>111.60714285307166</x:v>
      </x:c>
      <x:c r="I119" s="138" t="n">
        <x:f>IF(OR($D$55="",NOT(ISNUMBER(H119))),"",H119*$D$55)</x:f>
        <x:v>17041.071427949806</x:v>
      </x:c>
      <x:c r="J119" s="126" t="n">
        <x:f>IF($H$117&gt;0,1-H119/$H$117,0)</x:f>
        <x:v>0.75</x:v>
      </x:c>
      <x:c r="K119" s="123"/>
      <x:c r="L119" s="123"/>
    </x:row>
    <x:row r="120" ht="20" customHeight="1">
      <x:c r="A120"/>
      <x:c r="B120"/>
      <x:c r="C120" s="126" t="n">
        <x:v>0.5</x:v>
      </x:c>
      <x:c r="D120" s="138" t="n">
        <x:f>$D$45*(1-C120)</x:f>
        <x:v>500000000</x:v>
      </x:c>
      <x:c r="E120" s="138" t="n">
        <x:f>$G$50/D120</x:f>
        <x:v>35.714285712982935</x:v>
      </x:c>
      <x:c r="F120" s="129" t="n">
        <x:f>IF(OR(D120="",E120=""),"",E120/D120)</x:f>
        <x:v>7.142857142596587e-8</x:v>
      </x:c>
      <x:c r="G120" s="129" t="n">
        <x:f>IF(OR($D$55="",NOT(ISNUMBER(F120))),"",F120*$D$55)</x:f>
        <x:v>0.000010906285713887875</x:v>
      </x:c>
      <x:c r="H120" s="138" t="n">
        <x:f>IF(NOT(ISNUMBER(F120)),"",F120*$D$45)</x:f>
        <x:v>71.42857142596587</x:v>
      </x:c>
      <x:c r="I120" s="138" t="n">
        <x:f>IF(OR($D$55="",NOT(ISNUMBER(H120))),"",H120*$D$55)</x:f>
        <x:v>10906.285713887875</x:v>
      </x:c>
      <x:c r="J120" s="126" t="n">
        <x:f>IF($H$117&gt;0,1-H120/$H$117,0)</x:f>
        <x:v>0.8400000000000001</x:v>
      </x:c>
      <x:c r="K120" s="123"/>
      <x:c r="L120" s="123"/>
    </x:row>
    <x:row r="121" ht="20" customHeight="1">
      <x:c r="A121"/>
      <x:c r="B121"/>
      <x:c r="C121" s="126" t="n">
        <x:v>0.4</x:v>
      </x:c>
      <x:c r="D121" s="138" t="n">
        <x:f>$D$45*(1-C121)</x:f>
        <x:v>600000000</x:v>
      </x:c>
      <x:c r="E121" s="138" t="n">
        <x:f>$G$50/D121</x:f>
        <x:v>29.76190476081911</x:v>
      </x:c>
      <x:c r="F121" s="129" t="n">
        <x:f>IF(OR(D121="",E121=""),"",E121/D121)</x:f>
        <x:v>4.960317460136518e-8</x:v>
      </x:c>
      <x:c r="G121" s="129" t="n">
        <x:f>IF(OR($D$55="",NOT(ISNUMBER(F121))),"",F121*$D$55)</x:f>
        <x:v>0.000007573809523533246</x:v>
      </x:c>
      <x:c r="H121" s="138" t="n">
        <x:f>IF(NOT(ISNUMBER(F121)),"",F121*$D$45)</x:f>
        <x:v>49.60317460136518</x:v>
      </x:c>
      <x:c r="I121" s="138" t="n">
        <x:f>IF(OR($D$55="",NOT(ISNUMBER(H121))),"",H121*$D$55)</x:f>
        <x:v>7573.809523533247</x:v>
      </x:c>
      <x:c r="J121" s="126" t="n">
        <x:f>IF($H$117&gt;0,1-H121/$H$117,0)</x:f>
        <x:v>0.888888888888889</x:v>
      </x:c>
      <x:c r="K121" s="123"/>
      <x:c r="L121" s="123"/>
    </x:row>
    <x:row r="122" ht="20" customHeight="1">
      <x:c r="A122"/>
      <x:c r="B122"/>
      <x:c r="C122" s="126" t="n">
        <x:v>0.3</x:v>
      </x:c>
      <x:c r="D122" s="138" t="n">
        <x:f>$D$45*(1-C122)</x:f>
        <x:v>700000000</x:v>
      </x:c>
      <x:c r="E122" s="138" t="n">
        <x:f>$G$50/D122</x:f>
        <x:v>25.510204080702096</x:v>
      </x:c>
      <x:c r="F122" s="129" t="n">
        <x:f>IF(OR(D122="",E122=""),"",E122/D122)</x:f>
        <x:v>3.6443148686717276e-8</x:v>
      </x:c>
      <x:c r="G122" s="129" t="n">
        <x:f>IF(OR($D$55="",NOT(ISNUMBER(F122))),"",F122*$D$55)</x:f>
        <x:v>0.000005564431486677487</x:v>
      </x:c>
      <x:c r="H122" s="138" t="n">
        <x:f>IF(NOT(ISNUMBER(F122)),"",F122*$D$45)</x:f>
        <x:v>36.44314868671728</x:v>
      </x:c>
      <x:c r="I122" s="138" t="n">
        <x:f>IF(OR($D$55="",NOT(ISNUMBER(H122))),"",H122*$D$55)</x:f>
        <x:v>5564.431486677488</x:v>
      </x:c>
      <x:c r="J122" s="126" t="n">
        <x:f>IF($H$117&gt;0,1-H122/$H$117,0)</x:f>
        <x:v>0.9183673469387755</x:v>
      </x:c>
      <x:c r="K122" s="123"/>
      <x:c r="L122" s="123"/>
    </x:row>
    <x:row r="123" ht="20" customHeight="1">
      <x:c r="A123"/>
      <x:c r="B123"/>
      <x:c r="C123" s="126" t="n">
        <x:v>0.2</x:v>
      </x:c>
      <x:c r="D123" s="138" t="n">
        <x:f>$D$45*(1-C123)</x:f>
        <x:v>800000000</x:v>
      </x:c>
      <x:c r="E123" s="138" t="n">
        <x:f>$G$50/D123</x:f>
        <x:v>22.321428570614334</x:v>
      </x:c>
      <x:c r="F123" s="129" t="n">
        <x:f>IF(OR(D123="",E123=""),"",E123/D123)</x:f>
        <x:v>2.7901785713267918e-8</x:v>
      </x:c>
      <x:c r="G123" s="129" t="n">
        <x:f>IF(OR($D$55="",NOT(ISNUMBER(F123))),"",F123*$D$55)</x:f>
        <x:v>0.0000042602678569874515</x:v>
      </x:c>
      <x:c r="H123" s="138" t="n">
        <x:f>IF(NOT(ISNUMBER(F123)),"",F123*$D$45)</x:f>
        <x:v>27.901785713267916</x:v>
      </x:c>
      <x:c r="I123" s="138" t="n">
        <x:f>IF(OR($D$55="",NOT(ISNUMBER(H123))),"",H123*$D$55)</x:f>
        <x:v>4260.2678569874515</x:v>
      </x:c>
      <x:c r="J123" s="126" t="n">
        <x:f>IF($H$117&gt;0,1-H123/$H$117,0)</x:f>
        <x:v>0.9375</x:v>
      </x:c>
      <x:c r="K123" s="123"/>
      <x:c r="L123" s="123"/>
    </x:row>
    <x:row r="124" ht="20" customHeight="1">
      <x:c r="A124"/>
      <x:c r="B124"/>
      <x:c r="C124" s="126" t="n">
        <x:v>0.1</x:v>
      </x:c>
      <x:c r="D124" s="138" t="n">
        <x:f>$D$45*(1-C124)</x:f>
        <x:v>900000000</x:v>
      </x:c>
      <x:c r="E124" s="138" t="n">
        <x:f>$G$50/D124</x:f>
        <x:v>19.841269840546072</x:v>
      </x:c>
      <x:c r="F124" s="129" t="n">
        <x:f>IF(OR(D124="",E124=""),"",E124/D124)</x:f>
        <x:v>2.2045855378384524e-8</x:v>
      </x:c>
      <x:c r="G124" s="129" t="n">
        <x:f>IF(OR($D$55="",NOT(ISNUMBER(F124))),"",F124*$D$55)</x:f>
        <x:v>0.000003366137566014776</x:v>
      </x:c>
      <x:c r="H124" s="138" t="n">
        <x:f>IF(NOT(ISNUMBER(F124)),"",F124*$D$45)</x:f>
        <x:v>22.045855378384523</x:v>
      </x:c>
      <x:c r="I124" s="138" t="n">
        <x:f>IF(OR($D$55="",NOT(ISNUMBER(H124))),"",H124*$D$55)</x:f>
        <x:v>3366.137566014776</x:v>
      </x:c>
      <x:c r="J124" s="126" t="n">
        <x:f>IF($H$117&gt;0,1-H124/$H$117,0)</x:f>
        <x:v>0.9506172839506173</x:v>
      </x:c>
      <x:c r="K124" s="123"/>
      <x:c r="L124" s="123"/>
    </x:row>
    <x:row r="125" ht="20" customHeight="1">
      <x:c r="A125"/>
      <x:c r="B125"/>
      <x:c r="C125" s="127" t="n">
        <x:v>0</x:v>
      </x:c>
      <x:c r="D125" s="139" t="n">
        <x:f>$D$45*(1-C125)</x:f>
        <x:v>1000000000</x:v>
      </x:c>
      <x:c r="E125" s="139" t="n">
        <x:f>$G$50/D125</x:f>
        <x:v>17.857142856491468</x:v>
      </x:c>
      <x:c r="F125" s="130" t="n">
        <x:f>IF(OR(D125="",E125=""),"",E125/D125)</x:f>
        <x:v>1.7857142856491468e-8</x:v>
      </x:c>
      <x:c r="G125" s="130" t="n">
        <x:f>IF(OR($D$55="",NOT(ISNUMBER(F125))),"",F125*$D$55)</x:f>
        <x:v>0.000002726571428471969</x:v>
      </x:c>
      <x:c r="H125" s="139" t="n">
        <x:f>IF(NOT(ISNUMBER(F125)),"",F125*$D$45)</x:f>
        <x:v>17.857142856491468</x:v>
      </x:c>
      <x:c r="I125" s="139" t="n">
        <x:f>IF(OR($D$55="",NOT(ISNUMBER(H125))),"",H125*$D$55)</x:f>
        <x:v>2726.571428471969</x:v>
      </x:c>
      <x:c r="J125" s="127" t="n">
        <x:f>IF($H$117&gt;0,1-H125/$H$117,0)</x:f>
        <x:v>0.96</x:v>
      </x:c>
      <x:c r="K125" s="124" t="str">
        <x:v>沉没成本 / Quote</x:v>
      </x:c>
      <x:c r="L125" s="124" t="n">
        <x:f>E125</x:f>
        <x:v>17.857142856491468</x:v>
      </x:c>
    </x:row>
    <x:row r="126" ht="20" customHeight="1">
      <x:c r="A126"/>
      <x:c r="B126"/>
      <x:c r="C126" s="100"/>
      <x:c r="D126" s="100"/>
      <x:c r="E126" s="100"/>
      <x:c r="F126" s="100"/>
      <x:c r="G126" s="100"/>
      <x:c r="H126" s="100"/>
      <x:c r="I126" s="100"/>
      <x:c r="J126" s="100"/>
      <x:c r="K126" s="100"/>
      <x:c r="L126" s="100"/>
    </x:row>
    <x:row r="127" ht="20" customHeight="1">
      <x:c r="A127"/>
      <x:c r="B127"/>
      <x:c r="C127" s="100"/>
      <x:c r="D127" s="100"/>
      <x:c r="E127" s="100"/>
      <x:c r="F127" s="100"/>
      <x:c r="G127" s="100"/>
      <x:c r="H127" s="100"/>
      <x:c r="I127" s="100"/>
      <x:c r="J127" s="100"/>
      <x:c r="K127" s="100"/>
      <x:c r="L127" s="100"/>
    </x:row>
    <x:row r="128" ht="20" customHeight="1">
      <x:c r="A128"/>
      <x:c r="B128"/>
      <x:c r="C128" s="100"/>
      <x:c r="D128" s="100"/>
      <x:c r="E128" s="100"/>
      <x:c r="F128" s="100"/>
      <x:c r="G128" s="100"/>
      <x:c r="H128" s="100"/>
      <x:c r="I128" s="100"/>
      <x:c r="J128" s="100"/>
      <x:c r="K128" s="100"/>
      <x:c r="L128" s="100"/>
    </x:row>
    <x:row r="129" ht="20" customHeight="1">
      <x:c r="A129"/>
      <x:c r="B129"/>
      <x:c r="C129" s="100"/>
      <x:c r="D129" s="100"/>
      <x:c r="E129" s="100"/>
      <x:c r="F129" s="100"/>
      <x:c r="G129" s="100"/>
      <x:c r="H129" s="100"/>
      <x:c r="I129" s="100"/>
      <x:c r="J129" s="100"/>
      <x:c r="K129" s="100"/>
      <x:c r="L129" s="100"/>
    </x:row>
    <x:row r="130" ht="20" customHeight="1">
      <x:c r="A130"/>
      <x:c r="B130"/>
      <x:c r="C130" s="100"/>
      <x:c r="D130" s="100"/>
      <x:c r="E130" s="100"/>
      <x:c r="F130" s="100"/>
      <x:c r="G130" s="100"/>
      <x:c r="H130" s="100"/>
      <x:c r="I130" s="100"/>
      <x:c r="J130" s="100"/>
      <x:c r="K130" s="100"/>
      <x:c r="L130" s="100"/>
    </x:row>
    <x:row r="131" ht="20" customHeight="1">
      <x:c r="A131"/>
      <x:c r="B131"/>
      <x:c r="C131" s="100"/>
      <x:c r="D131" s="100"/>
      <x:c r="E131" s="100"/>
      <x:c r="F131" s="100"/>
      <x:c r="G131" s="100"/>
      <x:c r="H131" s="100"/>
      <x:c r="I131" s="100"/>
      <x:c r="J131" s="100"/>
      <x:c r="K131" s="100"/>
      <x:c r="L131" s="100"/>
    </x:row>
    <x:row r="132" ht="20" customHeight="1">
      <x:c r="A132"/>
      <x:c r="B132"/>
      <x:c r="C132" s="100"/>
      <x:c r="D132" s="100"/>
      <x:c r="E132" s="100"/>
      <x:c r="F132" s="100"/>
      <x:c r="G132" s="100"/>
      <x:c r="H132" s="100"/>
      <x:c r="I132" s="100"/>
      <x:c r="J132" s="100"/>
      <x:c r="K132" s="100"/>
      <x:c r="L132" s="100"/>
    </x:row>
    <x:row r="133" ht="20" customHeight="1">
      <x:c r="A133"/>
      <x:c r="B133"/>
      <x:c r="C133" s="100"/>
      <x:c r="D133" s="100"/>
      <x:c r="E133" s="100"/>
      <x:c r="F133" s="100"/>
      <x:c r="G133" s="100"/>
      <x:c r="H133" s="100"/>
      <x:c r="I133" s="100"/>
      <x:c r="J133" s="100"/>
      <x:c r="K133" s="100"/>
      <x:c r="L133" s="100"/>
    </x:row>
    <x:row r="134" ht="20" customHeight="1">
      <x:c r="A134"/>
      <x:c r="B134"/>
      <x:c r="C134" s="100"/>
      <x:c r="D134" s="100"/>
      <x:c r="E134" s="100"/>
      <x:c r="F134" s="100"/>
      <x:c r="G134" s="100"/>
      <x:c r="H134" s="100"/>
      <x:c r="I134" s="100"/>
      <x:c r="J134" s="100"/>
      <x:c r="K134" s="100"/>
      <x:c r="L134" s="100"/>
    </x:row>
    <x:row r="135" ht="20" customHeight="1">
      <x:c r="A135"/>
      <x:c r="B135"/>
      <x:c r="C135" s="100"/>
      <x:c r="D135" s="100"/>
      <x:c r="E135" s="100"/>
      <x:c r="F135" s="100"/>
      <x:c r="G135" s="100"/>
      <x:c r="H135" s="100"/>
      <x:c r="I135" s="100"/>
      <x:c r="J135" s="100"/>
      <x:c r="K135" s="100"/>
      <x:c r="L135" s="100"/>
    </x:row>
    <x:row r="136" ht="20" customHeight="1">
      <x:c r="A136"/>
      <x:c r="B136"/>
      <x:c r="C136" s="100"/>
      <x:c r="D136" s="100"/>
      <x:c r="E136" s="100"/>
      <x:c r="F136" s="100"/>
      <x:c r="G136" s="100"/>
      <x:c r="H136" s="100"/>
      <x:c r="I136" s="100"/>
      <x:c r="J136" s="100"/>
      <x:c r="K136" s="100"/>
      <x:c r="L136" s="100"/>
    </x:row>
    <x:row r="137" ht="20" customHeight="1">
      <x:c r="A137"/>
      <x:c r="B137"/>
      <x:c r="C137" s="100"/>
      <x:c r="D137" s="100"/>
      <x:c r="E137" s="100"/>
      <x:c r="F137" s="100"/>
      <x:c r="G137" s="100"/>
      <x:c r="H137" s="100"/>
      <x:c r="I137" s="100"/>
      <x:c r="J137" s="100"/>
      <x:c r="K137" s="100"/>
      <x:c r="L137" s="100"/>
    </x:row>
    <x:row r="138" ht="20" customHeight="1">
      <x:c r="A138"/>
      <x:c r="B138"/>
      <x:c r="C138" s="100"/>
      <x:c r="D138" s="100"/>
      <x:c r="E138" s="100"/>
      <x:c r="F138" s="100"/>
      <x:c r="G138" s="100"/>
      <x:c r="H138" s="100"/>
      <x:c r="I138" s="100"/>
      <x:c r="J138" s="100"/>
      <x:c r="K138" s="100"/>
      <x:c r="L138" s="100"/>
    </x:row>
    <x:row r="139" ht="20" customHeight="1">
      <x:c r="A139"/>
      <x:c r="B139"/>
      <x:c r="C139" s="100"/>
      <x:c r="D139" s="100"/>
      <x:c r="E139" s="100"/>
      <x:c r="F139" s="100"/>
      <x:c r="G139" s="100"/>
      <x:c r="H139" s="100"/>
      <x:c r="I139" s="100"/>
      <x:c r="J139" s="100"/>
      <x:c r="K139" s="100"/>
      <x:c r="L139" s="100"/>
    </x:row>
    <x:row r="140" ht="20" customHeight="1">
      <x:c r="A140"/>
      <x:c r="B140"/>
      <x:c r="C140" s="100"/>
      <x:c r="D140" s="100"/>
      <x:c r="E140" s="100"/>
      <x:c r="F140" s="100"/>
      <x:c r="G140" s="100"/>
      <x:c r="H140" s="100"/>
      <x:c r="I140" s="100"/>
      <x:c r="J140" s="100"/>
      <x:c r="K140" s="100"/>
      <x:c r="L140" s="100"/>
    </x:row>
    <x:row r="141" ht="20" customHeight="1">
      <x:c r="A141"/>
      <x:c r="B141"/>
      <x:c r="C141" s="100"/>
      <x:c r="D141" s="100"/>
      <x:c r="E141" s="100"/>
      <x:c r="F141" s="100"/>
      <x:c r="G141" s="100"/>
      <x:c r="H141" s="100"/>
      <x:c r="I141" s="100"/>
      <x:c r="J141" s="100"/>
      <x:c r="K141" s="100"/>
      <x:c r="L141" s="100"/>
    </x:row>
    <x:row r="142" ht="20" customHeight="1">
      <x:c r="A142"/>
      <x:c r="B142"/>
      <x:c r="C142" s="100"/>
      <x:c r="D142" s="100"/>
      <x:c r="E142" s="100"/>
      <x:c r="F142" s="100"/>
      <x:c r="G142" s="100"/>
      <x:c r="H142" s="100"/>
      <x:c r="I142" s="100"/>
      <x:c r="J142" s="100"/>
      <x:c r="K142" s="100"/>
      <x:c r="L142" s="100"/>
    </x:row>
    <x:row r="143" ht="20" customHeight="1">
      <x:c r="A143"/>
      <x:c r="B143"/>
      <x:c r="C143" s="100"/>
      <x:c r="D143" s="100"/>
      <x:c r="E143" s="100"/>
      <x:c r="F143" s="100"/>
      <x:c r="G143" s="100"/>
      <x:c r="H143" s="100"/>
      <x:c r="I143" s="100"/>
      <x:c r="J143" s="100"/>
      <x:c r="K143" s="100"/>
      <x:c r="L143" s="100"/>
    </x:row>
    <x:row r="144" ht="20" customHeight="1">
      <x:c r="A144"/>
      <x:c r="B144"/>
      <x:c r="C144" s="100"/>
      <x:c r="D144" s="100"/>
      <x:c r="E144" s="100"/>
      <x:c r="F144" s="100"/>
      <x:c r="G144" s="100"/>
      <x:c r="H144" s="100"/>
      <x:c r="I144" s="100"/>
      <x:c r="J144" s="100"/>
      <x:c r="K144" s="100"/>
      <x:c r="L144" s="100"/>
    </x:row>
    <x:row r="145" ht="20" customHeight="1">
      <x:c r="A145"/>
      <x:c r="B145"/>
      <x:c r="C145" s="100"/>
      <x:c r="D145" s="100"/>
      <x:c r="E145" s="100"/>
      <x:c r="F145" s="100"/>
      <x:c r="G145" s="100"/>
      <x:c r="H145" s="100"/>
      <x:c r="I145" s="100"/>
      <x:c r="J145" s="100"/>
      <x:c r="K145" s="100"/>
      <x:c r="L145" s="100"/>
    </x:row>
    <x:row r="146" ht="20" customHeight="1">
      <x:c r="A146"/>
      <x:c r="B146"/>
      <x:c r="C146" s="100"/>
      <x:c r="D146" s="100"/>
      <x:c r="E146" s="100"/>
      <x:c r="F146" s="100"/>
      <x:c r="G146" s="100"/>
      <x:c r="H146" s="100"/>
      <x:c r="I146" s="100"/>
      <x:c r="J146" s="100"/>
      <x:c r="K146" s="100"/>
      <x:c r="L146" s="100"/>
    </x:row>
    <x:row r="147" ht="20" customHeight="1">
      <x:c r="A147"/>
      <x:c r="B147"/>
      <x:c r="C147" s="100"/>
      <x:c r="D147" s="100"/>
      <x:c r="E147" s="100"/>
      <x:c r="F147" s="100"/>
      <x:c r="G147" s="100"/>
      <x:c r="H147" s="100"/>
      <x:c r="I147" s="100"/>
      <x:c r="J147" s="100"/>
      <x:c r="K147" s="100"/>
      <x:c r="L147" s="100"/>
    </x:row>
    <x:row r="148" ht="20" customHeight="1">
      <x:c r="A148"/>
      <x:c r="B148"/>
      <x:c r="C148" s="100"/>
      <x:c r="D148" s="100"/>
      <x:c r="E148" s="100"/>
      <x:c r="F148" s="100"/>
      <x:c r="G148" s="100"/>
      <x:c r="H148" s="100"/>
      <x:c r="I148" s="100"/>
      <x:c r="J148" s="100"/>
      <x:c r="K148" s="100"/>
      <x:c r="L148" s="100"/>
    </x:row>
    <x:row r="149" ht="20" customHeight="1">
      <x:c r="A149"/>
      <x:c r="B149"/>
      <x:c r="C149" s="100"/>
      <x:c r="D149" s="100"/>
      <x:c r="E149" s="100"/>
      <x:c r="F149" s="100"/>
      <x:c r="G149" s="100"/>
      <x:c r="H149" s="100"/>
      <x:c r="I149" s="100"/>
      <x:c r="J149" s="100"/>
      <x:c r="K149" s="100"/>
      <x:c r="L149" s="100"/>
    </x:row>
    <x:row r="150" ht="20" customHeight="1">
      <x:c r="A150"/>
      <x:c r="B150"/>
      <x:c r="C150" s="100"/>
      <x:c r="D150" s="100"/>
      <x:c r="E150" s="100"/>
      <x:c r="F150" s="100"/>
      <x:c r="G150" s="100"/>
      <x:c r="H150" s="100"/>
      <x:c r="I150" s="100"/>
      <x:c r="J150" s="100"/>
      <x:c r="K150" s="100"/>
      <x:c r="L150" s="100"/>
    </x:row>
  </x:sheetData>
  <x:mergeCells>
    <x:mergeCell ref="C3:L3"/>
    <x:mergeCell ref="C13:L13"/>
    <x:mergeCell ref="D42:E43"/>
    <x:mergeCell ref="D41:E41"/>
    <x:mergeCell ref="D46:E46"/>
    <x:mergeCell ref="D47:E47"/>
    <x:mergeCell ref="D48:E48"/>
    <x:mergeCell ref="D49:E50"/>
    <x:mergeCell ref="J51:L51"/>
    <x:mergeCell ref="C36:L36"/>
    <x:mergeCell ref="C37:F37"/>
    <x:mergeCell ref="I22:L22"/>
    <x:mergeCell ref="I27:L27"/>
    <x:mergeCell ref="D56:E56"/>
  </x:mergeCells>
  <x:conditionalFormatting sqref="D23:D23">
    <x:cfRule type="containsText" dxfId="0" priority="1" operator="containsText" text="不可达"/>
    <x:cfRule type="containsText" dxfId="1" priority="2" operator="containsText" text="无效"/>
    <x:cfRule type="containsText" dxfId="2" priority="3" operator="containsText" text="缺少"/>
  </x:conditionalFormatting>
  <x:conditionalFormatting sqref="J24:J24">
    <x:cfRule type="containsText" dxfId="3" priority="4" operator="containsText" text="缺少"/>
  </x:conditionalFormatting>
  <x:conditionalFormatting sqref="D18:D18">
    <x:cfRule type="expression" dxfId="8" priority="9">
      <x:formula>$D$7="BNB"</x:formula>
    </x:cfRule>
  </x:conditionalFormatting>
  <x:conditionalFormatting sqref="D22:D26">
    <x:cfRule type="expression" dxfId="9" priority="10">
      <x:formula>$D$7="BNB"</x:formula>
    </x:cfRule>
  </x:conditionalFormatting>
  <x:conditionalFormatting sqref="G37:G37">
    <x:cfRule type="expression" dxfId="10" priority="11">
      <x:formula>$D$7="BNB"</x:formula>
    </x:cfRule>
  </x:conditionalFormatting>
  <x:conditionalFormatting sqref="E59:E67">
    <x:cfRule type="expression" dxfId="11" priority="12">
      <x:formula>$D$7="BNB"</x:formula>
    </x:cfRule>
  </x:conditionalFormatting>
  <x:conditionalFormatting sqref="H59:H67">
    <x:cfRule type="expression" dxfId="12" priority="13">
      <x:formula>$D$7="BNB"</x:formula>
    </x:cfRule>
  </x:conditionalFormatting>
  <x:conditionalFormatting sqref="J59:J67">
    <x:cfRule type="expression" dxfId="13" priority="14">
      <x:formula>$D$7="BNB"</x:formula>
    </x:cfRule>
  </x:conditionalFormatting>
  <x:conditionalFormatting sqref="K59:K67">
    <x:cfRule type="expression" dxfId="14" priority="15">
      <x:formula>$D$7="BNB"</x:formula>
    </x:cfRule>
  </x:conditionalFormatting>
  <x:conditionalFormatting sqref="L59:L67">
    <x:cfRule type="expression" dxfId="15" priority="16">
      <x:formula>$D$7="BNB"</x:formula>
    </x:cfRule>
  </x:conditionalFormatting>
  <x:conditionalFormatting sqref="E72:E112">
    <x:cfRule type="expression" dxfId="16" priority="17">
      <x:formula>$D$7="BNB"</x:formula>
    </x:cfRule>
  </x:conditionalFormatting>
  <x:conditionalFormatting sqref="H72:H112">
    <x:cfRule type="expression" dxfId="17" priority="18">
      <x:formula>$D$7="BNB"</x:formula>
    </x:cfRule>
  </x:conditionalFormatting>
  <x:conditionalFormatting sqref="J72:J112">
    <x:cfRule type="expression" dxfId="18" priority="19">
      <x:formula>$D$7="BNB"</x:formula>
    </x:cfRule>
  </x:conditionalFormatting>
  <x:conditionalFormatting sqref="K72:K112">
    <x:cfRule type="expression" dxfId="19" priority="20">
      <x:formula>$D$7="BNB"</x:formula>
    </x:cfRule>
  </x:conditionalFormatting>
  <x:conditionalFormatting sqref="L72:L112">
    <x:cfRule type="expression" dxfId="20" priority="21">
      <x:formula>$D$7="BNB"</x:formula>
    </x:cfRule>
  </x:conditionalFormatting>
  <x:conditionalFormatting sqref="E117:E125">
    <x:cfRule type="expression" dxfId="21" priority="22">
      <x:formula>$D$7="BNB"</x:formula>
    </x:cfRule>
  </x:conditionalFormatting>
  <x:conditionalFormatting sqref="H117:H125">
    <x:cfRule type="expression" dxfId="22" priority="23">
      <x:formula>$D$7="BNB"</x:formula>
    </x:cfRule>
  </x:conditionalFormatting>
  <x:conditionalFormatting sqref="D51:D51">
    <x:cfRule type="containsText" dxfId="23" priority="24" operator="containsText" text="不可达"/>
    <x:cfRule type="containsText" dxfId="24" priority="25" operator="containsText" text="无效"/>
    <x:cfRule type="containsText" dxfId="25" priority="26" operator="containsText" text="缺少"/>
  </x:conditionalFormatting>
  <x:conditionalFormatting sqref="G55:G55">
    <x:cfRule type="containsText" dxfId="26" priority="27" operator="containsText" text="缺少"/>
  </x:conditionalFormatting>
  <x:dataValidations count="11">
    <x:dataValidation type="list" sqref="D7">
      <x:formula1>'Quote参数'!$E$14:$E$36</x:formula1>
    </x:dataValidation>
    <x:dataValidation type="decimal" operator="between" sqref="D8">
      <x:formula1>0.8</x:formula1>
      <x:formula2>0.99</x:formula2>
    </x:dataValidation>
    <x:dataValidation type="decimal" operator="between" sqref="J7">
      <x:formula1>0</x:formula1>
      <x:formula2>0.1</x:formula2>
    </x:dataValidation>
    <x:dataValidation type="decimal" operator="between" sqref="J8">
      <x:formula1>0</x:formula1>
      <x:formula2>0.1</x:formula2>
    </x:dataValidation>
    <x:dataValidation type="whole" errorStyle="stop" operator="greaterThan" showErrorMessage="1" errorTitle="地址参数无效" error="输入非负整数；内盘套数至少为 1。" sqref="G7">
      <x:formula1>0</x:formula1>
    </x:dataValidation>
    <x:dataValidation type="whole" errorStyle="stop" operator="greaterThan" showErrorMessage="1" errorTitle="地址参数无效" error="输入非负整数；内盘套数至少为 1。" sqref="G8">
      <x:formula1>-1</x:formula1>
    </x:dataValidation>
    <x:dataValidation type="whole" errorStyle="stop" operator="greaterThan" showErrorMessage="1" errorTitle="地址参数无效" error="输入非负整数；内盘套数至少为 1。" sqref="G9">
      <x:formula1>-1</x:formula1>
    </x:dataValidation>
    <x:dataValidation type="whole" errorStyle="stop" operator="greaterThan" showErrorMessage="1" errorTitle="地址参数无效" error="输入非负整数；内盘套数至少为 1。" sqref="G10">
      <x:formula1>-1</x:formula1>
    </x:dataValidation>
    <x:dataValidation type="decimal" errorStyle="stop" operator="between" showErrorMessage="1" errorTitle="参数无效" error="Gas 与资金预留不能为负数。" sqref="G12">
      <x:formula1>0</x:formula1>
      <x:formula2>1e+307</x:formula2>
    </x:dataValidation>
    <x:dataValidation type="decimal" errorStyle="stop" operator="between" showErrorMessage="1" errorTitle="参数无效" error="Gas 与资金预留不能为负数。" sqref="G11">
      <x:formula1>0</x:formula1>
      <x:formula2>1e+307</x:formula2>
    </x:dataValidation>
    <x:dataValidation type="decimal" operator="greaterThan" sqref="D9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>
        <x:v>786.293206317072</x:v>
      </x:c>
      <x:c r="Q7" s="45">
        <x:v>46287.270008506945</x:v>
      </x:c>
      <x:c r="R7" s="35" t="inlineStr">
        <x:is>
          <x:t xml:space="preserve">https://api.coingecko.com/api/v3/simple/price?ids=tether,ethereum,binancecoin,solana,hyperliquid,aster-2&amp;vs_currencies=usd</x:t>
        </x:is>
      </x:c>
      <x:c r="S7" s="35" t="inlineStr">
        <x:is>
          <x:t xml:space="preserve">随每日行情更新；仅用于原生币 Gas 折算</x:t>
        </x:is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 t="str">
        <x:v>外盘卖出所得 Quote 用于回买；双边 LP 费与买卖税降低持币。恢复目标按外盘曲线差额及买入费另列。</x:v>
      </x:c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152.688</x:v>
      </x:c>
      <x:c r="Q14" s="29">
        <x:v>46287.26956986111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186.7194</x:v>
      </x:c>
      <x:c r="Q15" s="30">
        <x:v>46287.2695749537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774.8275</x:v>
      </x:c>
      <x:c r="Q16" s="30">
        <x:v>46287.26958017361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4322.04267</x:v>
      </x:c>
      <x:c r="Q17" s="30">
        <x:v>46287.269585925926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741.6783</x:v>
      </x:c>
      <x:c r="Q18" s="30">
        <x:v>46287.26959238426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226.8007</x:v>
      </x:c>
      <x:c r="Q19" s="30">
        <x:v>46287.26959748843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338.8945</x:v>
      </x:c>
      <x:c r="Q20" s="30">
        <x:v>46287.26960328704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376.1913</x:v>
      </x:c>
      <x:c r="Q21" s="30">
        <x:v>46287.26960912037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503.00398</x:v>
      </x:c>
      <x:c r="Q22" s="30">
        <x:v>46287.26961490741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356.8395</x:v>
      </x:c>
      <x:c r="Q23" s="30">
        <x:v>46287.26962067129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120.8425</x:v>
      </x:c>
      <x:c r="Q24" s="30">
        <x:v>46287.26962716435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117.05875</x:v>
      </x:c>
      <x:c r="Q25" s="30">
        <x:v>46287.26963229167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23.5788</x:v>
      </x:c>
      <x:c r="Q26" s="30">
        <x:v>46287.26963800926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73.6837</x:v>
      </x:c>
      <x:c r="Q27" s="30">
        <x:v>46287.26964431713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162.837</x:v>
      </x:c>
      <x:c r="Q28" s="30">
        <x:v>46287.269650381946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9.09543</x:v>
      </x:c>
      <x:c r="Q29" s="30">
        <x:v>46287.26965538194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 t="inlineStr">
        <x:is>
          <x:t xml:space="preserve"/>
        </x:is>
      </x:c>
      <x:c r="Q30" s="30">
        <x:v>46287.269661412036</x:v>
      </x:c>
      <x:c r="R30" s="33" t="inlineStr">
        <x:is>
          <x:t xml:space="preserve"/>
        </x:is>
      </x:c>
      <x:c r="S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137.9253</x:v>
      </x:c>
      <x:c r="Q31" s="30">
        <x:v>46287.26966697917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172.4458</x:v>
      </x:c>
      <x:c r="Q32" s="30">
        <x:v>46287.269672766204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7.3509</x:v>
      </x:c>
      <x:c r="Q33" s="30">
        <x:v>46287.269678553246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35.09078</x:v>
      </x:c>
      <x:c r="Q34" s="30">
        <x:v>46287.26968459491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27.5076</x:v>
      </x:c>
      <x:c r="Q35" s="30">
        <x:v>46287.26969011574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 t="inlineStr">
        <x:is>
          <x:t xml:space="preserve"/>
        </x:is>
      </x:c>
      <x:c r="Q36" s="31">
        <x:v>46287.269696180556</x:v>
      </x:c>
      <x:c r="R36" s="34" t="inlineStr">
        <x:is>
          <x:t xml:space="preserve"/>
        </x:is>
      </x:c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