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e5f876e12e48e4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18477e5145584d7b"/>
    <sheet name="Quote参数" sheetId="2" r:id="R4910903c19954c88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ba7d4af17940f6" /><Relationship Type="http://schemas.openxmlformats.org/officeDocument/2006/relationships/theme" Target="/xl/theme/theme1.xml" Id="Rb6abffc436924afc" /><Relationship Type="http://schemas.openxmlformats.org/officeDocument/2006/relationships/sharedStrings" Target="/xl/sharedStrings.xml" Id="R39c5047fd41441e9" /><Relationship Type="http://schemas.openxmlformats.org/officeDocument/2006/relationships/worksheet" Target="/xl/worksheets/sheet1.xml" Id="R18477e5145584d7b" /><Relationship Type="http://schemas.openxmlformats.org/officeDocument/2006/relationships/worksheet" Target="/xl/worksheets/sheet2.xml" Id="R4910903c19954c8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Four.meme / BNB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VLOOKUP($D$7,'Quote参数'!$C$14:$AL$22,25,FALSE)</f>
      </c>
      <c r="K7" s="49"/>
      <c r="L7" s="49"/>
    </row>
    <row r="8" ht="20" customHeight="1">
      <c r="C8" s="49" t="str">
        <v>目标控筹率</v>
      </c>
      <c r="D8" s="55" t="n">
        <v>0.94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VLOOKUP($D$7,'Quote参数'!$C$14:$AL$22,26,FALSE)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VLOOKUP($D$7,'Quote参数'!$C$14:$AL$22,27,FALSE)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VLOOKUP($D$7,'Quote参数'!$C$14:$AL$22,33,FALSE)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VLOOKUP($D$7,'Quote参数'!$C$14:$AL$22,20,FALSE)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IF(AND($D$51="可达",ISNUMBER($D$26)),SUM(D22:D26),"")</f>
      </c>
      <c r="E18" s="48">
        <f>VLOOKUP($D$7,'Quote参数'!$C$14:$AL$22,3,FALSE)</f>
      </c>
      <c r="F18" s="3" t="str">
        <v>原生币 Gas 储备</v>
      </c>
      <c r="G18" s="53">
        <f>D53*MAX(0,G11)</f>
      </c>
      <c r="H18" s="48">
        <f>VLOOKUP($D$7,'Quote参数'!$C$14:$AL$22,4,FALSE)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IF($D$51&lt;&gt;"可达","",$J$41+IF($G$40="pons",($G$50/$J$51-$G$49)/(1-$G$42-$J$48),IF($G$40="four-stock",($G$50/$J$50-$G$49)/(1-$G$42),($G$50/$J$50-$G$49)*(1+$G$42))))</f>
      </c>
      <c r="E22" s="3">
        <f>VLOOKUP($D$7,'Quote参数'!$C$14:$AL$22,3,FALSE)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VLOOKUP($D$7,'Quote参数'!$C$14:$AL$22,3,FALSE)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ht="20" customHeight="1">
      <c r="C24" s="3" t="str">
        <v>洗筹损耗</v>
      </c>
      <c r="D24" s="65">
        <f>IF($D$51="可达",$J$52*$D$29,"")</f>
      </c>
      <c r="E24" s="3">
        <f>VLOOKUP($D$7,'Quote参数'!$C$14:$AL$22,3,FALSE)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VLOOKUP($D$7,'Quote参数'!$C$14:$AL$22,3,FALSE)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IF($D$51&lt;&gt;"可达","",IF(VLOOKUP($D$7,'Quote参数'!$C$14:$AL$22,34,FALSE)="quote",0,IF(AND($J$55&gt;0,$J$56&gt;0),MAX(0,($G$50/$J$55-$G$50/$J$56)*IF($G$40="pons",1,IF($G$40="four-stock",1/(1-$G$42),1+$G$42))),"")))</f>
      </c>
      <c r="E26" s="3">
        <f>VLOOKUP($D$7,'Quote参数'!$C$14:$AL$22,3,FALSE)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补回目标控筹率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customHeight="1" hidden="1">
      <c r="C31"/>
      <c r="D31"/>
      <c r="E31"/>
      <c r="F31"/>
      <c r="G31"/>
      <c r="H31"/>
      <c r="I31" s="3"/>
      <c r="J31" s="3"/>
      <c r="K31" s="3"/>
      <c r="L31" s="3"/>
    </row>
    <row r="32" ht="20" customHeight="1" hidden="1">
      <c r="C32"/>
      <c r="D32"/>
      <c r="E32"/>
      <c r="F32"/>
      <c r="G32"/>
      <c r="H32"/>
      <c r="I32" s="3"/>
      <c r="J32" s="3"/>
      <c r="K32" s="3"/>
      <c r="L32" s="3"/>
    </row>
    <row r="33" ht="20" customHeight="1" hidden="1">
      <c r="C33"/>
      <c r="D33"/>
      <c r="E33"/>
      <c r="F33"/>
      <c r="G33"/>
      <c r="H33"/>
      <c r="I33" s="3"/>
      <c r="J33" s="3"/>
      <c r="K33" s="3"/>
      <c r="L33" s="3"/>
    </row>
    <row r="34" ht="20" customHeight="1" hidden="1">
      <c r="C34"/>
      <c r="D34"/>
      <c r="E34"/>
      <c r="F34"/>
      <c r="G34"/>
      <c r="H34"/>
      <c r="I34" s="3"/>
      <c r="J34" s="3"/>
      <c r="K34" s="3"/>
      <c r="L34" s="3"/>
    </row>
    <row r="35" ht="20" customHeight="1" hidden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外盘手续费只在扣 Base/TOKEN 时降低控筹率；只扣 Quote 时补回为 0。补回按 Base/TOKEN 缺口及现有外盘曲线差额估算，损耗仍按目标加缓冲 FDV；非逐笔模拟。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IF($G$40="four-stock",E126,VLOOKUP($D$7,'Quote参数'!$C$14:$AL$22,23,FALSE))</f>
      </c>
      <c r="H37" s="3">
        <f>VLOOKUP($D$7,'Quote参数'!$C$14:$AL$22,3,FALSE)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customHeight="1" outlineLevel="1" hidden="1">
      <c r="C40" s="49"/>
      <c r="D40" s="49"/>
      <c r="E40" s="49"/>
      <c r="F40" s="49" t="str">
        <v>模型类型</v>
      </c>
      <c r="G40" s="49">
        <f>VLOOKUP($D$7,'Quote参数'!$C$14:$AL$22,10,FALSE)</f>
      </c>
      <c r="H40" s="49"/>
      <c r="I40" s="49"/>
      <c r="J40" s="49"/>
      <c r="K40" s="49"/>
      <c r="L40" s="49"/>
    </row>
    <row r="41" ht="30" customHeight="1" outlineLevel="1" hidden="1">
      <c r="C41" s="49"/>
      <c r="D41" s="49"/>
      <c r="E41" s="49"/>
      <c r="F41" s="49" t="str">
        <v>内盘基础费</v>
      </c>
      <c r="G41" s="58">
        <f>VLOOKUP($D$7,'Quote参数'!$C$14:$AL$22,19,FALSE)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customHeight="1" outlineLevel="1" hidden="1">
      <c r="C42" s="49"/>
      <c r="D42" s="49"/>
      <c r="E42" s="49"/>
      <c r="F42" s="49" t="str">
        <v>外盘基础费</v>
      </c>
      <c r="G42" s="58">
        <f>VLOOKUP($D$7,'Quote参数'!$C$14:$AL$22,20,FALSE)</f>
      </c>
      <c r="H42" s="49"/>
      <c r="I42" s="49"/>
      <c r="J42" s="49"/>
      <c r="K42" s="49"/>
      <c r="L42" s="49"/>
    </row>
    <row r="43" ht="30" customHeight="1" outlineLevel="1" hidden="1">
      <c r="C43" s="49"/>
      <c r="D43" s="49"/>
      <c r="E43" s="49"/>
      <c r="F43" s="49" t="str">
        <v>毕业控筹率</v>
      </c>
      <c r="G43" s="58">
        <f>VLOOKUP($D$7,'Quote参数'!$C$14:$AL$22,15,FALSE)</f>
      </c>
      <c r="H43" s="49"/>
      <c r="I43" s="49" t="str">
        <v>模型键</v>
      </c>
      <c r="J43" s="49">
        <f>VLOOKUP($D$7,'Quote参数'!$C$14:$AL$22,2,FALSE)</f>
      </c>
      <c r="K43" s="49"/>
      <c r="L43" s="49"/>
    </row>
    <row r="44" ht="30" customHeight="1" outlineLevel="1" hidden="1">
      <c r="C44" s="49"/>
      <c r="D44" s="49"/>
      <c r="E44" s="49"/>
      <c r="F44" s="49" t="str">
        <v>内盘初始 TOKEN</v>
      </c>
      <c r="G44" s="49">
        <f>VLOOKUP($D$7,'Quote参数'!$C$14:$AL$22,12,FALSE)</f>
      </c>
      <c r="H44" s="49"/>
      <c r="I44" s="49" t="str">
        <v>原生币价格 / USDT</v>
      </c>
      <c r="J44" s="49">
        <f>IF(VLOOKUP($D$7,'Quote参数'!$C$14:$AL$22,3,FALSE)=VLOOKUP($D$7,'Quote参数'!$C$14:$AL$22,4,FALSE),$D$55,VLOOKUP($D$7,'Quote参数'!$C$14:$AL$22,7,FALSE))</f>
      </c>
      <c r="K44" s="49"/>
      <c r="L44" s="49"/>
    </row>
    <row r="45" ht="30" customHeight="1" outlineLevel="1" hidden="1">
      <c r="C45" s="49" t="str">
        <v>总供应量</v>
      </c>
      <c r="D45" s="49">
        <f>VLOOKUP($D$7,'Quote参数'!$C$14:$AL$22,11,FALSE)</f>
      </c>
      <c r="E45" s="49"/>
      <c r="F45" s="49" t="str">
        <v>内盘初始 Quote</v>
      </c>
      <c r="G45" s="49">
        <f>VLOOKUP($D$7,'Quote参数'!$C$14:$AL$22,13,FALSE)</f>
      </c>
      <c r="H45" s="49"/>
      <c r="I45" s="49" t="str">
        <v>税率上限</v>
      </c>
      <c r="J45" s="49">
        <f>VLOOKUP($D$7,'Quote参数'!$C$14:$AL$22,32,FALSE)</f>
      </c>
      <c r="K45" s="49"/>
      <c r="L45" s="49"/>
    </row>
    <row r="46" ht="30" customHeight="1" outlineLevel="1" hidden="1">
      <c r="C46" s="49"/>
      <c r="D46" s="49"/>
      <c r="E46" s="49"/>
      <c r="F46" s="49" t="str">
        <v>内盘 K</v>
      </c>
      <c r="G46" s="49">
        <f>VLOOKUP($D$7,'Quote参数'!$C$14:$AL$22,14,FALSE)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customHeight="1" outlineLevel="1" hidden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customHeight="1" outlineLevel="1" hidden="1">
      <c r="C48" s="49"/>
      <c r="D48" s="49"/>
      <c r="E48" s="49"/>
      <c r="F48" s="49" t="str">
        <v>外盘初始 TOKEN</v>
      </c>
      <c r="G48" s="49">
        <f>VLOOKUP($D$7,'Quote参数'!$C$14:$AL$22,16,FALSE)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customHeight="1" outlineLevel="1" hidden="1">
      <c r="C49" s="49"/>
      <c r="D49" s="49"/>
      <c r="E49" s="49"/>
      <c r="F49" s="49" t="str">
        <v>外盘初始 Quote</v>
      </c>
      <c r="G49" s="49">
        <f>VLOOKUP($D$7,'Quote参数'!$C$14:$AL$22,17,FALSE)</f>
      </c>
      <c r="H49" s="49"/>
      <c r="I49" s="49"/>
      <c r="J49" s="49"/>
      <c r="K49" s="49"/>
      <c r="L49" s="49"/>
    </row>
    <row r="50" ht="30" customHeight="1" outlineLevel="1" hidden="1">
      <c r="C50" s="49"/>
      <c r="D50" s="49"/>
      <c r="E50" s="49"/>
      <c r="F50" s="49" t="str">
        <v>外盘 K</v>
      </c>
      <c r="G50" s="49">
        <f>VLOOKUP($D$7,'Quote参数'!$C$14:$AL$22,18,FALSE)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customHeight="1" outlineLevel="1" hidden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VLOOKUP($D$7,'Quote参数'!$C$14:$AL$22,22,FALSE)</f>
      </c>
      <c r="H51" s="49"/>
      <c r="I51" s="49" t="str">
        <v>预算交换 TOKEN</v>
      </c>
      <c r="J51" s="49">
        <f>$G$48-MAX(0,($D$52-$G$43)*$D$45)</f>
      </c>
      <c r="K51" s="49"/>
      <c r="L51" s="49"/>
    </row>
    <row r="52" ht="30" customHeight="1" outlineLevel="1" hidden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VLOOKUP($D$7,'Quote参数'!$C$14:$AL$22,21,FALSE)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customHeight="1" outlineLevel="1" hidden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VLOOKUP($D$7,'Quote参数'!$C$14:$AL$22,24,FALSE)</f>
      </c>
      <c r="H53" s="49"/>
      <c r="I53" s="49"/>
      <c r="J53" s="49"/>
      <c r="K53" s="49"/>
      <c r="L53" s="49"/>
    </row>
    <row r="54" ht="30" customHeight="1" outlineLevel="1" hidden="1">
      <c r="C54" s="49" t="str">
        <v>当前控筹上限</v>
      </c>
      <c r="D54" s="58">
        <f>IF($G$40="pons",1-$G$51/$D$45,IF(OR($G$40="flap",$G$40="four-stock"),$G$43+(1-$J$46)*$G$48/$D$45,1))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IF(VLOOKUP($D$7,'Quote参数'!$C$14:$AL$22,34,FALSE)="quote",1,IF($G$40="pons",MAX(0,1-MAX(0,$J$12)-$J$48),(1-$J$46)*(1-$J$47)*(1-MAX(0,$J$12))))</f>
      </c>
      <c r="K54" s="49"/>
      <c r="L54" s="49"/>
    </row>
    <row r="55" ht="30" customHeight="1" outlineLevel="1" hidden="1">
      <c r="C55" s="49" t="str">
        <v>有效价格 / USDT</v>
      </c>
      <c r="D55" s="60">
        <f>IF(AND(ISNUMBER($D$9),$D$9&gt;0),$D$9,IF(AND(ISNUMBER(VLOOKUP($D$7,'Quote参数'!$C$14:$AL$22,6,FALSE)),VLOOKUP($D$7,'Quote参数'!$C$14:$AL$22,6,FALSE)&gt;0),VLOOKUP($D$7,'Quote参数'!$C$14:$AL$22,6,FALSE),""))</f>
      </c>
      <c r="E55" s="49"/>
      <c r="F55" s="49" t="str">
        <v>价格来源</v>
      </c>
      <c r="G55" s="49">
        <f>VLOOKUP($D$7,'Quote参数'!$C$14:$AL$22,9,FALSE)</f>
      </c>
      <c r="H55" s="49"/>
      <c r="I55" s="49" t="str">
        <v>目标外盘 TOKEN</v>
      </c>
      <c r="J55" s="49">
        <f>IF($G$40="pons",$G$48-MAX(0,($D$8-$G$43)*$D$45)/MAX(0.000000001,1-$G$42-$J$48),IF(OR($G$40="flap",$G$40="four-stock"),$G$48-($D$8-$G$43)*$D$45/(1-$J$46),IF($G$40="pons",$D$45*(1-$D$8)-$G$51,IF(ABS($D$8-$G$43)&lt;0.000001,$G$48,$D$45*(1-$D$8)))))</f>
      </c>
      <c r="K55" s="49"/>
      <c r="L55" s="49"/>
    </row>
    <row r="56" ht="30" customHeight="1" outlineLevel="1" hidden="1">
      <c r="C56" s="49" t="str">
        <v>价格时间 / UTC</v>
      </c>
      <c r="D56" s="61">
        <f>VLOOKUP($D$7,'Quote参数'!$C$14:$AL$22,8,FALSE)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IF($G$40="pons",$G$48-MAX(0,($D$27-$G$43)*$D$45)/MAX(0.000000001,1-$G$42-$J$48),IF(OR($G$40="flap",$G$40="four-stock"),$G$48-($D$27-$G$43)*$D$45/(1-$J$46),IF($G$40="pons",$D$45*(1-$D$27)-$G$51,IF(ABS($D$27-$G$43)&lt;0.000001,$G$48,$D$45*(1-$D$27)))))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IF(D72="","",$J$41+IF($G$40="pons",($G$50/($G$48-MAX(0,(C72-$G$43)*$D$45))-$G$49)/(1-$G$42-$J$48),IF($G$40="four-stock",(E72-$G$49)/(1-$G$42),(E72-$G$49)*(1+$G$42))))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IF(D73="","",$J$41+IF($G$40="pons",($G$50/($G$48-MAX(0,(C73-$G$43)*$D$45))-$G$49)/(1-$G$42-$J$48),IF($G$40="four-stock",(E73-$G$49)/(1-$G$42),(E73-$G$49)*(1+$G$42))))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IF(D74="","",$J$41+IF($G$40="pons",($G$50/($G$48-MAX(0,(C74-$G$43)*$D$45))-$G$49)/(1-$G$42-$J$48),IF($G$40="four-stock",(E74-$G$49)/(1-$G$42),(E74-$G$49)*(1+$G$42))))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IF(D75="","",$J$41+IF($G$40="pons",($G$50/($G$48-MAX(0,(C75-$G$43)*$D$45))-$G$49)/(1-$G$42-$J$48),IF($G$40="four-stock",(E75-$G$49)/(1-$G$42),(E75-$G$49)*(1+$G$42))))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IF(D76="","",$J$41+IF($G$40="pons",($G$50/($G$48-MAX(0,(C76-$G$43)*$D$45))-$G$49)/(1-$G$42-$J$48),IF($G$40="four-stock",(E76-$G$49)/(1-$G$42),(E76-$G$49)*(1+$G$42))))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IF(D77="","",$J$41+IF($G$40="pons",($G$50/($G$48-MAX(0,(C77-$G$43)*$D$45))-$G$49)/(1-$G$42-$J$48),IF($G$40="four-stock",(E77-$G$49)/(1-$G$42),(E77-$G$49)*(1+$G$42))))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IF(D78="","",$J$41+IF($G$40="pons",($G$50/($G$48-MAX(0,(C78-$G$43)*$D$45))-$G$49)/(1-$G$42-$J$48),IF($G$40="four-stock",(E78-$G$49)/(1-$G$42),(E78-$G$49)*(1+$G$42))))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IF(D79="","",$J$41+IF($G$40="pons",($G$50/($G$48-MAX(0,(C79-$G$43)*$D$45))-$G$49)/(1-$G$42-$J$48),IF($G$40="four-stock",(E79-$G$49)/(1-$G$42),(E79-$G$49)*(1+$G$42))))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IF(D80="","",$J$41+IF($G$40="pons",($G$50/($G$48-MAX(0,(C80-$G$43)*$D$45))-$G$49)/(1-$G$42-$J$48),IF($G$40="four-stock",(E80-$G$49)/(1-$G$42),(E80-$G$49)*(1+$G$42))))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IF(D81="","",$J$41+IF($G$40="pons",($G$50/($G$48-MAX(0,(C81-$G$43)*$D$45))-$G$49)/(1-$G$42-$J$48),IF($G$40="four-stock",(E81-$G$49)/(1-$G$42),(E81-$G$49)*(1+$G$42))))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IF(D82="","",$J$41+IF($G$40="pons",($G$50/($G$48-MAX(0,(C82-$G$43)*$D$45))-$G$49)/(1-$G$42-$J$48),IF($G$40="four-stock",(E82-$G$49)/(1-$G$42),(E82-$G$49)*(1+$G$42))))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IF(D83="","",$J$41+IF($G$40="pons",($G$50/($G$48-MAX(0,(C83-$G$43)*$D$45))-$G$49)/(1-$G$42-$J$48),IF($G$40="four-stock",(E83-$G$49)/(1-$G$42),(E83-$G$49)*(1+$G$42))))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IF(D84="","",$J$41+IF($G$40="pons",($G$50/($G$48-MAX(0,(C84-$G$43)*$D$45))-$G$49)/(1-$G$42-$J$48),IF($G$40="four-stock",(E84-$G$49)/(1-$G$42),(E84-$G$49)*(1+$G$42))))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IF(D85="","",$J$41+IF($G$40="pons",($G$50/($G$48-MAX(0,(C85-$G$43)*$D$45))-$G$49)/(1-$G$42-$J$48),IF($G$40="four-stock",(E85-$G$49)/(1-$G$42),(E85-$G$49)*(1+$G$42))))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IF(D86="","",$J$41+IF($G$40="pons",($G$50/($G$48-MAX(0,(C86-$G$43)*$D$45))-$G$49)/(1-$G$42-$J$48),IF($G$40="four-stock",(E86-$G$49)/(1-$G$42),(E86-$G$49)*(1+$G$42))))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IF(D87="","",$J$41+IF($G$40="pons",($G$50/($G$48-MAX(0,(C87-$G$43)*$D$45))-$G$49)/(1-$G$42-$J$48),IF($G$40="four-stock",(E87-$G$49)/(1-$G$42),(E87-$G$49)*(1+$G$42))))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IF(D88="","",$J$41+IF($G$40="pons",($G$50/($G$48-MAX(0,(C88-$G$43)*$D$45))-$G$49)/(1-$G$42-$J$48),IF($G$40="four-stock",(E88-$G$49)/(1-$G$42),(E88-$G$49)*(1+$G$42))))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IF(D89="","",$J$41+IF($G$40="pons",($G$50/($G$48-MAX(0,(C89-$G$43)*$D$45))-$G$49)/(1-$G$42-$J$48),IF($G$40="four-stock",(E89-$G$49)/(1-$G$42),(E89-$G$49)*(1+$G$42))))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IF(D90="","",$J$41+IF($G$40="pons",($G$50/($G$48-MAX(0,(C90-$G$43)*$D$45))-$G$49)/(1-$G$42-$J$48),IF($G$40="four-stock",(E90-$G$49)/(1-$G$42),(E90-$G$49)*(1+$G$42))))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IF(D91="","",$J$41+IF($G$40="pons",($G$50/($G$48-MAX(0,(C91-$G$43)*$D$45))-$G$49)/(1-$G$42-$J$48),IF($G$40="four-stock",(E91-$G$49)/(1-$G$42),(E91-$G$49)*(1+$G$42))))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IF(D92="","",$J$41+IF($G$40="pons",($G$50/($G$48-MAX(0,(C92-$G$43)*$D$45))-$G$49)/(1-$G$42-$J$48),IF($G$40="four-stock",(E92-$G$49)/(1-$G$42),(E92-$G$49)*(1+$G$42))))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IF(D93="","",$J$41+IF($G$40="pons",($G$50/($G$48-MAX(0,(C93-$G$43)*$D$45))-$G$49)/(1-$G$42-$J$48),IF($G$40="four-stock",(E93-$G$49)/(1-$G$42),(E93-$G$49)*(1+$G$42))))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IF(D94="","",$J$41+IF($G$40="pons",($G$50/($G$48-MAX(0,(C94-$G$43)*$D$45))-$G$49)/(1-$G$42-$J$48),IF($G$40="four-stock",(E94-$G$49)/(1-$G$42),(E94-$G$49)*(1+$G$42))))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IF(D95="","",$J$41+IF($G$40="pons",($G$50/($G$48-MAX(0,(C95-$G$43)*$D$45))-$G$49)/(1-$G$42-$J$48),IF($G$40="four-stock",(E95-$G$49)/(1-$G$42),(E95-$G$49)*(1+$G$42))))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IF(D96="","",$J$41+IF($G$40="pons",($G$50/($G$48-MAX(0,(C96-$G$43)*$D$45))-$G$49)/(1-$G$42-$J$48),IF($G$40="four-stock",(E96-$G$49)/(1-$G$42),(E96-$G$49)*(1+$G$42))))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IF(D97="","",$J$41+IF($G$40="pons",($G$50/($G$48-MAX(0,(C97-$G$43)*$D$45))-$G$49)/(1-$G$42-$J$48),IF($G$40="four-stock",(E97-$G$49)/(1-$G$42),(E97-$G$49)*(1+$G$42))))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IF(D98="","",$J$41+IF($G$40="pons",($G$50/($G$48-MAX(0,(C98-$G$43)*$D$45))-$G$49)/(1-$G$42-$J$48),IF($G$40="four-stock",(E98-$G$49)/(1-$G$42),(E98-$G$49)*(1+$G$42))))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IF(D99="","",$J$41+IF($G$40="pons",($G$50/($G$48-MAX(0,(C99-$G$43)*$D$45))-$G$49)/(1-$G$42-$J$48),IF($G$40="four-stock",(E99-$G$49)/(1-$G$42),(E99-$G$49)*(1+$G$42))))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IF(D100="","",$J$41+IF($G$40="pons",($G$50/($G$48-MAX(0,(C100-$G$43)*$D$45))-$G$49)/(1-$G$42-$J$48),IF($G$40="four-stock",(E100-$G$49)/(1-$G$42),(E100-$G$49)*(1+$G$42))))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IF(D101="","",$J$41+IF($G$40="pons",($G$50/($G$48-MAX(0,(C101-$G$43)*$D$45))-$G$49)/(1-$G$42-$J$48),IF($G$40="four-stock",(E101-$G$49)/(1-$G$42),(E101-$G$49)*(1+$G$42))))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IF(D102="","",$J$41+IF($G$40="pons",($G$50/($G$48-MAX(0,(C102-$G$43)*$D$45))-$G$49)/(1-$G$42-$J$48),IF($G$40="four-stock",(E102-$G$49)/(1-$G$42),(E102-$G$49)*(1+$G$42))))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IF(D103="","",$J$41+IF($G$40="pons",($G$50/($G$48-MAX(0,(C103-$G$43)*$D$45))-$G$49)/(1-$G$42-$J$48),IF($G$40="four-stock",(E103-$G$49)/(1-$G$42),(E103-$G$49)*(1+$G$42))))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IF(D104="","",$J$41+IF($G$40="pons",($G$50/($G$48-MAX(0,(C104-$G$43)*$D$45))-$G$49)/(1-$G$42-$J$48),IF($G$40="four-stock",(E104-$G$49)/(1-$G$42),(E104-$G$49)*(1+$G$42))))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IF(D105="","",$J$41+IF($G$40="pons",($G$50/($G$48-MAX(0,(C105-$G$43)*$D$45))-$G$49)/(1-$G$42-$J$48),IF($G$40="four-stock",(E105-$G$49)/(1-$G$42),(E105-$G$49)*(1+$G$42))))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IF(D106="","",$J$41+IF($G$40="pons",($G$50/($G$48-MAX(0,(C106-$G$43)*$D$45))-$G$49)/(1-$G$42-$J$48),IF($G$40="four-stock",(E106-$G$49)/(1-$G$42),(E106-$G$49)*(1+$G$42))))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IF(D107="","",$J$41+IF($G$40="pons",($G$50/($G$48-MAX(0,(C107-$G$43)*$D$45))-$G$49)/(1-$G$42-$J$48),IF($G$40="four-stock",(E107-$G$49)/(1-$G$42),(E107-$G$49)*(1+$G$42))))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IF(D108="","",$J$41+IF($G$40="pons",($G$50/($G$48-MAX(0,(C108-$G$43)*$D$45))-$G$49)/(1-$G$42-$J$48),IF($G$40="four-stock",(E108-$G$49)/(1-$G$42),(E108-$G$49)*(1+$G$42))))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IF(D109="","",$J$41+IF($G$40="pons",($G$50/($G$48-MAX(0,(C109-$G$43)*$D$45))-$G$49)/(1-$G$42-$J$48),IF($G$40="four-stock",(E109-$G$49)/(1-$G$42),(E109-$G$49)*(1+$G$42))))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IF(D110="","",$J$41+IF($G$40="pons",($G$50/($G$48-MAX(0,(C110-$G$43)*$D$45))-$G$49)/(1-$G$42-$J$48),IF($G$40="four-stock",(E110-$G$49)/(1-$G$42),(E110-$G$49)*(1+$G$42))))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IF(D111="","",$J$41+IF($G$40="pons",($G$50/($G$48-MAX(0,(C111-$G$43)*$D$45))-$G$49)/(1-$G$42-$J$48),IF($G$40="four-stock",(E111-$G$49)/(1-$G$42),(E111-$G$49)*(1+$G$42))))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IF(D112="","",$J$41+IF($G$40="pons",($G$50/($G$48-MAX(0,(C112-$G$43)*$D$45))-$G$49)/(1-$G$42-$J$48),IF($G$40="four-stock",(E112-$G$49)/(1-$G$42),(E112-$G$49)*(1+$G$42))))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'Quote参数'!$C$14:$C$22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0.999604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46285.27349457176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https://api.coingecko.com/api/v3/simple/price?ids=tether&amp;vs_currencies=usd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损耗按目标加缓冲的 FDV × 双边费率。外盘手续费仅在扣 Base/TOKEN 时降低控筹率；只扣 Quote 时补回为 0。补回按 Base/TOKEN 缺口及现有外盘曲线差额估算，非逐笔模拟。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108.53297905970763</v>
      </c>
      <c r="I14" s="20">
        <v>108.53297905970763</v>
      </c>
      <c r="J14" s="23">
        <v>46285.27349457176</v>
      </c>
      <c r="K14" s="35" t="inlineStr">
        <is>
          <t>https://api.coingecko.com/api/v3/simple/price?ids=tether,ethereum,binancecoin,solana,hyperliquid,aster-2&amp;vs_currencies=usd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https://api.coingecko.com/api/v3/simple/price?ids=tether,ethereum,binancecoin,solana,hyperliquid,aster-2&amp;vs_currencies=usd</t>
        </is>
      </c>
      <c r="AG14" s="35" t="inlineStr">
        <is>
          <t/>
        </is>
      </c>
      <c r="AH14" s="29" t="n">
        <v>0.1</v>
      </c>
      <c r="AI14" s="17" t="n">
        <v>0.1</v>
      </c>
      <c r="AJ14" s="26" t="str">
        <v>quote</v>
      </c>
      <c r="AK14" s="35" t="str">
        <v>买卖两侧均以 Quote 收取，不直接扣除 Meme TOKEN</v>
      </c>
      <c r="AL14" s="35" t="str">
        <v>https://github.com/pump-fun/pump-public-docs/blob/main/docs/instructions/BUY.md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1.0003961568781237</v>
      </c>
      <c r="I15" s="21">
        <v>108.53297905970763</v>
      </c>
      <c r="J15" s="24">
        <v>46285.27349457176</v>
      </c>
      <c r="K15" s="36" t="inlineStr">
        <is>
          <t>https://api.coingecko.com/api/v3/simple/price?ids=tether,ethereum,binancecoin,solana,hyperliquid,aster-2&amp;vs_currencies=usd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https://api.coingecko.com/api/v3/simple/price?ids=tether,ethereum,binancecoin,solana,hyperliquid,aster-2&amp;vs_currencies=usd</t>
        </is>
      </c>
      <c r="AG15" s="36" t="inlineStr">
        <is>
          <t/>
        </is>
      </c>
      <c r="AH15" s="30" t="n">
        <v>0.1</v>
      </c>
      <c r="AI15" s="18" t="n">
        <v>0.1</v>
      </c>
      <c r="AJ15" s="27" t="str">
        <v>input</v>
      </c>
      <c r="AK15" s="36" t="str">
        <v>Raydium CPMM 从每笔 Swap 的输入币扣费；卖出侧输入币为 Meme TOKEN</v>
      </c>
      <c r="AL15" s="36" t="str">
        <v>https://docs.raydium.io/raydium/build/developers-zh/cao-zuo-fang-fa/ru-he-she-zhi-cpmm-fei-yong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1.0003961568781237</v>
      </c>
      <c r="I16" s="21">
        <v>752.7981080507881</v>
      </c>
      <c r="J16" s="24">
        <v>46285.27349457176</v>
      </c>
      <c r="K16" s="36" t="inlineStr">
        <is>
          <t>https://api.coingecko.com/api/v3/simple/price?ids=tether,ethereum,binancecoin,solana,hyperliquid,aster-2&amp;vs_currencies=usd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https://api.coingecko.com/api/v3/simple/price?ids=tether,ethereum,binancecoin,solana,hyperliquid,aster-2&amp;vs_currencies=usd</t>
        </is>
      </c>
      <c r="AG16" s="36" t="inlineStr">
        <is>
          <t/>
        </is>
      </c>
      <c r="AH16" s="30" t="n">
        <v>0.1</v>
      </c>
      <c r="AI16" s="18" t="n">
        <v>0.01</v>
      </c>
      <c r="AJ16" s="27" t="str">
        <v>input</v>
      </c>
      <c r="AK16" s="36" t="str">
        <v>PancakeSwap 从每笔 Swap 的输入币扣费；卖出侧输入币为 Meme TOKEN</v>
      </c>
      <c r="AL16" s="36" t="str">
        <v>https://docs.pancakeswap.finance/trade/pancakeswap-exchange/trade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752.7981080507881</v>
      </c>
      <c r="I17" s="21">
        <v>752.7981080507881</v>
      </c>
      <c r="J17" s="24">
        <v>46285.27349457176</v>
      </c>
      <c r="K17" s="36" t="inlineStr">
        <is>
          <t>https://api.coingecko.com/api/v3/simple/price?ids=tether,ethereum,binancecoin,solana,hyperliquid,aster-2&amp;vs_currencies=usd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https://api.coingecko.com/api/v3/simple/price?ids=tether,ethereum,binancecoin,solana,hyperliquid,aster-2&amp;vs_currencies=usd</t>
        </is>
      </c>
      <c r="AG17" s="36" t="inlineStr">
        <is>
          <t/>
        </is>
      </c>
      <c r="AH17" s="30" t="n">
        <v>0.1</v>
      </c>
      <c r="AI17" s="18" t="n">
        <v>0.01</v>
      </c>
      <c r="AJ17" s="27" t="str">
        <v>input</v>
      </c>
      <c r="AK17" s="36" t="str">
        <v>PancakeSwap 从每笔 Swap 的输入币扣费；卖出侧输入币为 Meme TOKEN</v>
      </c>
      <c r="AL17" s="36" t="str">
        <v>https://docs.pancakeswap.finance/trade/pancakeswap-exchange/trade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0.7357363515952317</v>
      </c>
      <c r="I18" s="21">
        <v>752.7981080507881</v>
      </c>
      <c r="J18" s="24">
        <v>46285.27349457176</v>
      </c>
      <c r="K18" s="36" t="inlineStr">
        <is>
          <t>https://api.coingecko.com/api/v3/simple/price?ids=tether,ethereum,binancecoin,solana,hyperliquid,aster-2&amp;vs_currencies=usd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https://api.coingecko.com/api/v3/simple/price?ids=tether,ethereum,binancecoin,solana,hyperliquid,aster-2&amp;vs_currencies=usd</t>
        </is>
      </c>
      <c r="AG18" s="36" t="inlineStr">
        <is>
          <t/>
        </is>
      </c>
      <c r="AH18" s="30" t="n">
        <v>0.1</v>
      </c>
      <c r="AI18" s="18" t="n">
        <v>0.01</v>
      </c>
      <c r="AJ18" s="27" t="str">
        <v>input</v>
      </c>
      <c r="AK18" s="36" t="str">
        <v>PancakeSwap 从每笔 Swap 的输入币扣费；卖出侧输入币为 Meme TOKEN</v>
      </c>
      <c r="AL18" s="36" t="str">
        <v>https://docs.pancakeswap.finance/trade/pancakeswap-exchange/trade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91.08607008375316</v>
      </c>
      <c r="I19" s="21">
        <v>91.08607008375316</v>
      </c>
      <c r="J19" s="24">
        <v>46285.27349457176</v>
      </c>
      <c r="K19" s="36" t="inlineStr">
        <is>
          <t>https://api.coingecko.com/api/v3/simple/price?ids=tether,ethereum,binancecoin,solana,hyperliquid,aster-2&amp;vs_currencies=usd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https://api.coingecko.com/api/v3/simple/price?ids=tether,ethereum,binancecoin,solana,hyperliquid,aster-2&amp;vs_currencies=usd</t>
        </is>
      </c>
      <c r="AG19" s="36" t="inlineStr">
        <is>
          <t/>
        </is>
      </c>
      <c r="AH19" s="30" t="n">
        <v>0.1</v>
      </c>
      <c r="AI19" s="18" t="n">
        <v>0.1</v>
      </c>
      <c r="AJ19" s="27" t="str">
        <v>input</v>
      </c>
      <c r="AK19" s="36" t="str">
        <v>HyperSwap V2 从每笔 Swap 的输入币扣费；卖出侧输入币为 Meme TOKEN</v>
      </c>
      <c r="AL19" s="36" t="str">
        <v>https://docs.hyperswap.pro/technical-protocol/protocol-overview/how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752.7981080507881</v>
      </c>
      <c r="I20" s="21">
        <v>752.7981080507881</v>
      </c>
      <c r="J20" s="24">
        <v>46285.27349457176</v>
      </c>
      <c r="K20" s="36" t="inlineStr">
        <is>
          <t>https://api.coingecko.com/api/v3/simple/price?ids=tether,ethereum,binancecoin,solana,hyperliquid,aster-2&amp;vs_currencies=usd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https://api.coingecko.com/api/v3/simple/price?ids=tether,ethereum,binancecoin,solana,hyperliquid,aster-2&amp;vs_currencies=usd</t>
        </is>
      </c>
      <c r="AG20" s="36" t="inlineStr">
        <is>
          <t/>
        </is>
      </c>
      <c r="AH20" s="30" t="n">
        <v>0.1</v>
      </c>
      <c r="AI20" s="18" t="n">
        <v>0.01</v>
      </c>
      <c r="AJ20" s="27" t="str">
        <v>input</v>
      </c>
      <c r="AK20" s="36" t="str">
        <v>PancakeSwap LP 费从输入币扣取；外盘买税扣输出 TOKEN，卖税扣输入 TOKEN</v>
      </c>
      <c r="AL20" s="36" t="str">
        <v>https://docs.pancakeswap.finance/trade/pancakeswap-exchange/trade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1.0003961568781237</v>
      </c>
      <c r="I21" s="21">
        <v>752.7981080507881</v>
      </c>
      <c r="J21" s="24">
        <v>46285.27349457176</v>
      </c>
      <c r="K21" s="36" t="inlineStr">
        <is>
          <t>https://api.coingecko.com/api/v3/simple/price?ids=tether,ethereum,binancecoin,solana,hyperliquid,aster-2&amp;vs_currencies=usd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https://api.coingecko.com/api/v3/simple/price?ids=tether,ethereum,binancecoin,solana,hyperliquid,aster-2&amp;vs_currencies=usd</t>
        </is>
      </c>
      <c r="AG21" s="36" t="inlineStr">
        <is>
          <t/>
        </is>
      </c>
      <c r="AH21" s="30" t="n">
        <v>0.1</v>
      </c>
      <c r="AI21" s="18" t="n">
        <v>0.01</v>
      </c>
      <c r="AJ21" s="27" t="str">
        <v>input</v>
      </c>
      <c r="AK21" s="36" t="str">
        <v>PancakeSwap LP 费从输入币扣取；外盘买税扣输出 TOKEN，卖税扣输入 TOKEN</v>
      </c>
      <c r="AL21" s="36" t="str">
        <v>https://docs.pancakeswap.finance/trade/pancakeswap-exchange/trade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2580.0817123580937</v>
      </c>
      <c r="I22" s="22">
        <v>2580.0817123580937</v>
      </c>
      <c r="J22" s="25">
        <v>46285.27349457176</v>
      </c>
      <c r="K22" s="37" t="inlineStr">
        <is>
          <t>https://api.coingecko.com/api/v3/simple/price?ids=tether,ethereum,binancecoin,solana,hyperliquid,aster-2&amp;vs_currencies=usd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https://api.coingecko.com/api/v3/simple/price?ids=tether,ethereum,binancecoin,solana,hyperliquid,aster-2&amp;vs_currencies=usd</t>
        </is>
      </c>
      <c r="AG22" s="37" t="inlineStr">
        <is>
          <t/>
        </is>
      </c>
      <c r="AH22" s="31" t="n">
        <v>0.1</v>
      </c>
      <c r="AI22" s="19" t="n">
        <v>0.005</v>
      </c>
      <c r="AJ22" s="28" t="str">
        <v>quote</v>
      </c>
      <c r="AK22" s="37" t="str">
        <v>Pons V2 手续费始终按 Quote leg 计收；Hook 暂存的 Meme 费用会在池内转换回 Quote</v>
      </c>
      <c r="AL22" s="37" t="str">
        <v>https://docs.ponsfamily.com/v2</v>
      </c>
    </row>
  </sheetData>
  <mergeCells>
    <mergeCell ref="C3:M3"/>
    <mergeCell ref="D11:M11"/>
  </mergeCells>
  <pageMargins left="0.7" right="0.7" top="0.75" bottom="0.75" header="0.3" footer="0.3"/>
</worksheet>
</file>