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2186af5f443c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3381a3b10ae4f3f"/>
    <sheet name="Quote参数" sheetId="2" r:id="Rc860e189e839430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aefab5fbf14d7b" /><Relationship Type="http://schemas.openxmlformats.org/officeDocument/2006/relationships/theme" Target="/xl/theme/theme1.xml" Id="Ra7282774b08d42cb" /><Relationship Type="http://schemas.openxmlformats.org/officeDocument/2006/relationships/sharedStrings" Target="/xl/sharedStrings.xml" Id="R1268aa8e9307484b" /><Relationship Type="http://schemas.openxmlformats.org/officeDocument/2006/relationships/worksheet" Target="/xl/worksheets/sheet1.xml" Id="R73381a3b10ae4f3f" /><Relationship Type="http://schemas.openxmlformats.org/officeDocument/2006/relationships/worksheet" Target="/xl/worksheets/sheet2.xml" Id="Rc860e189e83943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VLOOKUP($D$7,'Quote参数'!$C$14:$AL$23,25,FALSE)</f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VLOOKUP($D$7,'Quote参数'!$C$14:$AL$23,26,FALSE)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VLOOKUP($D$7,'Quote参数'!$C$14:$AL$23,27,FALSE)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VLOOKUP($D$7,'Quote参数'!$C$14:$AL$23,33,FALSE)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VLOOKUP($D$7,'Quote参数'!$C$14:$AL$23,20,FALSE)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IF(AND(LEFT($D$51,2)="可达",ISNUMBER($D$22),ISNUMBER($D$23),ISNUMBER($D$25),ISNUMBER($D$26)),SUM($D$22:$D$23,$D$25:$D$26),"")</f>
      </c>
      <c r="E18" s="48">
        <f>VLOOKUP($D$7,'Quote参数'!$C$14:$AL$23,3,FALSE)</f>
      </c>
      <c r="F18" s="3" t="str">
        <v>原生币 Gas 储备</v>
      </c>
      <c r="G18" s="53">
        <f>D53*MAX(0,G11)</f>
      </c>
      <c r="H18" s="48">
        <f>VLOOKUP($D$7,'Quote参数'!$C$14:$AL$23,4,FALSE)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IF($D$51&lt;&gt;"可达","",$J$41+IF($G$40="pons",($G$50/$J$51-$G$49)/(1-$G$42-$J$48),IF($G$40="four-stock",($G$50/$J$50-$G$49)/(1-$G$42),($G$50/$J$50-$G$49)*(1+$G$42))))</f>
      </c>
      <c r="E22" s="3">
        <f>VLOOKUP($D$7,'Quote参数'!$C$14:$AL$23,3,FALSE)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VLOOKUP($D$7,'Quote参数'!$C$14:$AL$23,3,FALSE)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customHeight="1" hidden="1">
      <c r="C24" s="3"/>
      <c r="D24" s="90"/>
      <c r="E24" s="3">
        <f>VLOOKUP($D$7,'Quote参数'!$C$14:$AL$23,3,FALSE)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VLOOKUP($D$7,'Quote参数'!$C$14:$AL$23,3,FALSE)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IF($D$51&lt;&gt;"可达","",IF(AND($J$55&gt;0,$J$56&gt;0),MAX(0,($G$50/$J$55-$G$50/$J$56)*(IF($G$40="pons",1/(1-$G$42-$J$48),IF($G$40="four-stock",1/(1-$G$42),1+$G$42)))),""))</f>
      </c>
      <c r="E26" s="3">
        <f>VLOOKUP($D$7,'Quote参数'!$C$14:$AL$23,3,FALSE)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IF($G$40="four-stock",E126,VLOOKUP($D$7,'Quote参数'!$C$14:$AL$23,23,FALSE))</f>
      </c>
      <c r="H37" s="3">
        <f>VLOOKUP($D$7,'Quote参数'!$C$14:$AL$23,3,FALSE)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>
        <f>VLOOKUP($D$7,'Quote参数'!$C$14:$AL$23,10,FALSE)</f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>
        <f>VLOOKUP($D$7,'Quote参数'!$C$14:$AL$23,19,FALSE)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>
        <f>VLOOKUP($D$7,'Quote参数'!$C$14:$AL$23,20,FALSE)</f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>
        <f>VLOOKUP($D$7,'Quote参数'!$C$14:$AL$23,15,FALSE)</f>
      </c>
      <c r="H43" s="49"/>
      <c r="I43" s="49" t="str">
        <v>模型键</v>
      </c>
      <c r="J43" s="49">
        <f>VLOOKUP($D$7,'Quote参数'!$C$14:$AL$23,2,FALSE)</f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>
        <f>VLOOKUP($D$7,'Quote参数'!$C$14:$AL$23,12,FALSE)</f>
      </c>
      <c r="H44" s="49"/>
      <c r="I44" s="49" t="str">
        <v>原生币价格 / USDT</v>
      </c>
      <c r="J44" s="49">
        <f>IF(VLOOKUP($D$7,'Quote参数'!$C$14:$AL$23,3,FALSE)=VLOOKUP($D$7,'Quote参数'!$C$14:$AL$23,4,FALSE),$D$55,VLOOKUP($D$7,'Quote参数'!$C$14:$AL$23,7,FALSE))</f>
      </c>
      <c r="K44" s="49"/>
      <c r="L44" s="49"/>
    </row>
    <row r="45" ht="30" hidden="1" customHeight="1" outlineLevel="1">
      <c r="C45" s="49" t="str">
        <v>总供应量</v>
      </c>
      <c r="D45" s="49">
        <f>VLOOKUP($D$7,'Quote参数'!$C$14:$AL$23,11,FALSE)</f>
      </c>
      <c r="E45" s="49"/>
      <c r="F45" s="49" t="str">
        <v>内盘初始 Quote</v>
      </c>
      <c r="G45" s="49">
        <f>VLOOKUP($D$7,'Quote参数'!$C$14:$AL$23,13,FALSE)</f>
      </c>
      <c r="H45" s="49"/>
      <c r="I45" s="49" t="str">
        <v>税率上限</v>
      </c>
      <c r="J45" s="49">
        <f>VLOOKUP($D$7,'Quote参数'!$C$14:$AL$23,32,FALSE)</f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>
        <f>VLOOKUP($D$7,'Quote参数'!$C$14:$AL$23,14,FALSE)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>
        <f>VLOOKUP($D$7,'Quote参数'!$C$14:$AL$23,16,FALSE)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>
        <f>VLOOKUP($D$7,'Quote参数'!$C$14:$AL$23,17,FALSE)</f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>
        <f>VLOOKUP($D$7,'Quote参数'!$C$14:$AL$23,18,FALSE)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hidden="1" customHeight="1" outlineLevel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VLOOKUP($D$7,'Quote参数'!$C$14:$AL$23,22,FALSE)</f>
      </c>
      <c r="H51" s="49"/>
      <c r="I51" s="49" t="str">
        <v>预算交换 TOKEN</v>
      </c>
      <c r="J51" s="49">
        <f>$G$48-MAX(0,($D$52-$G$43)*$D$45)</f>
      </c>
      <c r="K51" s="49"/>
      <c r="L51" s="49"/>
    </row>
    <row r="52" ht="30" hidden="1" customHeight="1" outlineLevel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VLOOKUP($D$7,'Quote参数'!$C$14:$AL$23,21,FALSE)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hidden="1" customHeight="1" outlineLevel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VLOOKUP($D$7,'Quote参数'!$C$14:$AL$23,24,FALSE)</f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>
        <f>IF($G$40="pons",1-$G$51/$D$45,IF(OR($G$40="flap",$G$40="four-stock"),$G$43+(1-$J$46)*$G$48/$D$45,1))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MAX(0,1-$J$29)*MAX(0,1-$J$30)</f>
      </c>
      <c r="K54" s="49"/>
      <c r="L54" s="49"/>
    </row>
    <row r="55" ht="30" hidden="1" customHeight="1" outlineLevel="1">
      <c r="C55" s="49" t="str">
        <v>有效价格 / USDT</v>
      </c>
      <c r="D55" s="60">
        <f>IF(AND(ISNUMBER($D$9),$D$9&gt;0),$D$9,IF(AND(ISNUMBER(VLOOKUP($D$7,'Quote参数'!$C$14:$AL$23,6,FALSE)),VLOOKUP($D$7,'Quote参数'!$C$14:$AL$23,6,FALSE)&gt;0),VLOOKUP($D$7,'Quote参数'!$C$14:$AL$23,6,FALSE),""))</f>
      </c>
      <c r="E55" s="49"/>
      <c r="F55" s="49" t="str">
        <v>价格来源</v>
      </c>
      <c r="G55" s="49">
        <f>VLOOKUP($D$7,'Quote参数'!$C$14:$AL$23,9,FALSE)</f>
      </c>
      <c r="H55" s="49"/>
      <c r="I55" s="49" t="str">
        <v>目标外盘 TOKEN</v>
      </c>
      <c r="J55" s="49">
        <f>IF($G$40="pons",$G$48-($D$8-$G$43)*$D$45,IF(OR($G$40="flap",$G$40="four-stock"),$G$48-($D$8-$G$43)*$D$45/(1-$J$46),IF(ABS($D$8-$G$43)&lt;0.000001,$G$48,$D$45*(1-$D$8))))</f>
      </c>
      <c r="K55" s="49"/>
      <c r="L55" s="49"/>
    </row>
    <row r="56" ht="30" hidden="1" customHeight="1" outlineLevel="1">
      <c r="C56" s="49" t="str">
        <v>价格时间 / UTC</v>
      </c>
      <c r="D56" s="61">
        <f>VLOOKUP($D$7,'Quote参数'!$C$14:$AL$23,8,FALSE)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IF($G$40="pons",$G$48-($D$27-$G$43)*$D$45,IF(OR($G$40="flap",$G$40="four-stock"),$G$48-($D$27-$G$43)*$D$45/(1-$J$46),IF(ABS($D$27-$G$43)&lt;0.000001,$G$48,$D$45*(1-$D$27))))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IF(D72="","",$J$41+IF($G$40="pons",($G$50/($G$48-MAX(0,(C72-$G$43)*$D$45))-$G$49)/(1-$G$42-$J$48),IF($G$40="four-stock",(E72-$G$49)/(1-$G$42),(E72-$G$49)*(1+$G$42))))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IF(D73="","",$J$41+IF($G$40="pons",($G$50/($G$48-MAX(0,(C73-$G$43)*$D$45))-$G$49)/(1-$G$42-$J$48),IF($G$40="four-stock",(E73-$G$49)/(1-$G$42),(E73-$G$49)*(1+$G$42))))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IF(D74="","",$J$41+IF($G$40="pons",($G$50/($G$48-MAX(0,(C74-$G$43)*$D$45))-$G$49)/(1-$G$42-$J$48),IF($G$40="four-stock",(E74-$G$49)/(1-$G$42),(E74-$G$49)*(1+$G$42))))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IF(D75="","",$J$41+IF($G$40="pons",($G$50/($G$48-MAX(0,(C75-$G$43)*$D$45))-$G$49)/(1-$G$42-$J$48),IF($G$40="four-stock",(E75-$G$49)/(1-$G$42),(E75-$G$49)*(1+$G$42))))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IF(D76="","",$J$41+IF($G$40="pons",($G$50/($G$48-MAX(0,(C76-$G$43)*$D$45))-$G$49)/(1-$G$42-$J$48),IF($G$40="four-stock",(E76-$G$49)/(1-$G$42),(E76-$G$49)*(1+$G$42))))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IF(D77="","",$J$41+IF($G$40="pons",($G$50/($G$48-MAX(0,(C77-$G$43)*$D$45))-$G$49)/(1-$G$42-$J$48),IF($G$40="four-stock",(E77-$G$49)/(1-$G$42),(E77-$G$49)*(1+$G$42))))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IF(D78="","",$J$41+IF($G$40="pons",($G$50/($G$48-MAX(0,(C78-$G$43)*$D$45))-$G$49)/(1-$G$42-$J$48),IF($G$40="four-stock",(E78-$G$49)/(1-$G$42),(E78-$G$49)*(1+$G$42))))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IF(D79="","",$J$41+IF($G$40="pons",($G$50/($G$48-MAX(0,(C79-$G$43)*$D$45))-$G$49)/(1-$G$42-$J$48),IF($G$40="four-stock",(E79-$G$49)/(1-$G$42),(E79-$G$49)*(1+$G$42))))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IF(D80="","",$J$41+IF($G$40="pons",($G$50/($G$48-MAX(0,(C80-$G$43)*$D$45))-$G$49)/(1-$G$42-$J$48),IF($G$40="four-stock",(E80-$G$49)/(1-$G$42),(E80-$G$49)*(1+$G$42))))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IF(D81="","",$J$41+IF($G$40="pons",($G$50/($G$48-MAX(0,(C81-$G$43)*$D$45))-$G$49)/(1-$G$42-$J$48),IF($G$40="four-stock",(E81-$G$49)/(1-$G$42),(E81-$G$49)*(1+$G$42))))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IF(D82="","",$J$41+IF($G$40="pons",($G$50/($G$48-MAX(0,(C82-$G$43)*$D$45))-$G$49)/(1-$G$42-$J$48),IF($G$40="four-stock",(E82-$G$49)/(1-$G$42),(E82-$G$49)*(1+$G$42))))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IF(D83="","",$J$41+IF($G$40="pons",($G$50/($G$48-MAX(0,(C83-$G$43)*$D$45))-$G$49)/(1-$G$42-$J$48),IF($G$40="four-stock",(E83-$G$49)/(1-$G$42),(E83-$G$49)*(1+$G$42))))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IF(D84="","",$J$41+IF($G$40="pons",($G$50/($G$48-MAX(0,(C84-$G$43)*$D$45))-$G$49)/(1-$G$42-$J$48),IF($G$40="four-stock",(E84-$G$49)/(1-$G$42),(E84-$G$49)*(1+$G$42))))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IF(D85="","",$J$41+IF($G$40="pons",($G$50/($G$48-MAX(0,(C85-$G$43)*$D$45))-$G$49)/(1-$G$42-$J$48),IF($G$40="four-stock",(E85-$G$49)/(1-$G$42),(E85-$G$49)*(1+$G$42))))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IF(D86="","",$J$41+IF($G$40="pons",($G$50/($G$48-MAX(0,(C86-$G$43)*$D$45))-$G$49)/(1-$G$42-$J$48),IF($G$40="four-stock",(E86-$G$49)/(1-$G$42),(E86-$G$49)*(1+$G$42))))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IF(D87="","",$J$41+IF($G$40="pons",($G$50/($G$48-MAX(0,(C87-$G$43)*$D$45))-$G$49)/(1-$G$42-$J$48),IF($G$40="four-stock",(E87-$G$49)/(1-$G$42),(E87-$G$49)*(1+$G$42))))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IF(D88="","",$J$41+IF($G$40="pons",($G$50/($G$48-MAX(0,(C88-$G$43)*$D$45))-$G$49)/(1-$G$42-$J$48),IF($G$40="four-stock",(E88-$G$49)/(1-$G$42),(E88-$G$49)*(1+$G$42))))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IF(D89="","",$J$41+IF($G$40="pons",($G$50/($G$48-MAX(0,(C89-$G$43)*$D$45))-$G$49)/(1-$G$42-$J$48),IF($G$40="four-stock",(E89-$G$49)/(1-$G$42),(E89-$G$49)*(1+$G$42))))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IF(D90="","",$J$41+IF($G$40="pons",($G$50/($G$48-MAX(0,(C90-$G$43)*$D$45))-$G$49)/(1-$G$42-$J$48),IF($G$40="four-stock",(E90-$G$49)/(1-$G$42),(E90-$G$49)*(1+$G$42))))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IF(D91="","",$J$41+IF($G$40="pons",($G$50/($G$48-MAX(0,(C91-$G$43)*$D$45))-$G$49)/(1-$G$42-$J$48),IF($G$40="four-stock",(E91-$G$49)/(1-$G$42),(E91-$G$49)*(1+$G$42))))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IF(D92="","",$J$41+IF($G$40="pons",($G$50/($G$48-MAX(0,(C92-$G$43)*$D$45))-$G$49)/(1-$G$42-$J$48),IF($G$40="four-stock",(E92-$G$49)/(1-$G$42),(E92-$G$49)*(1+$G$42))))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IF(D93="","",$J$41+IF($G$40="pons",($G$50/($G$48-MAX(0,(C93-$G$43)*$D$45))-$G$49)/(1-$G$42-$J$48),IF($G$40="four-stock",(E93-$G$49)/(1-$G$42),(E93-$G$49)*(1+$G$42))))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IF(D94="","",$J$41+IF($G$40="pons",($G$50/($G$48-MAX(0,(C94-$G$43)*$D$45))-$G$49)/(1-$G$42-$J$48),IF($G$40="four-stock",(E94-$G$49)/(1-$G$42),(E94-$G$49)*(1+$G$42))))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IF(D95="","",$J$41+IF($G$40="pons",($G$50/($G$48-MAX(0,(C95-$G$43)*$D$45))-$G$49)/(1-$G$42-$J$48),IF($G$40="four-stock",(E95-$G$49)/(1-$G$42),(E95-$G$49)*(1+$G$42))))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IF(D96="","",$J$41+IF($G$40="pons",($G$50/($G$48-MAX(0,(C96-$G$43)*$D$45))-$G$49)/(1-$G$42-$J$48),IF($G$40="four-stock",(E96-$G$49)/(1-$G$42),(E96-$G$49)*(1+$G$42))))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IF(D97="","",$J$41+IF($G$40="pons",($G$50/($G$48-MAX(0,(C97-$G$43)*$D$45))-$G$49)/(1-$G$42-$J$48),IF($G$40="four-stock",(E97-$G$49)/(1-$G$42),(E97-$G$49)*(1+$G$42))))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IF(D98="","",$J$41+IF($G$40="pons",($G$50/($G$48-MAX(0,(C98-$G$43)*$D$45))-$G$49)/(1-$G$42-$J$48),IF($G$40="four-stock",(E98-$G$49)/(1-$G$42),(E98-$G$49)*(1+$G$42))))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IF(D99="","",$J$41+IF($G$40="pons",($G$50/($G$48-MAX(0,(C99-$G$43)*$D$45))-$G$49)/(1-$G$42-$J$48),IF($G$40="four-stock",(E99-$G$49)/(1-$G$42),(E99-$G$49)*(1+$G$42))))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IF(D100="","",$J$41+IF($G$40="pons",($G$50/($G$48-MAX(0,(C100-$G$43)*$D$45))-$G$49)/(1-$G$42-$J$48),IF($G$40="four-stock",(E100-$G$49)/(1-$G$42),(E100-$G$49)*(1+$G$42))))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IF(D101="","",$J$41+IF($G$40="pons",($G$50/($G$48-MAX(0,(C101-$G$43)*$D$45))-$G$49)/(1-$G$42-$J$48),IF($G$40="four-stock",(E101-$G$49)/(1-$G$42),(E101-$G$49)*(1+$G$42))))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IF(D102="","",$J$41+IF($G$40="pons",($G$50/($G$48-MAX(0,(C102-$G$43)*$D$45))-$G$49)/(1-$G$42-$J$48),IF($G$40="four-stock",(E102-$G$49)/(1-$G$42),(E102-$G$49)*(1+$G$42))))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IF(D103="","",$J$41+IF($G$40="pons",($G$50/($G$48-MAX(0,(C103-$G$43)*$D$45))-$G$49)/(1-$G$42-$J$48),IF($G$40="four-stock",(E103-$G$49)/(1-$G$42),(E103-$G$49)*(1+$G$42))))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IF(D104="","",$J$41+IF($G$40="pons",($G$50/($G$48-MAX(0,(C104-$G$43)*$D$45))-$G$49)/(1-$G$42-$J$48),IF($G$40="four-stock",(E104-$G$49)/(1-$G$42),(E104-$G$49)*(1+$G$42))))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IF(D105="","",$J$41+IF($G$40="pons",($G$50/($G$48-MAX(0,(C105-$G$43)*$D$45))-$G$49)/(1-$G$42-$J$48),IF($G$40="four-stock",(E105-$G$49)/(1-$G$42),(E105-$G$49)*(1+$G$42))))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IF(D106="","",$J$41+IF($G$40="pons",($G$50/($G$48-MAX(0,(C106-$G$43)*$D$45))-$G$49)/(1-$G$42-$J$48),IF($G$40="four-stock",(E106-$G$49)/(1-$G$42),(E106-$G$49)*(1+$G$42))))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IF(D107="","",$J$41+IF($G$40="pons",($G$50/($G$48-MAX(0,(C107-$G$43)*$D$45))-$G$49)/(1-$G$42-$J$48),IF($G$40="four-stock",(E107-$G$49)/(1-$G$42),(E107-$G$49)*(1+$G$42))))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IF(D108="","",$J$41+IF($G$40="pons",($G$50/($G$48-MAX(0,(C108-$G$43)*$D$45))-$G$49)/(1-$G$42-$J$48),IF($G$40="four-stock",(E108-$G$49)/(1-$G$42),(E108-$G$49)*(1+$G$42))))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IF(D109="","",$J$41+IF($G$40="pons",($G$50/($G$48-MAX(0,(C109-$G$43)*$D$45))-$G$49)/(1-$G$42-$J$48),IF($G$40="four-stock",(E109-$G$49)/(1-$G$42),(E109-$G$49)*(1+$G$42))))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IF(D110="","",$J$41+IF($G$40="pons",($G$50/($G$48-MAX(0,(C110-$G$43)*$D$45))-$G$49)/(1-$G$42-$J$48),IF($G$40="four-stock",(E110-$G$49)/(1-$G$42),(E110-$G$49)*(1+$G$42))))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IF(D111="","",$J$41+IF($G$40="pons",($G$50/($G$48-MAX(0,(C111-$G$43)*$D$45))-$G$49)/(1-$G$42-$J$48),IF($G$40="four-stock",(E111-$G$49)/(1-$G$42),(E111-$G$49)*(1+$G$42))))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IF(D112="","",$J$41+IF($G$40="pons",($G$50/($G$48-MAX(0,(C112-$G$43)*$D$45))-$G$49)/(1-$G$42-$J$48),IF($G$40="four-stock",(E112-$G$49)/(1-$G$42),(E112-$G$49)*(1+$G$42))))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0.999819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46301.32351050926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120.12174203530839</v>
      </c>
      <c r="I14" s="20">
        <v>120.12174203530839</v>
      </c>
      <c r="J14" s="23">
        <v>46301.32351050926</v>
      </c>
      <c r="K14" s="35" t="inlineStr">
        <is>
          <t>https://api.coingecko.com/api/v3/simple/price?ids=tether,ethereum,binancecoin,solana,hyperliquid,aster-2&amp;vs_currencies=usd&amp;include_last_updated_at=true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https://api.coingecko.com/api/v3/simple/price?ids=tether,ethereum,binancecoin,solana,hyperliquid,aster-2&amp;vs_currencies=usd&amp;include_last_updated_at=true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1.0001810327669307</v>
      </c>
      <c r="I15" s="21">
        <v>120.12174203530839</v>
      </c>
      <c r="J15" s="24">
        <v>46301.32351050926</v>
      </c>
      <c r="K15" s="36" t="inlineStr">
        <is>
          <t>https://api.coingecko.com/api/v3/simple/price?ids=tether,ethereum,binancecoin,solana,hyperliquid,aster-2&amp;vs_currencies=usd&amp;include_last_updated_at=true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https://api.coingecko.com/api/v3/simple/price?ids=tether,ethereum,binancecoin,solana,hyperliquid,aster-2&amp;vs_currencies=usd&amp;include_last_updated_at=true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1.0001810327669307</v>
      </c>
      <c r="I16" s="21">
        <v>779.7911421967376</v>
      </c>
      <c r="J16" s="24">
        <v>46301.32351050926</v>
      </c>
      <c r="K16" s="36" t="inlineStr">
        <is>
          <t>https://api.coingecko.com/api/v3/simple/price?ids=tether,ethereum,binancecoin,solana,hyperliquid,aster-2&amp;vs_currencies=usd&amp;include_last_updated_at=true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https://api.coingecko.com/api/v3/simple/price?ids=tether,ethereum,binancecoin,solana,hyperliquid,aster-2&amp;vs_currencies=usd&amp;include_last_updated_at=true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779.7911421967376</v>
      </c>
      <c r="I17" s="21">
        <v>779.7911421967376</v>
      </c>
      <c r="J17" s="24">
        <v>46301.32351050926</v>
      </c>
      <c r="K17" s="36" t="inlineStr">
        <is>
          <t>https://api.coingecko.com/api/v3/simple/price?ids=tether,ethereum,binancecoin,solana,hyperliquid,aster-2&amp;vs_currencies=usd&amp;include_last_updated_at=true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https://api.coingecko.com/api/v3/simple/price?ids=tether,ethereum,binancecoin,solana,hyperliquid,aster-2&amp;vs_currencies=usd&amp;include_last_updated_at=true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0.7354101092297706</v>
      </c>
      <c r="I18" s="21">
        <v>779.7911421967376</v>
      </c>
      <c r="J18" s="24">
        <v>46301.32351050926</v>
      </c>
      <c r="K18" s="36" t="inlineStr">
        <is>
          <t>https://api.coingecko.com/api/v3/simple/price?ids=tether,ethereum,binancecoin,solana,hyperliquid,aster-2&amp;vs_currencies=usd&amp;include_last_updated_at=true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https://api.coingecko.com/api/v3/simple/price?ids=tether,ethereum,binancecoin,solana,hyperliquid,aster-2&amp;vs_currencies=usd&amp;include_last_updated_at=true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92.92681975437554</v>
      </c>
      <c r="I19" s="21">
        <v>92.92681975437554</v>
      </c>
      <c r="J19" s="24">
        <v>46301.32351050926</v>
      </c>
      <c r="K19" s="36" t="inlineStr">
        <is>
          <t>https://api.coingecko.com/api/v3/simple/price?ids=tether,ethereum,binancecoin,solana,hyperliquid,aster-2&amp;vs_currencies=usd&amp;include_last_updated_at=true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https://api.coingecko.com/api/v3/simple/price?ids=tether,ethereum,binancecoin,solana,hyperliquid,aster-2&amp;vs_currencies=usd&amp;include_last_updated_at=true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779.7911421967376</v>
      </c>
      <c r="I20" s="21">
        <v>779.7911421967376</v>
      </c>
      <c r="J20" s="24">
        <v>46301.32351050926</v>
      </c>
      <c r="K20" s="36" t="inlineStr">
        <is>
          <t>https://api.coingecko.com/api/v3/simple/price?ids=tether,ethereum,binancecoin,solana,hyperliquid,aster-2&amp;vs_currencies=usd&amp;include_last_updated_at=true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https://api.coingecko.com/api/v3/simple/price?ids=tether,ethereum,binancecoin,solana,hyperliquid,aster-2&amp;vs_currencies=usd&amp;include_last_updated_at=true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1.0001810327669307</v>
      </c>
      <c r="I21" s="21">
        <v>779.7911421967376</v>
      </c>
      <c r="J21" s="24">
        <v>46301.32351050926</v>
      </c>
      <c r="K21" s="36" t="inlineStr">
        <is>
          <t>https://api.coingecko.com/api/v3/simple/price?ids=tether,ethereum,binancecoin,solana,hyperliquid,aster-2&amp;vs_currencies=usd&amp;include_last_updated_at=true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https://api.coingecko.com/api/v3/simple/price?ids=tether,ethereum,binancecoin,solana,hyperliquid,aster-2&amp;vs_currencies=usd&amp;include_last_updated_at=true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2704.849577773577</v>
      </c>
      <c r="I22" s="22">
        <v>2704.849577773577</v>
      </c>
      <c r="J22" s="25">
        <v>46301.32351050926</v>
      </c>
      <c r="K22" s="37" t="inlineStr">
        <is>
          <t>https://api.coingecko.com/api/v3/simple/price?ids=tether,ethereum,binancecoin,solana,hyperliquid,aster-2&amp;vs_currencies=usd&amp;include_last_updated_at=true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https://api.coingecko.com/api/v3/simple/price?ids=tether,ethereum,binancecoin,solana,hyperliquid,aster-2&amp;vs_currencies=usd&amp;include_last_updated_at=true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  <row r="23">
      <c r="C23" t="str">
        <v>Pons V2 / USDG</v>
      </c>
      <c r="D23" t="str">
        <v>ponsv2-usdg</v>
      </c>
      <c r="E23" t="str">
        <v>USDG</v>
      </c>
      <c r="F23" t="str">
        <v>ETH</v>
      </c>
      <c r="G23" t="str">
        <v>0x5fc5360D0400a0Fd4f2af552ADD042D716F1d168</v>
      </c>
      <c r="H23">
        <v>1.0001810327669307</v>
      </c>
      <c r="I23">
        <v>2704.849577773577</v>
      </c>
      <c r="J23">
        <v>46301.32351050926</v>
      </c>
      <c r="K23" t="inlineStr">
        <is>
          <t>https://api.coingecko.com/api/v3/simple/price?ids=tether,ethereum,binancecoin,solana,hyperliquid,aster-2&amp;vs_currencies=usd&amp;include_last_updated_at=true</t>
        </is>
      </c>
      <c r="L23" t="str">
        <v>pons</v>
      </c>
      <c r="M23" t="n">
        <v>1000000000</v>
      </c>
      <c r="N23" t="n">
        <v>1000000000</v>
      </c>
      <c r="O23" t="n">
        <v>3236</v>
      </c>
      <c r="P23" t="n">
        <v>3236000000000</v>
      </c>
      <c r="Q23" t="n">
        <v>0.7142857142857143</v>
      </c>
      <c r="R23" t="n">
        <v>204081632.65306124</v>
      </c>
      <c r="S23" t="n">
        <v>8090</v>
      </c>
      <c r="T23" t="n">
        <v>1651020408163.2654</v>
      </c>
      <c r="U23" t="n">
        <v>0.01</v>
      </c>
      <c r="V23" t="n">
        <v>0.01</v>
      </c>
      <c r="W23" t="n">
        <v>8171.717171717171</v>
      </c>
      <c r="X23" t="n">
        <v>81632653.06122449</v>
      </c>
      <c r="Y23" t="n">
        <v>1797.7777777777778</v>
      </c>
      <c r="Z23" t="n">
        <v>8090</v>
      </c>
      <c r="AA23" t="n">
        <v>0</v>
      </c>
      <c r="AB23" t="n">
        <v>0</v>
      </c>
      <c r="AC23" t="n">
        <v>0</v>
      </c>
      <c r="AD23" t="str">
        <v>https://robin.etherscan.io/tx/0x387e3237904e4822075066331564561c373b691fd47ad2d52b4f64fb4f398c84#eventlog</v>
      </c>
      <c r="AE23" t="str">
        <v>TRAIN 发行区块 69,045,064；USDG 6 decimals；PERC 迁池同为 8,090</v>
      </c>
      <c r="AF23" t="inlineStr">
        <is>
          <t>https://api.coingecko.com/api/v3/simple/price?ids=tether,ethereum,binancecoin,solana,hyperliquid,aster-2&amp;vs_currencies=usd&amp;include_last_updated_at=true</t>
        </is>
      </c>
      <c r="AG23" t="inlineStr">
        <is>
          <t/>
        </is>
      </c>
      <c r="AH23" t="n">
        <v>0.1</v>
      </c>
      <c r="AI23" t="n">
        <v>0.005</v>
      </c>
      <c r="AJ23" t="str">
        <v>quote</v>
      </c>
      <c r="AK23" t="str">
        <v>Pons V2 手续费始终按 Quote leg 计收；Hook 暂存的 Meme 费用会在池内转换回 Quote</v>
      </c>
      <c r="AL23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