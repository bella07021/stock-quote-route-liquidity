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fe3d836194192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efa2ce57623f4d9b"/>
    <sheet name="Quote参数" sheetId="2" r:id="R9e1971b00c5f408f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71bf76cbd0465d" /><Relationship Type="http://schemas.openxmlformats.org/officeDocument/2006/relationships/theme" Target="/xl/theme/theme1.xml" Id="R1ed06e4dc9624436" /><Relationship Type="http://schemas.openxmlformats.org/officeDocument/2006/relationships/sharedStrings" Target="/xl/sharedStrings.xml" Id="R391ae1c4e4754349" /><Relationship Type="http://schemas.openxmlformats.org/officeDocument/2006/relationships/worksheet" Target="/xl/worksheets/sheet1.xml" Id="Refa2ce57623f4d9b" /><Relationship Type="http://schemas.openxmlformats.org/officeDocument/2006/relationships/worksheet" Target="/xl/worksheets/sheet2.xml" Id="R9e1971b00c5f40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IF(AND($D$51="可达",ISNUMBER($D$26)),SUM(D22:D26),"")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ht="20" customHeight="1">
      <c r="C24" s="3" t="str">
        <v>洗筹损耗</v>
      </c>
      <c r="D24" s="65">
        <f>IF($D$51="可达",$J$52*$D$29,"")</f>
      </c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IF($D$51&lt;&gt;"可达","",IF(VLOOKUP($D$7,'Quote参数'!$C$14:$AL$23,34,FALSE)="quote",0,IF(AND($J$55&gt;0,$J$56&gt;0),MAX(0,($G$50/$J$55-$G$50/$J$56)*IF($G$40="pons",1,IF($G$40="four-stock",1/(1-$G$42),1+$G$42))),"")))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IF(VLOOKUP($D$7,'Quote参数'!$C$14:$AL$23,34,FALSE)="quote",1,IF($G$40="pons",MAX(0,1-MAX(0,$J$12)-$J$48),(1-$J$46)*(1-$J$47)*(1-MAX(0,$J$12))))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IF($G$40="pons",$G$48-MAX(0,($D$8-$G$43)*$D$45)/MAX(0.000000001,1-$G$42-$J$48),IF(OR($G$40="flap",$G$40="four-stock"),$G$48-($D$8-$G$43)*$D$45/(1-$J$46),IF($G$40="pons",$D$45*(1-$D$8)-$G$51,IF(ABS($D$8-$G$43)&lt;0.000001,$G$48,$D$45*(1-$D$8)))))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IF($G$40="pons",$G$48-MAX(0,($D$27-$G$43)*$D$45)/MAX(0.000000001,1-$G$42-$J$48),IF(OR($G$40="flap",$G$40="four-stock"),$G$48-($D$27-$G$43)*$D$45/(1-$J$46),IF($G$40="pons",$D$45*(1-$D$27)-$G$51,IF(ABS($D$27-$G$43)&lt;0.000001,$G$48,$D$45*(1-$D$27)))))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0.999604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46285.27349457176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损耗按目标加缓冲的 FDV × 双边费率。外盘手续费仅在扣 Base/TOKEN 时降低控筹率；只扣 Quote 时补回为 0。补回按 Base/TOKEN 缺口及现有外盘曲线差额估算，非逐笔模拟。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108.53297905970763</v>
      </c>
      <c r="I14" s="20">
        <v>108.53297905970763</v>
      </c>
      <c r="J14" s="23">
        <v>46285.27349457176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1.0003961568781237</v>
      </c>
      <c r="I15" s="21">
        <v>108.53297905970763</v>
      </c>
      <c r="J15" s="24">
        <v>46285.27349457176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1.0003961568781237</v>
      </c>
      <c r="I16" s="21">
        <v>752.7981080507881</v>
      </c>
      <c r="J16" s="24">
        <v>46285.27349457176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752.7981080507881</v>
      </c>
      <c r="I17" s="21">
        <v>752.7981080507881</v>
      </c>
      <c r="J17" s="24">
        <v>46285.27349457176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0.7357363515952317</v>
      </c>
      <c r="I18" s="21">
        <v>752.7981080507881</v>
      </c>
      <c r="J18" s="24">
        <v>46285.27349457176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91.08607008375316</v>
      </c>
      <c r="I19" s="21">
        <v>91.08607008375316</v>
      </c>
      <c r="J19" s="24">
        <v>46285.27349457176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752.7981080507881</v>
      </c>
      <c r="I20" s="21">
        <v>752.7981080507881</v>
      </c>
      <c r="J20" s="24">
        <v>46285.27349457176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1.0003961568781237</v>
      </c>
      <c r="I21" s="21">
        <v>752.7981080507881</v>
      </c>
      <c r="J21" s="24">
        <v>46285.27349457176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2580.0817123580937</v>
      </c>
      <c r="I22" s="22">
        <v>2580.0817123580937</v>
      </c>
      <c r="J22" s="25">
        <v>46285.27349457176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1.0003961568781237</v>
      </c>
      <c r="I23">
        <v>2580.0817123580937</v>
      </c>
      <c r="J23">
        <v>46285.27349457176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