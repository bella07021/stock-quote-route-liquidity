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873a2fa7234fe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56ed3c3ed042463c"/>
    <sheet name="Quote参数" sheetId="2" r:id="Rb7541ef9e6094d02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6c589327d34beb" /><Relationship Type="http://schemas.openxmlformats.org/officeDocument/2006/relationships/theme" Target="/xl/theme/theme1.xml" Id="Rb72f43e058904177" /><Relationship Type="http://schemas.openxmlformats.org/officeDocument/2006/relationships/sharedStrings" Target="/xl/sharedStrings.xml" Id="R416768cd2b364093" /><Relationship Type="http://schemas.openxmlformats.org/officeDocument/2006/relationships/worksheet" Target="/xl/worksheets/sheet1.xml" Id="R56ed3c3ed042463c" /><Relationship Type="http://schemas.openxmlformats.org/officeDocument/2006/relationships/worksheet" Target="/xl/worksheets/sheet2.xml" Id="Rb7541ef9e6094d0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IF(AND($D$51="可达",ISNUMBER($D$26)),SUM(D22:D26),"")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ht="20" customHeight="1">
      <c r="C24" s="3" t="str">
        <v>洗筹损耗</v>
      </c>
      <c r="D24" s="65">
        <f>IF($D$51="可达",$J$52*$D$29,"")</f>
      </c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回买；洗后若低于目标，再按外盘曲线差额及买入费预留恢复所需 Quote。洗筹损耗另列；未模拟成交量、滑点与价格冲击。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0.999604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46285.27349457176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回买；洗后持币按双边费率估算，再按外盘曲线和买入费预留恢复目标所需 Quote。洗筹损耗另列。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108.53297905970763</v>
      </c>
      <c r="I14" s="20">
        <v>108.53297905970763</v>
      </c>
      <c r="J14" s="23">
        <v>46285.27349457176</v>
      </c>
      <c r="K14" s="35" t="inlineStr">
        <is>
          <t>https://api.coingecko.com/api/v3/simple/price?ids=tether,ethereum,binancecoin,solana,hyperliquid,aster-2&amp;vs_currencies=usd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https://api.coingecko.com/api/v3/simple/price?ids=tether,ethereum,binancecoin,solana,hyperliquid,aster-2&amp;vs_currencies=usd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1.0003961568781237</v>
      </c>
      <c r="I15" s="21">
        <v>108.53297905970763</v>
      </c>
      <c r="J15" s="24">
        <v>46285.27349457176</v>
      </c>
      <c r="K15" s="36" t="inlineStr">
        <is>
          <t>https://api.coingecko.com/api/v3/simple/price?ids=tether,ethereum,binancecoin,solana,hyperliquid,aster-2&amp;vs_currencies=usd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https://api.coingecko.com/api/v3/simple/price?ids=tether,ethereum,binancecoin,solana,hyperliquid,aster-2&amp;vs_currencies=usd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1.0003961568781237</v>
      </c>
      <c r="I16" s="21">
        <v>752.7981080507881</v>
      </c>
      <c r="J16" s="24">
        <v>46285.27349457176</v>
      </c>
      <c r="K16" s="36" t="inlineStr">
        <is>
          <t>https://api.coingecko.com/api/v3/simple/price?ids=tether,ethereum,binancecoin,solana,hyperliquid,aster-2&amp;vs_currencies=usd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https://api.coingecko.com/api/v3/simple/price?ids=tether,ethereum,binancecoin,solana,hyperliquid,aster-2&amp;vs_currencies=usd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752.7981080507881</v>
      </c>
      <c r="I17" s="21">
        <v>752.7981080507881</v>
      </c>
      <c r="J17" s="24">
        <v>46285.27349457176</v>
      </c>
      <c r="K17" s="36" t="inlineStr">
        <is>
          <t>https://api.coingecko.com/api/v3/simple/price?ids=tether,ethereum,binancecoin,solana,hyperliquid,aster-2&amp;vs_currencies=usd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https://api.coingecko.com/api/v3/simple/price?ids=tether,ethereum,binancecoin,solana,hyperliquid,aster-2&amp;vs_currencies=usd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0.7357363515952317</v>
      </c>
      <c r="I18" s="21">
        <v>752.7981080507881</v>
      </c>
      <c r="J18" s="24">
        <v>46285.27349457176</v>
      </c>
      <c r="K18" s="36" t="inlineStr">
        <is>
          <t>https://api.coingecko.com/api/v3/simple/price?ids=tether,ethereum,binancecoin,solana,hyperliquid,aster-2&amp;vs_currencies=usd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https://api.coingecko.com/api/v3/simple/price?ids=tether,ethereum,binancecoin,solana,hyperliquid,aster-2&amp;vs_currencies=usd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91.08607008375316</v>
      </c>
      <c r="I19" s="21">
        <v>91.08607008375316</v>
      </c>
      <c r="J19" s="24">
        <v>46285.27349457176</v>
      </c>
      <c r="K19" s="36" t="inlineStr">
        <is>
          <t>https://api.coingecko.com/api/v3/simple/price?ids=tether,ethereum,binancecoin,solana,hyperliquid,aster-2&amp;vs_currencies=usd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https://api.coingecko.com/api/v3/simple/price?ids=tether,ethereum,binancecoin,solana,hyperliquid,aster-2&amp;vs_currencies=usd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752.7981080507881</v>
      </c>
      <c r="I20" s="21">
        <v>752.7981080507881</v>
      </c>
      <c r="J20" s="24">
        <v>46285.27349457176</v>
      </c>
      <c r="K20" s="36" t="inlineStr">
        <is>
          <t>https://api.coingecko.com/api/v3/simple/price?ids=tether,ethereum,binancecoin,solana,hyperliquid,aster-2&amp;vs_currencies=usd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https://api.coingecko.com/api/v3/simple/price?ids=tether,ethereum,binancecoin,solana,hyperliquid,aster-2&amp;vs_currencies=usd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1.0003961568781237</v>
      </c>
      <c r="I21" s="21">
        <v>752.7981080507881</v>
      </c>
      <c r="J21" s="24">
        <v>46285.27349457176</v>
      </c>
      <c r="K21" s="36" t="inlineStr">
        <is>
          <t>https://api.coingecko.com/api/v3/simple/price?ids=tether,ethereum,binancecoin,solana,hyperliquid,aster-2&amp;vs_currencies=usd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https://api.coingecko.com/api/v3/simple/price?ids=tether,ethereum,binancecoin,solana,hyperliquid,aster-2&amp;vs_currencies=usd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2580.0817123580937</v>
      </c>
      <c r="I22" s="22">
        <v>2580.0817123580937</v>
      </c>
      <c r="J22" s="25">
        <v>46285.27349457176</v>
      </c>
      <c r="K22" s="37" t="inlineStr">
        <is>
          <t>https://api.coingecko.com/api/v3/simple/price?ids=tether,ethereum,binancecoin,solana,hyperliquid,aster-2&amp;vs_currencies=usd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https://api.coingecko.com/api/v3/simple/price?ids=tether,ethereum,binancecoin,solana,hyperliquid,aster-2&amp;vs_currencies=usd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1.0003961568781237</v>
      </c>
      <c r="I23">
        <v>2580.0817123580937</v>
      </c>
      <c r="J23">
        <v>46285.27349457176</v>
      </c>
      <c r="K23" t="inlineStr">
        <is>
          <t>https://api.coingecko.com/api/v3/simple/price?ids=tether,ethereum,binancecoin,solana,hyperliquid,aster-2&amp;vs_currencies=usd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https://api.coingecko.com/api/v3/simple/price?ids=tether,ethereum,binancecoin,solana,hyperliquid,aster-2&amp;vs_currencies=usd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