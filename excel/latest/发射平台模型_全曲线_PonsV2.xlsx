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11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worksheets/sheet1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17d91331a948d3" /></Relationships>
</file>

<file path=xl/workbook.xml><?xml version="1.0" encoding="utf-8"?>
<workbook xmlns="http://schemas.openxmlformats.org/spreadsheetml/2006/main" xmlns:r="http://schemas.openxmlformats.org/officeDocument/2006/relationships">
  <sheets>
    <sheet name="币价" sheetId="1" r:id="R4e8f3fa6680e4a8d"/>
    <sheet name="Pump_SOL" sheetId="2" r:id="Rf1e815de4b924f5d"/>
    <sheet name="Bonk_USD1" sheetId="3" r:id="R49cf3f317da64ddc"/>
    <sheet name="Four_USD1" sheetId="4" r:id="Rdc06d8cd2192415f"/>
    <sheet name="Four_BNB" sheetId="5" r:id="Rdbd6a5c151f248c3"/>
    <sheet name="Four_ASTER" sheetId="6" r:id="R04ca9864fb724b2c"/>
    <sheet name="Hyper_HYPE" sheetId="7" r:id="R37d0adf99c3c48ff"/>
    <sheet name="Flap_BNB" sheetId="8" r:id="Rdfb7d6b2c7c4495f"/>
    <sheet name="Flap_USD1" sheetId="9" r:id="Rbe6b3358c4284e7a"/>
    <sheet name="校验" sheetId="10" r:id="Rf3f6ae80d1ea4bcd"/>
    <sheet name="PonsV2_ETH" sheetId="11" r:id="R5cfe8ce77de34ced"/>
    <sheet name="PonsV2_Quotes" sheetId="12" r:id="R8a7baeb42815463a"/>
  </sheets>
  <calcPr calcMode="auto" fullCalcOnLoad="1" forceFullCalc="1"/>
</workbook>
</file>

<file path=xl/comments1.xml><?xml version="1.0" encoding="utf-8"?>
<x:comments xmlns:x="http://schemas.openxmlformats.org/spreadsheetml/2006/main">
  <x:authors>
    <x:author>tc={ADFFB39D-F942-488D-B177-94CFF5664CC3}</x:author>
  </x:authors>
  <x:commentList>
    <x:comment ref="B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CoinGecko Ethereum price page, checked 2026-09-03. This is a refreshable reference price used only for USD conversion.</x:t>
        </x:r>
      </x:text>
    </x:comment>
  </x:commentList>
</x:comments>
</file>

<file path=xl/comments2.xml><?xml version="1.0" encoding="utf-8"?>
<x:comments xmlns:x="http://schemas.openxmlformats.org/spreadsheetml/2006/main">
  <x:authors>
    <x:author>tc={37449375-7C03-426E-B712-018E00B9C7A3}</x:author>
  </x:authors>
  <x:commentList>
    <x:comment ref="B1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Independent reference calculated from current V2 parameters: 90% actual wallet control, 1% hook fee, Creator Tax 0%.</x:t>
        </x:r>
      </x:text>
    </x:comment>
  </x:commentList>
</x:comments>
</file>

<file path=xl/comments3.xml><?xml version="1.0" encoding="utf-8"?>
<x:comments xmlns:x="http://schemas.openxmlformats.org/spreadsheetml/2006/main">
  <x:authors>
    <x:author>tc={7982CE5C-D6C3-4A1C-AFAA-F61D2D3BCDCE}</x:author>
    <x:author>tc={D5E8BF29-DE9C-44CD-B8E5-BE2A1629D1ED}</x:author>
    <x:author>tc={5DD06E3C-4866-43F7-8386-0026D055941A}</x:author>
    <x:author>tc={3126541F-4A9A-48A3-A6B7-A7CF7414807F}</x:author>
    <x:author>tc={C196C57F-703E-4975-A460-CB06B220CB51}</x:author>
  </x:authors>
  <x:commentList>
    <x:comment ref="B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Pons V2 Factory getLaunchConfig(0), current on-chain value phantomQuote = 1.68 ETH.</x:t>
        </x:r>
      </x:text>
    </x:comment>
    <x:comment ref="B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Pons V2 Factory getLaunchConfig(0), current on-chain graduationThreshold = 4.2 ETH.</x:t>
        </x:r>
      </x:text>
    </x:comment>
    <x:comment ref="B8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Creator Tax is editable. Contract cap is 10%; the model applies it to both curve-stage gross input and post-graduation token output.</x:t>
        </x:r>
      </x:text>
    </x:comment>
    <x:comment ref="E7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current V2 Hook policy, hookFeeBps = 100 (1%). Exact-input buys take this fee from token output, so it changes actual wallet control rather than requiring extra Quote directly.</x:t>
        </x:r>
      </x:text>
    </x:comment>
    <x:comment ref="H3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Editable planning defaults, not measured execution values: 0.005 ETH gas per address, zero slippage, 5 ETH reserve, and 10 x 2 + 2 + 100 addresses. Wash loss equals target-plus-one-percent FDV times (outer fee plus creator tax) times two, in Quote units. Snipe tax is assumed zero for exempt recipients or buys at least 5 seconds after launch.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0">
    <x:numFmt numFmtId="200" formatCode="$#,##0.0000"/>
    <x:numFmt numFmtId="201" formatCode="#,##0.0000"/>
    <x:numFmt numFmtId="202" formatCode="0.00%"/>
    <x:numFmt numFmtId="203" formatCode="0.0%"/>
    <x:numFmt numFmtId="204" formatCode="#,##0"/>
    <x:numFmt numFmtId="205" formatCode="0.0000E+00"/>
    <x:numFmt numFmtId="206" formatCode="0.0000000000"/>
    <x:numFmt numFmtId="207" formatCode="#,##0.00"/>
    <x:numFmt numFmtId="208" formatCode="$#,##0.00"/>
    <x:numFmt numFmtId="209" formatCode="0.0000"/>
    <x:numFmt numFmtId="210" formatCode="0"/>
    <x:numFmt numFmtId="211" formatCode="0.00000000"/>
    <x:numFmt numFmtId="212" formatCode="0.0000%"/>
    <x:numFmt numFmtId="213" formatCode="#,##0.00000000"/>
    <x:numFmt numFmtId="214" formatCode="@"/>
    <x:numFmt numFmtId="215" formatCode="0.000000000"/>
    <x:numFmt numFmtId="216" formatCode="0.0000x"/>
    <x:numFmt numFmtId="217" formatCode="General"/>
    <x:numFmt numFmtId="218" formatCode="0.000000"/>
    <x:numFmt numFmtId="219" formatCode="#,##0.000000"/>
  </x:numFmts>
  <x:fonts count="3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202A"/>
      <x:name val="Carlito"/>
    </x:font>
    <x:font>
      <x:b/>
      <x:sz val="11"/>
      <x:color rgb="FF17365D"/>
      <x:name val="Carlito"/>
    </x:font>
    <x:font>
      <x:b/>
      <x:sz val="11"/>
      <x:color rgb="FF5B2C0C"/>
      <x:name val="Carlito"/>
    </x:font>
    <x:font>
      <x:b/>
      <x:sz val="11"/>
      <x:color rgb="FFFFFFFF"/>
      <x:name val="Carlito"/>
    </x:font>
    <x:font>
      <x:b/>
      <x:sz val="11"/>
      <x:color rgb="FF2F4B1F"/>
      <x:name val="Carlito"/>
    </x:font>
    <x:font>
      <x:b/>
      <x:sz val="11"/>
      <x:color rgb="FF374151"/>
      <x:name val="Carlito"/>
    </x:font>
    <x:font>
      <x:b/>
      <x:sz val="11"/>
      <x:color rgb="FF1F4E78"/>
      <x:name val="Carlito"/>
    </x:font>
    <x:font>
      <x:sz val="11"/>
      <x:color rgb="FF375623"/>
      <x:name val="Carlito"/>
    </x:font>
    <x:font>
      <x:b/>
      <x:sz val="18"/>
      <x:color rgb="FFFFFFFF"/>
      <x:name val="Carlito"/>
    </x:font>
    <x:font>
      <x:b/>
      <x:sz val="11"/>
      <x:color rgb="FF233443"/>
      <x:name val="Carlito"/>
    </x:font>
    <x:font>
      <x:b/>
      <x:sz val="11"/>
      <x:color rgb="FF375623"/>
      <x:name val="Carlito"/>
    </x:font>
    <x:font>
      <x:b/>
      <x:sz val="11"/>
      <x:color rgb="FF20384A"/>
      <x:name val="Carlito"/>
    </x:font>
    <x:font>
      <x:b/>
      <x:sz val="11"/>
      <x:color rgb="FF6B3A19"/>
      <x:name val="Carlito"/>
    </x:font>
    <x:font>
      <x:sz val="11"/>
      <x:color rgb="FF38434A"/>
      <x:name val="Carlito"/>
    </x:font>
    <x:font>
      <x:sz val="11"/>
      <x:color rgb="FF008000"/>
      <x:name val="Carlito"/>
    </x:font>
    <x:font>
      <x:b/>
      <x:sz val="16"/>
      <x:color rgb="FFFFFFFF"/>
      <x:name val="Arial"/>
    </x:font>
    <x:font>
      <x:b/>
      <x:sz val="10"/>
      <x:color rgb="FF1F4E78"/>
      <x:name val="Arial"/>
    </x:font>
    <x:font>
      <x:sz val="10"/>
      <x:color rgb="FF008000"/>
      <x:name val="Arial"/>
    </x:font>
    <x:font>
      <x:b/>
      <x:sz val="10"/>
      <x:color rgb="FF22313F"/>
      <x:name val="Arial"/>
    </x:font>
    <x:font>
      <x:sz val="10"/>
      <x:name val="Arial"/>
    </x:font>
    <x:font>
      <x:b/>
      <x:sz val="10"/>
      <x:color rgb="FF008000"/>
      <x:name val="Arial"/>
    </x:font>
    <x:font>
      <x:i/>
      <x:sz val="10"/>
      <x:color rgb="FF6B7280"/>
      <x:name val="Arial"/>
    </x:font>
    <x:font>
      <x:sz val="9"/>
      <x:color rgb="FF008000"/>
      <x:name val="Arial"/>
    </x:font>
    <x:font>
      <x:b/>
      <x:sz val="11"/>
      <x:color rgb="FF17202A"/>
      <x:name val="Carlito"/>
    </x:font>
    <x:font>
      <x:b/>
      <x:sz val="11"/>
      <x:color rgb="FFFFFFFF"/>
      <x:name val="Carlito"/>
    </x:font>
    <x:font>
      <x:b/>
      <x:sz val="11"/>
      <x:color rgb="FF2F4B1F"/>
      <x:name val="Carlito"/>
    </x:font>
    <x:font>
      <x:sz val="11"/>
      <x:color rgb="FF111827"/>
      <x:name val="Carlito"/>
    </x:font>
    <x:font>
      <x:b/>
      <x:sz val="11"/>
      <x:color rgb="FF5B2C0C"/>
      <x:name val="Carlito"/>
    </x:font>
    <x:font>
      <x:b/>
      <x:sz val="11"/>
      <x:color rgb="FF233443"/>
      <x:name val="Carlito"/>
    </x:font>
    <x:font>
      <x:b/>
      <x:sz val="11"/>
      <x:color rgb="FF375623"/>
      <x:name val="Carlito"/>
    </x:font>
    <x:font>
      <x:b/>
      <x:sz val="11"/>
      <x:color rgb="FF20384A"/>
      <x:name val="Carlito"/>
    </x:font>
    <x:font>
      <x:b/>
      <x:sz val="11"/>
      <x:color rgb="FF6B3A19"/>
      <x:name val="Carlito"/>
    </x:font>
  </x:fonts>
  <x:fills count="4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8F6"/>
      </x:patternFill>
    </x:fill>
    <x:fill>
      <x:patternFill patternType="solid">
        <x:fgColor rgb="FFF6D2B8"/>
      </x:patternFill>
    </x:fill>
    <x:fill>
      <x:patternFill patternType="solid">
        <x:fgColor rgb="FF7A2334"/>
      </x:patternFill>
    </x:fill>
    <x:fill>
      <x:patternFill patternType="solid">
        <x:fgColor rgb="FFA9CBE8"/>
      </x:patternFill>
    </x:fill>
    <x:fill>
      <x:patternFill patternType="solid">
        <x:fgColor rgb="FF466A2A"/>
      </x:patternFill>
    </x:fill>
    <x:fill>
      <x:patternFill patternType="solid">
        <x:fgColor rgb="FFEDF5E5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BDD7EE"/>
      </x:patternFill>
    </x:fill>
    <x:fill>
      <x:patternFill patternType="solid">
        <x:fgColor rgb="FF8B2635"/>
      </x:patternFill>
    </x:fill>
    <x:fill>
      <x:patternFill patternType="solid">
        <x:fgColor rgb="FFF8CBAD"/>
      </x:patternFill>
    </x:fill>
    <x:fill>
      <x:patternFill patternType="solid">
        <x:fgColor rgb="FFF3F8EF"/>
      </x:patternFill>
    </x:fill>
    <x:fill>
      <x:patternFill patternType="solid">
        <x:fgColor rgb="FFF4F7FA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D9E8F6"/>
      </x:patternFill>
    </x:fill>
    <x:fill>
      <x:patternFill patternType="solid">
        <x:fgColor rgb="FF466A2A"/>
      </x:patternFill>
    </x:fill>
    <x:fill>
      <x:patternFill patternType="solid">
        <x:fgColor rgb="FFA9CBE8"/>
      </x:patternFill>
    </x:fill>
    <x:fill>
      <x:patternFill patternType="solid">
        <x:fgColor rgb="FFEDF5E5"/>
      </x:patternFill>
    </x:fill>
    <x:fill>
      <x:patternFill patternType="solid">
        <x:fgColor rgb="FFFFFFFF"/>
      </x:patternFill>
    </x:fill>
    <x:fill>
      <x:patternFill patternType="solid">
        <x:fgColor rgb="FFF6D2B8"/>
      </x:patternFill>
    </x:fill>
    <x:fill>
      <x:patternFill patternType="solid">
        <x:fgColor rgb="FFD9EAF7"/>
      </x:patternFill>
    </x:fill>
    <x:fill>
      <x:patternFill patternType="solid">
        <x:fgColor rgb="FF548235"/>
      </x:patternFill>
    </x:fill>
    <x:fill>
      <x:patternFill patternType="solid">
        <x:fgColor rgb="FFE2F0D9"/>
      </x:patternFill>
    </x:fill>
    <x:fill>
      <x:patternFill patternType="solid">
        <x:fgColor rgb="FFBDD7EE"/>
      </x:patternFill>
    </x:fill>
    <x:fill>
      <x:patternFill patternType="solid">
        <x:fgColor rgb="FFF8CBAD"/>
      </x:patternFill>
    </x:fill>
  </x:fills>
  <x:borders count="17">
    <x:border/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left style="thin">
        <x:color rgb="FFB9C8D6"/>
      </x:left>
      <x:right style="thin">
        <x:color rgb="FFB9C8D6"/>
      </x:right>
      <x:top style="thin">
        <x:color rgb="FFB9C8D6"/>
      </x:top>
      <x:bottom style="thin">
        <x:color rgb="FFB9C8D6"/>
      </x:bottom>
    </x:border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A47C"/>
      </x:left>
      <x:right style="thin">
        <x:color rgb="FFD6A47C"/>
      </x:right>
      <x:top style="thin">
        <x:color rgb="FFD6A47C"/>
      </x:top>
      <x:bottom style="thin">
        <x:color rgb="FFD6A47C"/>
      </x:bottom>
    </x:border>
    <x:border>
      <x:left style="thin">
        <x:color rgb="FF8EA9C1"/>
      </x:left>
      <x:right style="thin">
        <x:color rgb="FF8EA9C1"/>
      </x:right>
      <x:top style="thin">
        <x:color rgb="FF8EA9C1"/>
      </x:top>
      <x:bottom style="thin">
        <x:color rgb="FF8EA9C1"/>
      </x:bottom>
    </x:border>
    <x:border>
      <x:left style="thin">
        <x:color rgb="FF7FA34A"/>
      </x:left>
      <x:right style="thin">
        <x:color rgb="FF7FA34A"/>
      </x:right>
      <x:top style="thin">
        <x:color rgb="FF7FA34A"/>
      </x:top>
      <x:bottom style="thin">
        <x:color rgb="FF7FA34A"/>
      </x:bottom>
    </x:border>
    <x:border>
      <x:left style="thin">
        <x:color rgb="FFA8C28A"/>
      </x:left>
      <x:right style="thin">
        <x:color rgb="FFA8C28A"/>
      </x:right>
      <x:top style="thin">
        <x:color rgb="FFA8C28A"/>
      </x:top>
      <x:bottom style="thin">
        <x:color rgb="FFA8C28A"/>
      </x:bottom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A9C49A"/>
      </x:left>
      <x:right style="thin">
        <x:color rgb="FFA9C49A"/>
      </x:right>
      <x:top style="thin">
        <x:color rgb="FFA9C49A"/>
      </x:top>
      <x:bottom style="thin">
        <x:color rgb="FFA9C49A"/>
      </x:bottom>
    </x:border>
    <x:border>
      <x:left style="thin">
        <x:color rgb="FFAFC3D3"/>
      </x:left>
      <x:right style="thin">
        <x:color rgb="FFAFC3D3"/>
      </x:right>
      <x:top style="thin">
        <x:color rgb="FFAFC3D3"/>
      </x:top>
      <x:bottom style="thin">
        <x:color rgb="FFAFC3D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7DEE3"/>
      </x:left>
      <x:right style="thin">
        <x:color rgb="FFD7DEE3"/>
      </x:right>
      <x:top style="thin">
        <x:color rgb="FFD7DEE3"/>
      </x:top>
      <x:bottom style="thin">
        <x:color rgb="FFD7DEE3"/>
      </x:bottom>
    </x:border>
    <x:border>
      <x:left style="thin">
        <x:color rgb="FFAFC7D9"/>
      </x:left>
      <x:right style="thin">
        <x:color rgb="FFAFC7D9"/>
      </x:right>
      <x:top style="thin">
        <x:color rgb="FFAFC7D9"/>
      </x:top>
      <x:bottom style="thin">
        <x:color rgb="FFAFC7D9"/>
      </x:bottom>
    </x:border>
    <x:border>
      <x:bottom style="thin">
        <x:color rgb="FFE6EDF2"/>
      </x:bottom>
    </x:border>
    <x:border>
      <x:top style="thin">
        <x:color rgb="FFE6EDF2"/>
      </x:top>
      <x:bottom style="thin">
        <x:color rgb="FFE6EDF2"/>
      </x:bottom>
    </x:border>
    <x:border>
      <x:top style="thin">
        <x:color rgb="FFE6EDF2"/>
      </x:top>
      <x:bottom style="thin">
        <x:color rgb="FFD7DEE3"/>
      </x:bottom>
    </x:border>
  </x:borders>
  <x:cellStyleXfs count="1">
    <x:xf numFmtId="0" fontId="0" fillId="0" borderId="0"/>
  </x:cellStyleXfs>
  <x:cellXfs count="5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/>
    <x:xf numFmtId="0" fontId="3" fillId="3" borderId="2" xfId="0" applyNumberFormat="1" applyFont="1" applyFill="1" applyBorder="1"/>
    <x:xf numFmtId="0" fontId="0" fillId="0" borderId="3" xfId="0" applyNumberFormat="1" applyFont="1" applyFill="1" applyBorder="1"/>
    <x:xf numFmtId="0" fontId="3" fillId="3" borderId="3" xfId="0" applyNumberFormat="1" applyFont="1" applyFill="1" applyBorder="1"/>
    <x:xf numFmtId="200" fontId="3" fillId="3" borderId="3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4" xfId="0" applyNumberFormat="1" applyFont="1" applyFill="1" applyBorder="1"/>
    <x:xf numFmtId="201" fontId="4" fillId="4" borderId="4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left"/>
    </x:xf>
    <x:xf numFmtId="0" fontId="5" fillId="5" borderId="0" xfId="0" applyNumberFormat="1" applyFont="1" applyFill="1" applyBorder="1" applyAlignment="1">
      <x:alignment horizontal="left" vertical="center"/>
    </x:xf>
    <x:xf numFmtId="0" fontId="0" fillId="0" borderId="3" xfId="0" applyNumberFormat="1" applyFont="1" applyFill="1" applyBorder="1" applyAlignment="1">
      <x:alignment vertical="center"/>
    </x:xf>
    <x:xf numFmtId="0" fontId="0" fillId="6" borderId="3" xfId="0" applyNumberFormat="1" applyFont="1" applyFill="1" applyBorder="1" applyAlignment="1">
      <x:alignment vertical="center"/>
    </x:xf>
    <x:xf numFmtId="0" fontId="2" fillId="6" borderId="3" xfId="0" applyNumberFormat="1" applyFont="1" applyFill="1" applyBorder="1" applyAlignment="1">
      <x:alignment vertical="center"/>
    </x:xf>
    <x:xf numFmtId="0" fontId="2" fillId="6" borderId="5" xfId="0" applyNumberFormat="1" applyFont="1" applyFill="1" applyBorder="1" applyAlignment="1">
      <x:alignment vertical="center"/>
    </x:xf>
    <x:xf numFmtId="0" fontId="2" fillId="7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5" fillId="7" borderId="6" xfId="0" applyNumberFormat="1" applyFont="1" applyFill="1" applyBorder="1" applyAlignment="1">
      <x:alignment horizontal="center" vertical="center" wrapText="1"/>
    </x:xf>
    <x:xf numFmtId="0" fontId="2" fillId="8" borderId="5" xfId="0" applyNumberFormat="1" applyFont="1" applyFill="1" applyBorder="1" applyAlignment="1">
      <x:alignment vertical="center"/>
    </x:xf>
    <x:xf numFmtId="0" fontId="0" fillId="8" borderId="3" xfId="0" applyNumberFormat="1" applyFont="1" applyFill="1" applyBorder="1" applyAlignment="1">
      <x:alignment vertical="center"/>
    </x:xf>
    <x:xf numFmtId="0" fontId="6" fillId="8" borderId="5" xfId="0" applyNumberFormat="1" applyFont="1" applyFill="1" applyBorder="1" applyAlignment="1">
      <x:alignment vertical="center"/>
    </x:xf>
    <x:xf numFmtId="0" fontId="6" fillId="8" borderId="3" xfId="0" applyNumberFormat="1" applyFont="1" applyFill="1" applyBorder="1" applyAlignment="1">
      <x:alignment vertical="center"/>
    </x:xf>
    <x:xf numFmtId="0" fontId="6" fillId="8" borderId="7" xfId="0" applyNumberFormat="1" applyFont="1" applyFill="1" applyBorder="1" applyAlignment="1">
      <x:alignment vertical="center"/>
    </x:xf>
    <x:xf numFmtId="0" fontId="0" fillId="4" borderId="3" xfId="0" applyNumberFormat="1" applyFont="1" applyFill="1" applyBorder="1" applyAlignment="1">
      <x:alignment vertical="center"/>
    </x:xf>
    <x:xf numFmtId="0" fontId="4" fillId="4" borderId="3" xfId="0" applyNumberFormat="1" applyFont="1" applyFill="1" applyBorder="1" applyAlignment="1">
      <x:alignment vertical="center"/>
    </x:xf>
    <x:xf numFmtId="0" fontId="4" fillId="4" borderId="4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/>
    <x:xf numFmtId="201" fontId="0" fillId="0" borderId="3" xfId="0" applyNumberFormat="1" applyFont="1" applyFill="1" applyBorder="1"/>
    <x:xf numFmtId="202" fontId="0" fillId="0" borderId="3" xfId="0" applyNumberFormat="1" applyFont="1" applyFill="1" applyBorder="1"/>
    <x:xf numFmtId="200" fontId="0" fillId="3" borderId="3" xfId="0" applyNumberFormat="1" applyFont="1" applyFill="1" applyBorder="1"/>
    <x:xf numFmtId="201" fontId="0" fillId="3" borderId="3" xfId="0" applyNumberFormat="1" applyFont="1" applyFill="1" applyBorder="1"/>
    <x:xf numFmtId="202" fontId="0" fillId="3" borderId="3" xfId="0" applyNumberFormat="1" applyFont="1" applyFill="1" applyBorder="1"/>
    <x:xf numFmtId="201" fontId="3" fillId="3" borderId="3" xfId="0" applyNumberFormat="1" applyFont="1" applyFill="1" applyBorder="1"/>
    <x:xf numFmtId="202" fontId="3" fillId="3" borderId="3" xfId="0" applyNumberFormat="1" applyFont="1" applyFill="1" applyBorder="1"/>
    <x:xf numFmtId="200" fontId="3" fillId="3" borderId="2" xfId="0" applyNumberFormat="1" applyFont="1" applyFill="1" applyBorder="1"/>
    <x:xf numFmtId="201" fontId="3" fillId="3" borderId="2" xfId="0" applyNumberFormat="1" applyFont="1" applyFill="1" applyBorder="1"/>
    <x:xf numFmtId="202" fontId="3" fillId="3" borderId="2" xfId="0" applyNumberFormat="1" applyFont="1" applyFill="1" applyBorder="1"/>
    <x:xf numFmtId="201" fontId="0" fillId="3" borderId="0" xfId="0" applyNumberFormat="1" applyFont="1" applyFill="1" applyBorder="1"/>
    <x:xf numFmtId="201" fontId="3" fillId="3" borderId="0" xfId="0" applyNumberFormat="1" applyFont="1" applyFill="1" applyBorder="1"/>
    <x:xf numFmtId="0" fontId="7" fillId="0" borderId="3" xfId="0" applyNumberFormat="1" applyFont="1" applyFill="1" applyBorder="1"/>
    <x:xf numFmtId="0" fontId="7" fillId="0" borderId="0" xfId="0" applyNumberFormat="1" applyFont="1" applyFill="1" applyBorder="1"/>
    <x:xf numFmtId="203" fontId="2" fillId="6" borderId="5" xfId="0" applyNumberFormat="1" applyFont="1" applyFill="1" applyBorder="1" applyAlignment="1">
      <x:alignment vertical="center"/>
    </x:xf>
    <x:xf numFmtId="203" fontId="0" fillId="0" borderId="3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3" fontId="2" fillId="3" borderId="1" xfId="0" applyNumberFormat="1" applyFont="1" applyFill="1" applyBorder="1" applyAlignment="1">
      <x:alignment horizontal="center" vertical="center" wrapText="1"/>
    </x:xf>
    <x:xf numFmtId="203" fontId="5" fillId="5" borderId="0" xfId="0" applyNumberFormat="1" applyFont="1" applyFill="1" applyBorder="1" applyAlignment="1">
      <x:alignment horizontal="left" vertical="center"/>
    </x:xf>
    <x:xf numFmtId="203" fontId="4" fillId="4" borderId="4" xfId="0" applyNumberFormat="1" applyFont="1" applyFill="1" applyBorder="1" applyAlignment="1">
      <x:alignment vertical="center"/>
    </x:xf>
    <x:xf numFmtId="204" fontId="2" fillId="6" borderId="5" xfId="0" applyNumberFormat="1" applyFont="1" applyFill="1" applyBorder="1" applyAlignment="1">
      <x:alignment vertical="center"/>
    </x:xf>
    <x:xf numFmtId="204" fontId="0" fillId="0" borderId="3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4" fontId="2" fillId="3" borderId="1" xfId="0" applyNumberFormat="1" applyFont="1" applyFill="1" applyBorder="1" applyAlignment="1">
      <x:alignment horizontal="center" vertical="center" wrapText="1"/>
    </x:xf>
    <x:xf numFmtId="204" fontId="5" fillId="5" borderId="0" xfId="0" applyNumberFormat="1" applyFont="1" applyFill="1" applyBorder="1" applyAlignment="1">
      <x:alignment horizontal="left" vertical="center"/>
    </x:xf>
    <x:xf numFmtId="204" fontId="4" fillId="4" borderId="4" xfId="0" applyNumberFormat="1" applyFont="1" applyFill="1" applyBorder="1" applyAlignment="1">
      <x:alignment vertical="center"/>
    </x:xf>
    <x:xf numFmtId="201" fontId="2" fillId="6" borderId="5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1" fontId="2" fillId="3" borderId="1" xfId="0" applyNumberFormat="1" applyFont="1" applyFill="1" applyBorder="1" applyAlignment="1">
      <x:alignment horizontal="center" vertical="center" wrapText="1"/>
    </x:xf>
    <x:xf numFmtId="201" fontId="5" fillId="5" borderId="0" xfId="0" applyNumberFormat="1" applyFont="1" applyFill="1" applyBorder="1" applyAlignment="1">
      <x:alignment horizontal="left" vertical="center"/>
    </x:xf>
    <x:xf numFmtId="201" fontId="4" fillId="4" borderId="4" xfId="0" applyNumberFormat="1" applyFont="1" applyFill="1" applyBorder="1" applyAlignment="1">
      <x:alignment vertical="center"/>
    </x:xf>
    <x:xf numFmtId="205" fontId="2" fillId="6" borderId="5" xfId="0" applyNumberFormat="1" applyFont="1" applyFill="1" applyBorder="1" applyAlignment="1">
      <x:alignment vertical="center"/>
    </x:xf>
    <x:xf numFmtId="205" fontId="0" fillId="0" borderId="3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5" fontId="2" fillId="3" borderId="1" xfId="0" applyNumberFormat="1" applyFont="1" applyFill="1" applyBorder="1" applyAlignment="1">
      <x:alignment horizontal="center" vertical="center" wrapText="1"/>
    </x:xf>
    <x:xf numFmtId="205" fontId="5" fillId="5" borderId="0" xfId="0" applyNumberFormat="1" applyFont="1" applyFill="1" applyBorder="1" applyAlignment="1">
      <x:alignment horizontal="left" vertical="center"/>
    </x:xf>
    <x:xf numFmtId="205" fontId="4" fillId="4" borderId="4" xfId="0" applyNumberFormat="1" applyFont="1" applyFill="1" applyBorder="1" applyAlignment="1">
      <x:alignment vertical="center"/>
    </x:xf>
    <x:xf numFmtId="206" fontId="2" fillId="6" borderId="5" xfId="0" applyNumberFormat="1" applyFont="1" applyFill="1" applyBorder="1" applyAlignment="1">
      <x:alignment vertical="center"/>
    </x:xf>
    <x:xf numFmtId="206" fontId="0" fillId="0" borderId="3" xfId="0" applyNumberFormat="1" applyFont="1" applyFill="1" applyBorder="1" applyAlignment="1">
      <x:alignment vertical="center"/>
    </x:xf>
    <x:xf numFmtId="206" fontId="0" fillId="0" borderId="0" xfId="0" applyNumberFormat="1" applyFont="1" applyFill="1" applyBorder="1"/>
    <x:xf numFmtId="206" fontId="2" fillId="3" borderId="1" xfId="0" applyNumberFormat="1" applyFont="1" applyFill="1" applyBorder="1" applyAlignment="1">
      <x:alignment horizontal="center" vertical="center" wrapText="1"/>
    </x:xf>
    <x:xf numFmtId="206" fontId="5" fillId="5" borderId="0" xfId="0" applyNumberFormat="1" applyFont="1" applyFill="1" applyBorder="1" applyAlignment="1">
      <x:alignment horizontal="left" vertical="center"/>
    </x:xf>
    <x:xf numFmtId="206" fontId="4" fillId="4" borderId="4" xfId="0" applyNumberFormat="1" applyFont="1" applyFill="1" applyBorder="1" applyAlignment="1">
      <x:alignment vertical="center"/>
    </x:xf>
    <x:xf numFmtId="207" fontId="2" fillId="6" borderId="5" xfId="0" applyNumberFormat="1" applyFont="1" applyFill="1" applyBorder="1" applyAlignment="1">
      <x:alignment vertical="center"/>
    </x:xf>
    <x:xf numFmtId="207" fontId="0" fillId="0" borderId="3" xfId="0" applyNumberFormat="1" applyFont="1" applyFill="1" applyBorder="1" applyAlignment="1">
      <x:alignment vertical="center"/>
    </x:xf>
    <x:xf numFmtId="207" fontId="0" fillId="0" borderId="0" xfId="0" applyNumberFormat="1" applyFont="1" applyFill="1" applyBorder="1"/>
    <x:xf numFmtId="207" fontId="2" fillId="3" borderId="1" xfId="0" applyNumberFormat="1" applyFont="1" applyFill="1" applyBorder="1" applyAlignment="1">
      <x:alignment horizontal="center" vertical="center" wrapText="1"/>
    </x:xf>
    <x:xf numFmtId="207" fontId="5" fillId="5" borderId="0" xfId="0" applyNumberFormat="1" applyFont="1" applyFill="1" applyBorder="1" applyAlignment="1">
      <x:alignment horizontal="left" vertical="center"/>
    </x:xf>
    <x:xf numFmtId="207" fontId="4" fillId="4" borderId="4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8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9" xfId="0" applyNumberFormat="1" applyFont="1" applyFill="1" applyBorder="1"/>
    <x:xf numFmtId="209" fontId="8" fillId="9" borderId="8" xfId="0" applyNumberFormat="1" applyFont="1" applyFill="1" applyBorder="1"/>
    <x:xf numFmtId="210" fontId="8" fillId="9" borderId="8" xfId="0" applyNumberFormat="1" applyFont="1" applyFill="1" applyBorder="1"/>
    <x:xf numFmtId="202" fontId="9" fillId="10" borderId="9" xfId="0" applyNumberFormat="1" applyFont="1" applyFill="1" applyBorder="1"/>
    <x:xf numFmtId="202" fontId="8" fillId="9" borderId="8" xfId="0" applyNumberFormat="1" applyFont="1" applyFill="1" applyBorder="1"/>
    <x:xf numFmtId="211" fontId="9" fillId="10" borderId="9" xfId="0" applyNumberFormat="1" applyFont="1" applyFill="1" applyBorder="1"/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horizontal="left"/>
    </x:xf>
    <x:xf numFmtId="0" fontId="10" fillId="11" borderId="0" xfId="0" applyNumberFormat="1" applyFont="1" applyFill="1" applyBorder="1" applyAlignment="1">
      <x:alignment horizontal="left" vertical="center"/>
    </x:xf>
    <x:xf numFmtId="0" fontId="11" fillId="9" borderId="0" xfId="0" applyNumberFormat="1" applyFont="1" applyFill="1" applyBorder="1"/>
    <x:xf numFmtId="0" fontId="11" fillId="9" borderId="10" xfId="0" applyNumberFormat="1" applyFont="1" applyFill="1" applyBorder="1"/>
    <x:xf numFmtId="0" fontId="11" fillId="9" borderId="10" xfId="0" applyNumberFormat="1" applyFont="1" applyFill="1" applyBorder="1" applyAlignment="1">
      <x:alignment horizontal="center"/>
    </x:xf>
    <x:xf numFmtId="0" fontId="11" fillId="9" borderId="10" xfId="0" applyNumberFormat="1" applyFont="1" applyFill="1" applyBorder="1" applyAlignment="1">
      <x:alignment horizontal="center" vertical="center"/>
    </x:xf>
    <x:xf numFmtId="0" fontId="11" fillId="12" borderId="10" xfId="0" applyNumberFormat="1" applyFont="1" applyFill="1" applyBorder="1" applyAlignment="1">
      <x:alignment horizontal="center" vertical="center"/>
    </x:xf>
    <x:xf numFmtId="0" fontId="5" fillId="12" borderId="10" xfId="0" applyNumberFormat="1" applyFont="1" applyFill="1" applyBorder="1" applyAlignment="1">
      <x:alignment horizontal="center" vertical="center"/>
    </x:xf>
    <x:xf numFmtId="0" fontId="5" fillId="10" borderId="10" xfId="0" applyNumberFormat="1" applyFont="1" applyFill="1" applyBorder="1" applyAlignment="1">
      <x:alignment horizontal="center" vertical="center"/>
    </x:xf>
    <x:xf numFmtId="0" fontId="12" fillId="10" borderId="0" xfId="0" applyNumberFormat="1" applyFont="1" applyFill="1" applyBorder="1"/>
    <x:xf numFmtId="0" fontId="12" fillId="10" borderId="1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12" fillId="13" borderId="0" xfId="0" applyNumberFormat="1" applyFont="1" applyFill="1" applyBorder="1"/>
    <x:xf numFmtId="0" fontId="13" fillId="13" borderId="0" xfId="0" applyNumberFormat="1" applyFont="1" applyFill="1" applyBorder="1"/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211" fontId="8" fillId="9" borderId="8" xfId="0" applyNumberFormat="1" applyFont="1" applyFill="1" applyBorder="1"/>
    <x:xf numFmtId="212" fontId="9" fillId="10" borderId="9" xfId="0" applyNumberFormat="1" applyFont="1" applyFill="1" applyBorder="1"/>
    <x:xf numFmtId="212" fontId="0" fillId="0" borderId="0" xfId="0" applyNumberFormat="1" applyFont="1" applyFill="1" applyBorder="1"/>
    <x:xf numFmtId="212" fontId="13" fillId="13" borderId="0" xfId="0" applyNumberFormat="1" applyFont="1" applyFill="1" applyBorder="1"/>
    <x:xf numFmtId="212" fontId="14" fillId="15" borderId="0" xfId="0" applyNumberFormat="1" applyFont="1" applyFill="1" applyBorder="1"/>
    <x:xf numFmtId="204" fontId="13" fillId="13" borderId="0" xfId="0" applyNumberFormat="1" applyFont="1" applyFill="1" applyBorder="1"/>
    <x:xf numFmtId="204" fontId="11" fillId="9" borderId="10" xfId="0" applyNumberFormat="1" applyFont="1" applyFill="1" applyBorder="1" applyAlignment="1">
      <x:alignment horizontal="center" vertical="center"/>
    </x:xf>
    <x:xf numFmtId="204" fontId="5" fillId="14" borderId="0" xfId="0" applyNumberFormat="1" applyFont="1" applyFill="1" applyBorder="1"/>
    <x:xf numFmtId="204" fontId="14" fillId="15" borderId="0" xfId="0" applyNumberFormat="1" applyFont="1" applyFill="1" applyBorder="1"/>
    <x:xf numFmtId="201" fontId="13" fillId="13" borderId="0" xfId="0" applyNumberFormat="1" applyFont="1" applyFill="1" applyBorder="1"/>
    <x:xf numFmtId="201" fontId="11" fillId="9" borderId="10" xfId="0" applyNumberFormat="1" applyFont="1" applyFill="1" applyBorder="1" applyAlignment="1">
      <x:alignment horizontal="center" vertical="center"/>
    </x:xf>
    <x:xf numFmtId="201" fontId="5" fillId="14" borderId="0" xfId="0" applyNumberFormat="1" applyFont="1" applyFill="1" applyBorder="1"/>
    <x:xf numFmtId="201" fontId="14" fillId="15" borderId="0" xfId="0" applyNumberFormat="1" applyFont="1" applyFill="1" applyBorder="1"/>
    <x:xf numFmtId="205" fontId="13" fillId="13" borderId="0" xfId="0" applyNumberFormat="1" applyFont="1" applyFill="1" applyBorder="1"/>
    <x:xf numFmtId="205" fontId="11" fillId="9" borderId="10" xfId="0" applyNumberFormat="1" applyFont="1" applyFill="1" applyBorder="1" applyAlignment="1">
      <x:alignment horizontal="center" vertical="center"/>
    </x:xf>
    <x:xf numFmtId="205" fontId="5" fillId="14" borderId="0" xfId="0" applyNumberFormat="1" applyFont="1" applyFill="1" applyBorder="1"/>
    <x:xf numFmtId="205" fontId="14" fillId="15" borderId="0" xfId="0" applyNumberFormat="1" applyFont="1" applyFill="1" applyBorder="1"/>
    <x:xf numFmtId="206" fontId="13" fillId="13" borderId="0" xfId="0" applyNumberFormat="1" applyFont="1" applyFill="1" applyBorder="1"/>
    <x:xf numFmtId="206" fontId="11" fillId="9" borderId="10" xfId="0" applyNumberFormat="1" applyFont="1" applyFill="1" applyBorder="1" applyAlignment="1">
      <x:alignment horizontal="center" vertical="center"/>
    </x:xf>
    <x:xf numFmtId="206" fontId="5" fillId="14" borderId="0" xfId="0" applyNumberFormat="1" applyFont="1" applyFill="1" applyBorder="1"/>
    <x:xf numFmtId="206" fontId="14" fillId="15" borderId="0" xfId="0" applyNumberFormat="1" applyFont="1" applyFill="1" applyBorder="1"/>
    <x:xf numFmtId="208" fontId="13" fillId="13" borderId="0" xfId="0" applyNumberFormat="1" applyFont="1" applyFill="1" applyBorder="1"/>
    <x:xf numFmtId="208" fontId="11" fillId="9" borderId="10" xfId="0" applyNumberFormat="1" applyFont="1" applyFill="1" applyBorder="1" applyAlignment="1">
      <x:alignment horizontal="center" vertical="center"/>
    </x:xf>
    <x:xf numFmtId="208" fontId="5" fillId="14" borderId="0" xfId="0" applyNumberFormat="1" applyFont="1" applyFill="1" applyBorder="1"/>
    <x:xf numFmtId="208" fontId="14" fillId="15" borderId="0" xfId="0" applyNumberFormat="1" applyFont="1" applyFill="1" applyBorder="1"/>
    <x:xf numFmtId="213" fontId="0" fillId="0" borderId="0" xfId="0" applyNumberFormat="1" applyFont="1" applyFill="1" applyBorder="1"/>
    <x:xf numFmtId="213" fontId="12" fillId="10" borderId="0" xfId="0" applyNumberFormat="1" applyFont="1" applyFill="1" applyBorder="1"/>
    <x:xf numFmtId="213" fontId="13" fillId="13" borderId="0" xfId="0" applyNumberFormat="1" applyFont="1" applyFill="1" applyBorder="1"/>
    <x:xf numFmtId="213" fontId="11" fillId="9" borderId="10" xfId="0" applyNumberFormat="1" applyFont="1" applyFill="1" applyBorder="1" applyAlignment="1">
      <x:alignment horizontal="center" vertical="center"/>
    </x:xf>
    <x:xf numFmtId="213" fontId="12" fillId="10" borderId="10" xfId="0" applyNumberFormat="1" applyFont="1" applyFill="1" applyBorder="1" applyAlignment="1">
      <x:alignment horizontal="center" vertical="center"/>
    </x:xf>
    <x:xf numFmtId="213" fontId="5" fillId="14" borderId="0" xfId="0" applyNumberFormat="1" applyFont="1" applyFill="1" applyBorder="1"/>
    <x:xf numFmtId="213" fontId="14" fillId="15" borderId="0" xfId="0" applyNumberFormat="1" applyFont="1" applyFill="1" applyBorder="1"/>
    <x:xf numFmtId="212" fontId="0" fillId="16" borderId="0" xfId="0" applyNumberFormat="1" applyFont="1" applyFill="1" applyBorder="1"/>
    <x:xf numFmtId="204" fontId="0" fillId="16" borderId="0" xfId="0" applyNumberFormat="1" applyFont="1" applyFill="1" applyBorder="1"/>
    <x:xf numFmtId="201" fontId="0" fillId="16" borderId="0" xfId="0" applyNumberFormat="1" applyFont="1" applyFill="1" applyBorder="1"/>
    <x:xf numFmtId="205" fontId="0" fillId="16" borderId="0" xfId="0" applyNumberFormat="1" applyFont="1" applyFill="1" applyBorder="1"/>
    <x:xf numFmtId="206" fontId="0" fillId="16" borderId="0" xfId="0" applyNumberFormat="1" applyFont="1" applyFill="1" applyBorder="1"/>
    <x:xf numFmtId="208" fontId="0" fillId="16" borderId="0" xfId="0" applyNumberFormat="1" applyFont="1" applyFill="1" applyBorder="1"/>
    <x:xf numFmtId="213" fontId="0" fillId="16" borderId="0" xfId="0" applyNumberFormat="1" applyFont="1" applyFill="1" applyBorder="1"/>
    <x:xf numFmtId="212" fontId="12" fillId="16" borderId="0" xfId="0" applyNumberFormat="1" applyFont="1" applyFill="1" applyBorder="1"/>
    <x:xf numFmtId="204" fontId="12" fillId="16" borderId="0" xfId="0" applyNumberFormat="1" applyFont="1" applyFill="1" applyBorder="1"/>
    <x:xf numFmtId="201" fontId="12" fillId="16" borderId="0" xfId="0" applyNumberFormat="1" applyFont="1" applyFill="1" applyBorder="1"/>
    <x:xf numFmtId="205" fontId="12" fillId="16" borderId="0" xfId="0" applyNumberFormat="1" applyFont="1" applyFill="1" applyBorder="1"/>
    <x:xf numFmtId="206" fontId="12" fillId="16" borderId="0" xfId="0" applyNumberFormat="1" applyFont="1" applyFill="1" applyBorder="1"/>
    <x:xf numFmtId="208" fontId="12" fillId="16" borderId="0" xfId="0" applyNumberFormat="1" applyFont="1" applyFill="1" applyBorder="1"/>
    <x:xf numFmtId="213" fontId="12" fillId="16" borderId="0" xfId="0" applyNumberFormat="1" applyFont="1" applyFill="1" applyBorder="1"/>
    <x:xf numFmtId="212" fontId="12" fillId="16" borderId="11" xfId="0" applyNumberFormat="1" applyFont="1" applyFill="1" applyBorder="1"/>
    <x:xf numFmtId="204" fontId="12" fillId="16" borderId="11" xfId="0" applyNumberFormat="1" applyFont="1" applyFill="1" applyBorder="1"/>
    <x:xf numFmtId="201" fontId="12" fillId="16" borderId="11" xfId="0" applyNumberFormat="1" applyFont="1" applyFill="1" applyBorder="1"/>
    <x:xf numFmtId="205" fontId="12" fillId="16" borderId="11" xfId="0" applyNumberFormat="1" applyFont="1" applyFill="1" applyBorder="1"/>
    <x:xf numFmtId="206" fontId="12" fillId="16" borderId="11" xfId="0" applyNumberFormat="1" applyFont="1" applyFill="1" applyBorder="1"/>
    <x:xf numFmtId="208" fontId="12" fillId="16" borderId="11" xfId="0" applyNumberFormat="1" applyFont="1" applyFill="1" applyBorder="1"/>
    <x:xf numFmtId="213" fontId="12" fillId="16" borderId="11" xfId="0" applyNumberFormat="1" applyFont="1" applyFill="1" applyBorder="1"/>
    <x:xf numFmtId="213" fontId="12" fillId="10" borderId="11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horizontal="left"/>
    </x:xf>
    <x:xf numFmtId="0" fontId="0" fillId="17" borderId="0" xfId="0" applyNumberFormat="1" applyFont="1" applyFill="1" applyBorder="1"/>
    <x:xf numFmtId="0" fontId="15" fillId="17" borderId="0" xfId="0" applyNumberFormat="1" applyFont="1" applyFill="1" applyBorder="1"/>
    <x:xf numFmtId="0" fontId="15" fillId="17" borderId="12" xfId="0" applyNumberFormat="1" applyFont="1" applyFill="1" applyBorder="1"/>
    <x:xf numFmtId="0" fontId="15" fillId="17" borderId="12" xfId="0" applyNumberFormat="1" applyFont="1" applyFill="1" applyBorder="1" applyAlignment="1">
      <x:alignment wrapText="1"/>
    </x:xf>
    <x:xf numFmtId="0" fontId="16" fillId="17" borderId="12" xfId="0" applyNumberFormat="1" applyFont="1" applyFill="1" applyBorder="1" applyAlignment="1">
      <x:alignment wrapText="1"/>
    </x:xf>
    <x:xf numFmtId="214" fontId="16" fillId="17" borderId="12" xfId="0" applyNumberFormat="1" applyFont="1" applyFill="1" applyBorder="1" applyAlignment="1">
      <x:alignment wrapText="1"/>
    </x:xf>
    <x:xf numFmtId="214" fontId="15" fillId="17" borderId="12" xfId="0" applyNumberFormat="1" applyFont="1" applyFill="1" applyBorder="1" applyAlignment="1">
      <x:alignment wrapText="1"/>
    </x:xf>
    <x:xf numFmtId="0" fontId="8" fillId="17" borderId="12" xfId="0" applyNumberFormat="1" applyFont="1" applyFill="1" applyBorder="1" applyAlignment="1">
      <x:alignment wrapText="1"/>
    </x:xf>
    <x:xf numFmtId="0" fontId="0" fillId="0" borderId="11" xfId="0" applyNumberFormat="1" applyFont="1" applyFill="1" applyBorder="1"/>
    <x:xf numFmtId="215" fontId="0" fillId="0" borderId="11" xfId="0" applyNumberFormat="1" applyFont="1" applyFill="1" applyBorder="1"/>
    <x:xf numFmtId="212" fontId="0" fillId="0" borderId="11" xfId="0" applyNumberFormat="1" applyFont="1" applyFill="1" applyBorder="1"/>
    <x:xf numFmtId="0" fontId="0" fillId="18" borderId="0" xfId="0" applyNumberFormat="1" applyFont="1" applyFill="1" applyBorder="1"/>
    <x:xf numFmtId="0" fontId="17" fillId="18" borderId="0" xfId="0" applyNumberFormat="1" applyFont="1" applyFill="1" applyBorder="1"/>
    <x:xf numFmtId="0" fontId="17" fillId="18" borderId="0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/>
    <x:xf numFmtId="0" fontId="19" fillId="0" borderId="0" xfId="0" applyNumberFormat="1" applyFont="1" applyFill="1" applyBorder="1"/>
    <x:xf numFmtId="204" fontId="19" fillId="0" borderId="0" xfId="0" applyNumberFormat="1" applyFont="1" applyFill="1" applyBorder="1"/>
    <x:xf numFmtId="0" fontId="0" fillId="19" borderId="0" xfId="0" applyNumberFormat="1" applyFont="1" applyFill="1" applyBorder="1"/>
    <x:xf numFmtId="0" fontId="20" fillId="19" borderId="0" xfId="0" applyNumberFormat="1" applyFont="1" applyFill="1" applyBorder="1"/>
    <x:xf numFmtId="0" fontId="20" fillId="19" borderId="13" xfId="0" applyNumberFormat="1" applyFont="1" applyFill="1" applyBorder="1"/>
    <x:xf numFmtId="0" fontId="20" fillId="19" borderId="13" xfId="0" applyNumberFormat="1" applyFont="1" applyFill="1" applyBorder="1" applyAlignment="1">
      <x:alignment horizontal="center"/>
    </x:xf>
    <x:xf numFmtId="0" fontId="20" fillId="19" borderId="13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/>
    <x:xf numFmtId="0" fontId="21" fillId="0" borderId="14" xfId="0" applyNumberFormat="1" applyFont="1" applyFill="1" applyBorder="1"/>
    <x:xf numFmtId="0" fontId="21" fillId="0" borderId="15" xfId="0" applyNumberFormat="1" applyFont="1" applyFill="1" applyBorder="1"/>
    <x:xf numFmtId="0" fontId="21" fillId="0" borderId="16" xfId="0" applyNumberFormat="1" applyFont="1" applyFill="1" applyBorder="1"/>
    <x:xf numFmtId="0" fontId="21" fillId="0" borderId="14" xfId="0" applyNumberFormat="1" applyFont="1" applyFill="1" applyBorder="1" applyAlignment="1">
      <x:alignment vertical="center"/>
    </x:xf>
    <x:xf numFmtId="0" fontId="21" fillId="0" borderId="15" xfId="0" applyNumberFormat="1" applyFont="1" applyFill="1" applyBorder="1" applyAlignment="1">
      <x:alignment vertical="center"/>
    </x:xf>
    <x:xf numFmtId="0" fontId="21" fillId="0" borderId="16" xfId="0" applyNumberFormat="1" applyFont="1" applyFill="1" applyBorder="1" applyAlignment="1">
      <x:alignment vertical="center"/>
    </x:xf>
    <x:xf numFmtId="0" fontId="19" fillId="0" borderId="14" xfId="0" applyNumberFormat="1" applyFont="1" applyFill="1" applyBorder="1" applyAlignment="1">
      <x:alignment vertical="center"/>
    </x:xf>
    <x:xf numFmtId="0" fontId="19" fillId="0" borderId="15" xfId="0" applyNumberFormat="1" applyFont="1" applyFill="1" applyBorder="1" applyAlignment="1">
      <x:alignment vertical="center"/>
    </x:xf>
    <x:xf numFmtId="0" fontId="19" fillId="0" borderId="16" xfId="0" applyNumberFormat="1" applyFont="1" applyFill="1" applyBorder="1" applyAlignment="1">
      <x:alignment vertical="center"/>
    </x:xf>
    <x:xf numFmtId="0" fontId="22" fillId="0" borderId="14" xfId="0" applyNumberFormat="1" applyFont="1" applyFill="1" applyBorder="1" applyAlignment="1">
      <x:alignment vertical="center"/>
    </x:xf>
    <x:xf numFmtId="0" fontId="22" fillId="0" borderId="15" xfId="0" applyNumberFormat="1" applyFont="1" applyFill="1" applyBorder="1" applyAlignment="1">
      <x:alignment vertical="center"/>
    </x:xf>
    <x:xf numFmtId="0" fontId="22" fillId="0" borderId="16" xfId="0" applyNumberFormat="1" applyFont="1" applyFill="1" applyBorder="1" applyAlignment="1">
      <x:alignment vertical="center"/>
    </x:xf>
    <x:xf numFmtId="210" fontId="19" fillId="0" borderId="14" xfId="0" applyNumberFormat="1" applyFont="1" applyFill="1" applyBorder="1" applyAlignment="1">
      <x:alignment vertical="center"/>
    </x:xf>
    <x:xf numFmtId="210" fontId="19" fillId="0" borderId="15" xfId="0" applyNumberFormat="1" applyFont="1" applyFill="1" applyBorder="1" applyAlignment="1">
      <x:alignment vertical="center"/>
    </x:xf>
    <x:xf numFmtId="210" fontId="19" fillId="0" borderId="16" xfId="0" applyNumberFormat="1" applyFont="1" applyFill="1" applyBorder="1" applyAlignment="1">
      <x:alignment vertical="center"/>
    </x:xf>
    <x:xf numFmtId="213" fontId="19" fillId="0" borderId="14" xfId="0" applyNumberFormat="1" applyFont="1" applyFill="1" applyBorder="1" applyAlignment="1">
      <x:alignment vertical="center"/>
    </x:xf>
    <x:xf numFmtId="213" fontId="21" fillId="0" borderId="14" xfId="0" applyNumberFormat="1" applyFont="1" applyFill="1" applyBorder="1" applyAlignment="1">
      <x:alignment vertical="center"/>
    </x:xf>
    <x:xf numFmtId="213" fontId="19" fillId="0" borderId="15" xfId="0" applyNumberFormat="1" applyFont="1" applyFill="1" applyBorder="1" applyAlignment="1">
      <x:alignment vertical="center"/>
    </x:xf>
    <x:xf numFmtId="213" fontId="21" fillId="0" borderId="15" xfId="0" applyNumberFormat="1" applyFont="1" applyFill="1" applyBorder="1" applyAlignment="1">
      <x:alignment vertical="center"/>
    </x:xf>
    <x:xf numFmtId="213" fontId="19" fillId="0" borderId="16" xfId="0" applyNumberFormat="1" applyFont="1" applyFill="1" applyBorder="1" applyAlignment="1">
      <x:alignment vertical="center"/>
    </x:xf>
    <x:xf numFmtId="213" fontId="21" fillId="0" borderId="16" xfId="0" applyNumberFormat="1" applyFont="1" applyFill="1" applyBorder="1" applyAlignment="1">
      <x:alignment vertical="center"/>
    </x:xf>
    <x:xf numFmtId="216" fontId="21" fillId="0" borderId="14" xfId="0" applyNumberFormat="1" applyFont="1" applyFill="1" applyBorder="1" applyAlignment="1">
      <x:alignment vertical="center"/>
    </x:xf>
    <x:xf numFmtId="216" fontId="21" fillId="0" borderId="15" xfId="0" applyNumberFormat="1" applyFont="1" applyFill="1" applyBorder="1" applyAlignment="1">
      <x:alignment vertical="center"/>
    </x:xf>
    <x:xf numFmtId="216" fontId="21" fillId="0" borderId="16" xfId="0" applyNumberFormat="1" applyFont="1" applyFill="1" applyBorder="1" applyAlignment="1">
      <x:alignment vertical="center"/>
    </x:xf>
    <x:xf numFmtId="212" fontId="21" fillId="0" borderId="14" xfId="0" applyNumberFormat="1" applyFont="1" applyFill="1" applyBorder="1" applyAlignment="1">
      <x:alignment vertical="center"/>
    </x:xf>
    <x:xf numFmtId="212" fontId="21" fillId="0" borderId="15" xfId="0" applyNumberFormat="1" applyFont="1" applyFill="1" applyBorder="1" applyAlignment="1">
      <x:alignment vertical="center"/>
    </x:xf>
    <x:xf numFmtId="212" fontId="21" fillId="0" borderId="16" xfId="0" applyNumberFormat="1" applyFont="1" applyFill="1" applyBorder="1" applyAlignment="1">
      <x:alignment vertical="center"/>
    </x:xf>
    <x:xf numFmtId="210" fontId="19" fillId="0" borderId="14" xfId="0" applyNumberFormat="1" applyFont="1" applyFill="1" applyBorder="1" applyAlignment="1">
      <x:alignment horizontal="right" vertical="center"/>
    </x:xf>
    <x:xf numFmtId="213" fontId="19" fillId="0" borderId="14" xfId="0" applyNumberFormat="1" applyFont="1" applyFill="1" applyBorder="1" applyAlignment="1">
      <x:alignment horizontal="right" vertical="center"/>
    </x:xf>
    <x:xf numFmtId="216" fontId="21" fillId="0" borderId="14" xfId="0" applyNumberFormat="1" applyFont="1" applyFill="1" applyBorder="1" applyAlignment="1">
      <x:alignment horizontal="right" vertical="center"/>
    </x:xf>
    <x:xf numFmtId="213" fontId="21" fillId="0" borderId="14" xfId="0" applyNumberFormat="1" applyFont="1" applyFill="1" applyBorder="1" applyAlignment="1">
      <x:alignment horizontal="right" vertical="center"/>
    </x:xf>
    <x:xf numFmtId="212" fontId="21" fillId="0" borderId="14" xfId="0" applyNumberFormat="1" applyFont="1" applyFill="1" applyBorder="1" applyAlignment="1">
      <x:alignment horizontal="right" vertical="center"/>
    </x:xf>
    <x:xf numFmtId="210" fontId="19" fillId="0" borderId="15" xfId="0" applyNumberFormat="1" applyFont="1" applyFill="1" applyBorder="1" applyAlignment="1">
      <x:alignment horizontal="right" vertical="center"/>
    </x:xf>
    <x:xf numFmtId="213" fontId="19" fillId="0" borderId="15" xfId="0" applyNumberFormat="1" applyFont="1" applyFill="1" applyBorder="1" applyAlignment="1">
      <x:alignment horizontal="right" vertical="center"/>
    </x:xf>
    <x:xf numFmtId="216" fontId="21" fillId="0" borderId="15" xfId="0" applyNumberFormat="1" applyFont="1" applyFill="1" applyBorder="1" applyAlignment="1">
      <x:alignment horizontal="right" vertical="center"/>
    </x:xf>
    <x:xf numFmtId="213" fontId="21" fillId="0" borderId="15" xfId="0" applyNumberFormat="1" applyFont="1" applyFill="1" applyBorder="1" applyAlignment="1">
      <x:alignment horizontal="right" vertical="center"/>
    </x:xf>
    <x:xf numFmtId="212" fontId="21" fillId="0" borderId="15" xfId="0" applyNumberFormat="1" applyFont="1" applyFill="1" applyBorder="1" applyAlignment="1">
      <x:alignment horizontal="right" vertical="center"/>
    </x:xf>
    <x:xf numFmtId="210" fontId="19" fillId="0" borderId="16" xfId="0" applyNumberFormat="1" applyFont="1" applyFill="1" applyBorder="1" applyAlignment="1">
      <x:alignment horizontal="right" vertical="center"/>
    </x:xf>
    <x:xf numFmtId="213" fontId="19" fillId="0" borderId="16" xfId="0" applyNumberFormat="1" applyFont="1" applyFill="1" applyBorder="1" applyAlignment="1">
      <x:alignment horizontal="right" vertical="center"/>
    </x:xf>
    <x:xf numFmtId="216" fontId="21" fillId="0" borderId="16" xfId="0" applyNumberFormat="1" applyFont="1" applyFill="1" applyBorder="1" applyAlignment="1">
      <x:alignment horizontal="right" vertical="center"/>
    </x:xf>
    <x:xf numFmtId="213" fontId="21" fillId="0" borderId="16" xfId="0" applyNumberFormat="1" applyFont="1" applyFill="1" applyBorder="1" applyAlignment="1">
      <x:alignment horizontal="right" vertical="center"/>
    </x:xf>
    <x:xf numFmtId="212" fontId="21" fillId="0" borderId="16" xfId="0" applyNumberFormat="1" applyFont="1" applyFill="1" applyBorder="1" applyAlignment="1">
      <x:alignment horizontal="right" vertical="center"/>
    </x:xf>
    <x:xf numFmtId="0" fontId="19" fillId="0" borderId="14" xfId="0" applyNumberFormat="1" applyFont="1" applyFill="1" applyBorder="1" applyAlignment="1">
      <x:alignment horizontal="left" vertical="center"/>
    </x:xf>
    <x:xf numFmtId="0" fontId="19" fillId="0" borderId="15" xfId="0" applyNumberFormat="1" applyFont="1" applyFill="1" applyBorder="1" applyAlignment="1">
      <x:alignment horizontal="left" vertical="center"/>
    </x:xf>
    <x:xf numFmtId="0" fontId="19" fillId="0" borderId="16" xfId="0" applyNumberFormat="1" applyFont="1" applyFill="1" applyBorder="1" applyAlignment="1">
      <x:alignment horizontal="left" vertical="center"/>
    </x:xf>
    <x:xf numFmtId="0" fontId="22" fillId="0" borderId="14" xfId="0" applyNumberFormat="1" applyFont="1" applyFill="1" applyBorder="1" applyAlignment="1">
      <x:alignment horizontal="center" vertical="center"/>
    </x:xf>
    <x:xf numFmtId="0" fontId="22" fillId="0" borderId="15" xfId="0" applyNumberFormat="1" applyFont="1" applyFill="1" applyBorder="1" applyAlignment="1">
      <x:alignment horizontal="center" vertical="center"/>
    </x:xf>
    <x:xf numFmtId="0" fontId="22" fillId="0" borderId="16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7" fillId="20" borderId="0" xfId="0" applyNumberFormat="1" applyFont="1" applyFill="1" applyBorder="1"/>
    <x:xf numFmtId="0" fontId="17" fillId="20" borderId="0" xfId="0" applyNumberFormat="1" applyFont="1" applyFill="1" applyBorder="1" applyAlignment="1">
      <x:alignment vertical="center"/>
    </x:xf>
    <x:xf numFmtId="214" fontId="19" fillId="0" borderId="0" xfId="0" applyNumberFormat="1" applyFont="1" applyFill="1" applyBorder="1"/>
    <x:xf numFmtId="0" fontId="0" fillId="21" borderId="0" xfId="0" applyNumberFormat="1" applyFont="1" applyFill="1" applyBorder="1"/>
    <x:xf numFmtId="0" fontId="20" fillId="21" borderId="0" xfId="0" applyNumberFormat="1" applyFont="1" applyFill="1" applyBorder="1"/>
    <x:xf numFmtId="0" fontId="20" fillId="21" borderId="13" xfId="0" applyNumberFormat="1" applyFont="1" applyFill="1" applyBorder="1"/>
    <x:xf numFmtId="0" fontId="20" fillId="21" borderId="13" xfId="0" applyNumberFormat="1" applyFont="1" applyFill="1" applyBorder="1" applyAlignment="1">
      <x:alignment horizontal="center"/>
    </x:xf>
    <x:xf numFmtId="0" fontId="20" fillId="21" borderId="13" xfId="0" applyNumberFormat="1" applyFont="1" applyFill="1" applyBorder="1" applyAlignment="1">
      <x:alignment horizontal="center" vertical="center"/>
    </x:xf>
    <x:xf numFmtId="214" fontId="19" fillId="0" borderId="14" xfId="0" applyNumberFormat="1" applyFont="1" applyFill="1" applyBorder="1" applyAlignment="1">
      <x:alignment vertical="center"/>
    </x:xf>
    <x:xf numFmtId="214" fontId="19" fillId="0" borderId="15" xfId="0" applyNumberFormat="1" applyFont="1" applyFill="1" applyBorder="1" applyAlignment="1">
      <x:alignment vertical="center"/>
    </x:xf>
    <x:xf numFmtId="214" fontId="19" fillId="0" borderId="16" xfId="0" applyNumberFormat="1" applyFont="1" applyFill="1" applyBorder="1" applyAlignment="1">
      <x:alignment vertical="center"/>
    </x:xf>
    <x:xf numFmtId="214" fontId="19" fillId="0" borderId="14" xfId="0" applyNumberFormat="1" applyFont="1" applyFill="1" applyBorder="1" applyAlignment="1">
      <x:alignment horizontal="left" vertical="center"/>
    </x:xf>
    <x:xf numFmtId="214" fontId="19" fillId="0" borderId="15" xfId="0" applyNumberFormat="1" applyFont="1" applyFill="1" applyBorder="1" applyAlignment="1">
      <x:alignment horizontal="left" vertical="center"/>
    </x:xf>
    <x:xf numFmtId="214" fontId="19" fillId="0" borderId="16" xfId="0" applyNumberFormat="1" applyFont="1" applyFill="1" applyBorder="1" applyAlignment="1">
      <x:alignment horizontal="left" vertical="center"/>
    </x:xf>
    <x:xf numFmtId="0" fontId="0" fillId="22" borderId="0" xfId="0" applyNumberFormat="1" applyFont="1" applyFill="1" applyBorder="1"/>
    <x:xf numFmtId="0" fontId="17" fillId="22" borderId="0" xfId="0" applyNumberFormat="1" applyFont="1" applyFill="1" applyBorder="1"/>
    <x:xf numFmtId="0" fontId="17" fillId="22" borderId="0" xfId="0" applyNumberFormat="1" applyFont="1" applyFill="1" applyBorder="1" applyAlignment="1">
      <x:alignment vertical="center"/>
    </x:xf>
    <x:xf numFmtId="0" fontId="0" fillId="23" borderId="0" xfId="0" applyNumberFormat="1" applyFont="1" applyFill="1" applyBorder="1"/>
    <x:xf numFmtId="0" fontId="20" fillId="23" borderId="0" xfId="0" applyNumberFormat="1" applyFont="1" applyFill="1" applyBorder="1"/>
    <x:xf numFmtId="0" fontId="20" fillId="23" borderId="13" xfId="0" applyNumberFormat="1" applyFont="1" applyFill="1" applyBorder="1"/>
    <x:xf numFmtId="0" fontId="20" fillId="23" borderId="13" xfId="0" applyNumberFormat="1" applyFont="1" applyFill="1" applyBorder="1" applyAlignment="1">
      <x:alignment horizontal="center"/>
    </x:xf>
    <x:xf numFmtId="0" fontId="20" fillId="23" borderId="13" xfId="0" applyNumberFormat="1" applyFont="1" applyFill="1" applyBorder="1" applyAlignment="1">
      <x:alignment horizontal="center" vertical="center"/>
    </x:xf>
    <x:xf numFmtId="0" fontId="0" fillId="24" borderId="0" xfId="0" applyNumberFormat="1" applyFont="1" applyFill="1" applyBorder="1"/>
    <x:xf numFmtId="0" fontId="17" fillId="24" borderId="0" xfId="0" applyNumberFormat="1" applyFont="1" applyFill="1" applyBorder="1"/>
    <x:xf numFmtId="0" fontId="17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20" fillId="25" borderId="0" xfId="0" applyNumberFormat="1" applyFont="1" applyFill="1" applyBorder="1"/>
    <x:xf numFmtId="0" fontId="20" fillId="25" borderId="13" xfId="0" applyNumberFormat="1" applyFont="1" applyFill="1" applyBorder="1"/>
    <x:xf numFmtId="0" fontId="20" fillId="25" borderId="13" xfId="0" applyNumberFormat="1" applyFont="1" applyFill="1" applyBorder="1" applyAlignment="1">
      <x:alignment horizontal="center"/>
    </x:xf>
    <x:xf numFmtId="0" fontId="20" fillId="25" borderId="13" xfId="0" applyNumberFormat="1" applyFont="1" applyFill="1" applyBorder="1" applyAlignment="1">
      <x:alignment horizontal="center" vertical="center"/>
    </x:xf>
    <x:xf numFmtId="0" fontId="0" fillId="26" borderId="0" xfId="0" applyNumberFormat="1" applyFont="1" applyFill="1" applyBorder="1"/>
    <x:xf numFmtId="0" fontId="17" fillId="26" borderId="0" xfId="0" applyNumberFormat="1" applyFont="1" applyFill="1" applyBorder="1"/>
    <x:xf numFmtId="0" fontId="17" fillId="26" borderId="0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/>
    <x:xf numFmtId="214" fontId="23" fillId="0" borderId="0" xfId="0" applyNumberFormat="1" applyFont="1" applyFill="1" applyBorder="1"/>
    <x:xf numFmtId="0" fontId="0" fillId="27" borderId="0" xfId="0" applyNumberFormat="1" applyFont="1" applyFill="1" applyBorder="1"/>
    <x:xf numFmtId="0" fontId="20" fillId="27" borderId="0" xfId="0" applyNumberFormat="1" applyFont="1" applyFill="1" applyBorder="1"/>
    <x:xf numFmtId="0" fontId="20" fillId="27" borderId="13" xfId="0" applyNumberFormat="1" applyFont="1" applyFill="1" applyBorder="1"/>
    <x:xf numFmtId="0" fontId="20" fillId="27" borderId="13" xfId="0" applyNumberFormat="1" applyFont="1" applyFill="1" applyBorder="1" applyAlignment="1">
      <x:alignment horizontal="center"/>
    </x:xf>
    <x:xf numFmtId="0" fontId="20" fillId="27" borderId="13" xfId="0" applyNumberFormat="1" applyFont="1" applyFill="1" applyBorder="1" applyAlignment="1">
      <x:alignment horizontal="center"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0" fontId="20" fillId="28" borderId="13" xfId="0" applyNumberFormat="1" applyFont="1" applyFill="1" applyBorder="1"/>
    <x:xf numFmtId="0" fontId="20" fillId="28" borderId="13" xfId="0" applyNumberFormat="1" applyFont="1" applyFill="1" applyBorder="1" applyAlignment="1">
      <x:alignment horizontal="center"/>
    </x:xf>
    <x:xf numFmtId="0" fontId="20" fillId="28" borderId="13" xfId="0" applyNumberFormat="1" applyFont="1" applyFill="1" applyBorder="1" applyAlignment="1">
      <x:alignment horizontal="center" vertical="center"/>
    </x:xf>
    <x:xf numFmtId="202" fontId="21" fillId="0" borderId="14" xfId="0" applyNumberFormat="1" applyFont="1" applyFill="1" applyBorder="1" applyAlignment="1">
      <x:alignment vertical="center"/>
    </x:xf>
    <x:xf numFmtId="202" fontId="21" fillId="0" borderId="15" xfId="0" applyNumberFormat="1" applyFont="1" applyFill="1" applyBorder="1" applyAlignment="1">
      <x:alignment vertical="center"/>
    </x:xf>
    <x:xf numFmtId="202" fontId="21" fillId="0" borderId="16" xfId="0" applyNumberFormat="1" applyFont="1" applyFill="1" applyBorder="1" applyAlignment="1">
      <x:alignment vertical="center"/>
    </x:xf>
    <x:xf numFmtId="202" fontId="21" fillId="0" borderId="14" xfId="0" applyNumberFormat="1" applyFont="1" applyFill="1" applyBorder="1" applyAlignment="1">
      <x:alignment horizontal="right" vertical="center"/>
    </x:xf>
    <x:xf numFmtId="202" fontId="21" fillId="0" borderId="15" xfId="0" applyNumberFormat="1" applyFont="1" applyFill="1" applyBorder="1" applyAlignment="1">
      <x:alignment horizontal="right" vertical="center"/>
    </x:xf>
    <x:xf numFmtId="202" fontId="21" fillId="0" borderId="16" xfId="0" applyNumberFormat="1" applyFont="1" applyFill="1" applyBorder="1" applyAlignment="1">
      <x:alignment horizontal="right" vertical="center"/>
    </x:xf>
    <x:xf numFmtId="0" fontId="24" fillId="0" borderId="14" xfId="0" applyNumberFormat="1" applyFont="1" applyFill="1" applyBorder="1" applyAlignment="1">
      <x:alignment vertical="center"/>
    </x:xf>
    <x:xf numFmtId="0" fontId="24" fillId="0" borderId="15" xfId="0" applyNumberFormat="1" applyFont="1" applyFill="1" applyBorder="1" applyAlignment="1">
      <x:alignment vertical="center"/>
    </x:xf>
    <x:xf numFmtId="0" fontId="24" fillId="0" borderId="16" xfId="0" applyNumberFormat="1" applyFont="1" applyFill="1" applyBorder="1" applyAlignment="1">
      <x:alignment vertical="center"/>
    </x:xf>
    <x:xf numFmtId="0" fontId="24" fillId="0" borderId="14" xfId="0" applyNumberFormat="1" applyFont="1" applyFill="1" applyBorder="1" applyAlignment="1">
      <x:alignment vertical="center" wrapText="1"/>
    </x:xf>
    <x:xf numFmtId="0" fontId="24" fillId="0" borderId="15" xfId="0" applyNumberFormat="1" applyFont="1" applyFill="1" applyBorder="1" applyAlignment="1">
      <x:alignment vertical="center" wrapText="1"/>
    </x:xf>
    <x:xf numFmtId="0" fontId="24" fillId="0" borderId="16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0"/>
    </x:xf>
    <x:xf numFmtId="207" fontId="2" fillId="6" borderId="5" xfId="0" applyNumberFormat="1" applyFont="1" applyFill="1" applyBorder="1" applyAlignment="1">
      <x:alignment vertical="center" wrapText="0"/>
    </x:xf>
    <x:xf numFmtId="207" fontId="0" fillId="0" borderId="3" xfId="0" applyNumberFormat="1" applyFont="1" applyFill="1" applyBorder="1" applyAlignment="1">
      <x:alignment vertical="center" wrapText="0"/>
    </x:xf>
    <x:xf numFmtId="206" fontId="2" fillId="3" borderId="1" xfId="0" applyNumberFormat="1" applyFont="1" applyFill="1" applyBorder="1" applyAlignment="1">
      <x:alignment horizontal="center" vertical="center" wrapText="0"/>
    </x:xf>
    <x:xf numFmtId="206" fontId="2" fillId="6" borderId="5" xfId="0" applyNumberFormat="1" applyFont="1" applyFill="1" applyBorder="1" applyAlignment="1">
      <x:alignment vertical="center" wrapText="0"/>
    </x:xf>
    <x:xf numFmtId="206" fontId="0" fillId="0" borderId="3" xfId="0" applyNumberFormat="1" applyFont="1" applyFill="1" applyBorder="1" applyAlignment="1">
      <x:alignment vertical="center" wrapText="0"/>
    </x:xf>
    <x:xf numFmtId="207" fontId="2" fillId="3" borderId="1" xfId="0" applyNumberFormat="1" applyFont="1" applyFill="1" applyBorder="1" applyAlignment="1">
      <x:alignment horizontal="center" vertical="center" wrapText="0"/>
    </x:xf>
    <x:xf numFmtId="207" fontId="4" fillId="4" borderId="4" xfId="0" applyNumberFormat="1" applyFont="1" applyFill="1" applyBorder="1" applyAlignment="1">
      <x:alignment vertical="center" wrapText="0"/>
    </x:xf>
    <x:xf numFmtId="206" fontId="4" fillId="4" borderId="4" xfId="0" applyNumberFormat="1" applyFont="1" applyFill="1" applyBorder="1" applyAlignment="1">
      <x:alignment vertical="center" wrapText="0"/>
    </x:xf>
    <x:xf numFmtId="0" fontId="11" fillId="9" borderId="10" xfId="0" applyNumberFormat="1" applyFont="1" applyFill="1" applyBorder="1" applyAlignment="1">
      <x:alignment horizontal="center" vertical="center" wrapText="0"/>
    </x:xf>
    <x:xf numFmtId="201" fontId="0" fillId="0" borderId="0" xfId="0" applyNumberFormat="1" applyFont="1" applyFill="1" applyBorder="1" applyAlignment="1">
      <x:alignment wrapText="0"/>
    </x:xf>
    <x:xf numFmtId="201" fontId="13" fillId="13" borderId="0" xfId="0" applyNumberFormat="1" applyFont="1" applyFill="1" applyBorder="1" applyAlignment="1">
      <x:alignment wrapText="0"/>
    </x:xf>
    <x:xf numFmtId="206" fontId="11" fillId="9" borderId="10" xfId="0" applyNumberFormat="1" applyFont="1" applyFill="1" applyBorder="1" applyAlignment="1">
      <x:alignment horizontal="center" vertical="center" wrapText="0"/>
    </x:xf>
    <x:xf numFmtId="206" fontId="0" fillId="0" borderId="0" xfId="0" applyNumberFormat="1" applyFont="1" applyFill="1" applyBorder="1" applyAlignment="1">
      <x:alignment wrapText="0"/>
    </x:xf>
    <x:xf numFmtId="206" fontId="13" fillId="13" borderId="0" xfId="0" applyNumberFormat="1" applyFont="1" applyFill="1" applyBorder="1" applyAlignment="1">
      <x:alignment wrapText="0"/>
    </x:xf>
    <x:xf numFmtId="201" fontId="11" fillId="9" borderId="10" xfId="0" applyNumberFormat="1" applyFont="1" applyFill="1" applyBorder="1" applyAlignment="1">
      <x:alignment horizontal="center" vertical="center" wrapText="0"/>
    </x:xf>
    <x:xf numFmtId="201" fontId="12" fillId="16" borderId="11" xfId="0" applyNumberFormat="1" applyFont="1" applyFill="1" applyBorder="1" applyAlignment="1">
      <x:alignment wrapText="0"/>
    </x:xf>
    <x:xf numFmtId="206" fontId="12" fillId="16" borderId="11" xfId="0" applyNumberFormat="1" applyFont="1" applyFill="1" applyBorder="1" applyAlignment="1">
      <x:alignment wrapText="0"/>
    </x:xf>
    <x:xf numFmtId="201" fontId="14" fillId="15" borderId="0" xfId="0" applyNumberFormat="1" applyFont="1" applyFill="1" applyBorder="1" applyAlignment="1">
      <x:alignment wrapText="0"/>
    </x:xf>
    <x:xf numFmtId="206" fontId="14" fillId="15" borderId="0" xfId="0" applyNumberFormat="1" applyFont="1" applyFill="1" applyBorder="1" applyAlignment="1">
      <x:alignment wrapText="0"/>
    </x:xf>
    <x:xf numFmtId="0" fontId="2" fillId="29" borderId="1" xfId="0" applyNumberFormat="1" applyFont="1" applyFill="1" applyBorder="1" applyAlignment="1">
      <x:alignment horizontal="center" vertical="center" wrapText="1"/>
    </x:xf>
    <x:xf numFmtId="0" fontId="25" fillId="29" borderId="1" xfId="0" applyNumberFormat="1" applyFont="1" applyFill="1" applyBorder="1" applyAlignment="1">
      <x:alignment horizontal="center" vertical="center" wrapText="1"/>
    </x:xf>
    <x:xf numFmtId="217" fontId="25" fillId="29" borderId="1" xfId="0" applyNumberFormat="1" applyFont="1" applyFill="1" applyBorder="1" applyAlignment="1">
      <x:alignment horizontal="center" vertical="center" wrapText="1"/>
    </x:xf>
    <x:xf numFmtId="206" fontId="2" fillId="29" borderId="1" xfId="0" applyNumberFormat="1" applyFont="1" applyFill="1" applyBorder="1" applyAlignment="1">
      <x:alignment horizontal="center" vertical="center" wrapText="0"/>
    </x:xf>
    <x:xf numFmtId="206" fontId="25" fillId="29" borderId="1" xfId="0" applyNumberFormat="1" applyFont="1" applyFill="1" applyBorder="1" applyAlignment="1">
      <x:alignment horizontal="center" vertical="center" wrapText="0"/>
    </x:xf>
    <x:xf numFmtId="217" fontId="25" fillId="29" borderId="1" xfId="0" applyNumberFormat="1" applyFont="1" applyFill="1" applyBorder="1" applyAlignment="1">
      <x:alignment horizontal="center" vertical="center" wrapText="0"/>
    </x:xf>
    <x:xf numFmtId="0" fontId="5" fillId="29" borderId="6" xfId="0" applyNumberFormat="1" applyFont="1" applyFill="1" applyBorder="1" applyAlignment="1">
      <x:alignment horizontal="center" vertical="center" wrapText="1"/>
    </x:xf>
    <x:xf numFmtId="0" fontId="25" fillId="29" borderId="6" xfId="0" applyNumberFormat="1" applyFont="1" applyFill="1" applyBorder="1" applyAlignment="1">
      <x:alignment horizontal="center" vertical="center" wrapText="1"/>
    </x:xf>
    <x:xf numFmtId="217" fontId="25" fillId="29" borderId="6" xfId="0" applyNumberFormat="1" applyFont="1" applyFill="1" applyBorder="1" applyAlignment="1">
      <x:alignment horizontal="center" vertical="center" wrapText="1"/>
    </x:xf>
    <x:xf numFmtId="0" fontId="0" fillId="30" borderId="0" xfId="0" applyNumberFormat="1" applyFont="1" applyFill="1" applyBorder="1"/>
    <x:xf numFmtId="0" fontId="26" fillId="30" borderId="0" xfId="0" applyNumberFormat="1" applyFont="1" applyFill="1" applyBorder="1"/>
    <x:xf numFmtId="217" fontId="26" fillId="30" borderId="0" xfId="0" applyNumberFormat="1" applyFont="1" applyFill="1" applyBorder="1"/>
    <x:xf numFmtId="217" fontId="26" fillId="30" borderId="0" xfId="0" applyNumberFormat="1" applyFont="1" applyFill="1" applyBorder="1" applyAlignment="1">
      <x:alignment wrapText="1"/>
    </x:xf>
    <x:xf numFmtId="217" fontId="26" fillId="30" borderId="0" xfId="0" applyNumberFormat="1" applyFont="1" applyFill="1" applyBorder="1" applyAlignment="1">
      <x:alignment horizontal="center" wrapText="1"/>
    </x:xf>
    <x:xf numFmtId="217" fontId="26" fillId="30" borderId="0" xfId="0" applyNumberFormat="1" applyFont="1" applyFill="1" applyBorder="1" applyAlignment="1">
      <x:alignment horizontal="center" vertical="center" wrapText="1"/>
    </x:xf>
    <x:xf numFmtId="217" fontId="26" fillId="30" borderId="6" xfId="0" applyNumberFormat="1" applyFont="1" applyFill="1" applyBorder="1" applyAlignment="1">
      <x:alignment horizontal="center" vertical="center" wrapText="1"/>
    </x:xf>
    <x:xf numFmtId="206" fontId="2" fillId="31" borderId="5" xfId="0" applyNumberFormat="1" applyFont="1" applyFill="1" applyBorder="1" applyAlignment="1">
      <x:alignment vertical="center"/>
    </x:xf>
    <x:xf numFmtId="206" fontId="25" fillId="31" borderId="5" xfId="0" applyNumberFormat="1" applyFont="1" applyFill="1" applyBorder="1" applyAlignment="1">
      <x:alignment vertical="center"/>
    </x:xf>
    <x:xf numFmtId="206" fontId="25" fillId="31" borderId="5" xfId="0" applyNumberFormat="1" applyFont="1" applyFill="1" applyBorder="1" applyAlignment="1">
      <x:alignment vertical="center" wrapText="0"/>
    </x:xf>
    <x:xf numFmtId="206" fontId="25" fillId="31" borderId="5" xfId="0" applyNumberFormat="1" applyFont="1" applyFill="1" applyBorder="1" applyAlignment="1">
      <x:alignment horizontal="right" vertical="center" wrapText="0"/>
    </x:xf>
    <x:xf numFmtId="206" fontId="2" fillId="31" borderId="5" xfId="0" applyNumberFormat="1" applyFont="1" applyFill="1" applyBorder="1" applyAlignment="1">
      <x:alignment vertical="center" wrapText="0"/>
    </x:xf>
    <x:xf numFmtId="207" fontId="2" fillId="31" borderId="5" xfId="0" applyNumberFormat="1" applyFont="1" applyFill="1" applyBorder="1" applyAlignment="1">
      <x:alignment vertical="center"/>
    </x:xf>
    <x:xf numFmtId="207" fontId="25" fillId="31" borderId="5" xfId="0" applyNumberFormat="1" applyFont="1" applyFill="1" applyBorder="1" applyAlignment="1">
      <x:alignment vertical="center"/>
    </x:xf>
    <x:xf numFmtId="207" fontId="25" fillId="31" borderId="5" xfId="0" applyNumberFormat="1" applyFont="1" applyFill="1" applyBorder="1" applyAlignment="1">
      <x:alignment vertical="center" wrapText="0"/>
    </x:xf>
    <x:xf numFmtId="207" fontId="25" fillId="31" borderId="5" xfId="0" applyNumberFormat="1" applyFont="1" applyFill="1" applyBorder="1" applyAlignment="1">
      <x:alignment horizontal="right" vertical="center" wrapText="0"/>
    </x:xf>
    <x:xf numFmtId="0" fontId="2" fillId="31" borderId="5" xfId="0" applyNumberFormat="1" applyFont="1" applyFill="1" applyBorder="1" applyAlignment="1">
      <x:alignment vertical="center"/>
    </x:xf>
    <x:xf numFmtId="0" fontId="25" fillId="31" borderId="5" xfId="0" applyNumberFormat="1" applyFont="1" applyFill="1" applyBorder="1" applyAlignment="1">
      <x:alignment vertical="center"/>
    </x:xf>
    <x:xf numFmtId="217" fontId="25" fillId="31" borderId="5" xfId="0" applyNumberFormat="1" applyFont="1" applyFill="1" applyBorder="1" applyAlignment="1">
      <x:alignment vertical="center"/>
    </x:xf>
    <x:xf numFmtId="217" fontId="25" fillId="31" borderId="5" xfId="0" applyNumberFormat="1" applyFont="1" applyFill="1" applyBorder="1" applyAlignment="1">
      <x:alignment vertical="center" wrapText="0"/>
    </x:xf>
    <x:xf numFmtId="217" fontId="25" fillId="31" borderId="5" xfId="0" applyNumberFormat="1" applyFont="1" applyFill="1" applyBorder="1" applyAlignment="1">
      <x:alignment horizontal="right" vertical="center" wrapText="0"/>
    </x:xf>
    <x:xf numFmtId="0" fontId="6" fillId="31" borderId="7" xfId="0" applyNumberFormat="1" applyFont="1" applyFill="1" applyBorder="1" applyAlignment="1">
      <x:alignment vertical="center"/>
    </x:xf>
    <x:xf numFmtId="0" fontId="25" fillId="31" borderId="7" xfId="0" applyNumberFormat="1" applyFont="1" applyFill="1" applyBorder="1" applyAlignment="1">
      <x:alignment vertical="center"/>
    </x:xf>
    <x:xf numFmtId="217" fontId="25" fillId="31" borderId="7" xfId="0" applyNumberFormat="1" applyFont="1" applyFill="1" applyBorder="1" applyAlignment="1">
      <x:alignment vertical="center"/>
    </x:xf>
    <x:xf numFmtId="217" fontId="25" fillId="31" borderId="7" xfId="0" applyNumberFormat="1" applyFont="1" applyFill="1" applyBorder="1" applyAlignment="1">
      <x:alignment vertical="center" wrapText="0"/>
    </x:xf>
    <x:xf numFmtId="217" fontId="25" fillId="31" borderId="7" xfId="0" applyNumberFormat="1" applyFont="1" applyFill="1" applyBorder="1" applyAlignment="1">
      <x:alignment horizontal="right" vertical="center" wrapText="0"/>
    </x:xf>
    <x:xf numFmtId="0" fontId="0" fillId="32" borderId="0" xfId="0" applyNumberFormat="1" applyFont="1" applyFill="1" applyBorder="1"/>
    <x:xf numFmtId="0" fontId="27" fillId="32" borderId="0" xfId="0" applyNumberFormat="1" applyFont="1" applyFill="1" applyBorder="1"/>
    <x:xf numFmtId="217" fontId="27" fillId="32" borderId="0" xfId="0" applyNumberFormat="1" applyFont="1" applyFill="1" applyBorder="1"/>
    <x:xf numFmtId="217" fontId="27" fillId="32" borderId="0" xfId="0" applyNumberFormat="1" applyFont="1" applyFill="1" applyBorder="1" applyAlignment="1">
      <x:alignment wrapText="0"/>
    </x:xf>
    <x:xf numFmtId="217" fontId="27" fillId="32" borderId="0" xfId="0" applyNumberFormat="1" applyFont="1" applyFill="1" applyBorder="1" applyAlignment="1">
      <x:alignment horizontal="right" wrapText="0"/>
    </x:xf>
    <x:xf numFmtId="217" fontId="27" fillId="32" borderId="0" xfId="0" applyNumberFormat="1" applyFont="1" applyFill="1" applyBorder="1" applyAlignment="1">
      <x:alignment horizontal="right" vertical="center" wrapText="0"/>
    </x:xf>
    <x:xf numFmtId="217" fontId="27" fillId="32" borderId="7" xfId="0" applyNumberFormat="1" applyFont="1" applyFill="1" applyBorder="1" applyAlignment="1">
      <x:alignment horizontal="right" vertical="center" wrapText="0"/>
    </x:xf>
    <x:xf numFmtId="206" fontId="0" fillId="33" borderId="3" xfId="0" applyNumberFormat="1" applyFont="1" applyFill="1" applyBorder="1" applyAlignment="1">
      <x:alignment vertical="center"/>
    </x:xf>
    <x:xf numFmtId="206" fontId="28" fillId="33" borderId="3" xfId="0" applyNumberFormat="1" applyFont="1" applyFill="1" applyBorder="1" applyAlignment="1">
      <x:alignment vertical="center"/>
    </x:xf>
    <x:xf numFmtId="206" fontId="28" fillId="33" borderId="3" xfId="0" applyNumberFormat="1" applyFont="1" applyFill="1" applyBorder="1" applyAlignment="1">
      <x:alignment vertical="center" wrapText="0"/>
    </x:xf>
    <x:xf numFmtId="206" fontId="28" fillId="33" borderId="3" xfId="0" applyNumberFormat="1" applyFont="1" applyFill="1" applyBorder="1" applyAlignment="1">
      <x:alignment horizontal="right" vertical="center" wrapText="0"/>
    </x:xf>
    <x:xf numFmtId="206" fontId="0" fillId="33" borderId="3" xfId="0" applyNumberFormat="1" applyFont="1" applyFill="1" applyBorder="1" applyAlignment="1">
      <x:alignment vertical="center" wrapText="0"/>
    </x:xf>
    <x:xf numFmtId="207" fontId="0" fillId="33" borderId="3" xfId="0" applyNumberFormat="1" applyFont="1" applyFill="1" applyBorder="1" applyAlignment="1">
      <x:alignment vertical="center"/>
    </x:xf>
    <x:xf numFmtId="207" fontId="28" fillId="33" borderId="3" xfId="0" applyNumberFormat="1" applyFont="1" applyFill="1" applyBorder="1" applyAlignment="1">
      <x:alignment vertical="center"/>
    </x:xf>
    <x:xf numFmtId="207" fontId="28" fillId="33" borderId="3" xfId="0" applyNumberFormat="1" applyFont="1" applyFill="1" applyBorder="1" applyAlignment="1">
      <x:alignment vertical="center" wrapText="0"/>
    </x:xf>
    <x:xf numFmtId="207" fontId="28" fillId="33" borderId="3" xfId="0" applyNumberFormat="1" applyFont="1" applyFill="1" applyBorder="1" applyAlignment="1">
      <x:alignment horizontal="right" vertical="center" wrapText="0"/>
    </x:xf>
    <x:xf numFmtId="0" fontId="0" fillId="33" borderId="3" xfId="0" applyNumberFormat="1" applyFont="1" applyFill="1" applyBorder="1" applyAlignment="1">
      <x:alignment vertical="center"/>
    </x:xf>
    <x:xf numFmtId="0" fontId="28" fillId="33" borderId="3" xfId="0" applyNumberFormat="1" applyFont="1" applyFill="1" applyBorder="1" applyAlignment="1">
      <x:alignment vertical="center"/>
    </x:xf>
    <x:xf numFmtId="217" fontId="28" fillId="33" borderId="3" xfId="0" applyNumberFormat="1" applyFont="1" applyFill="1" applyBorder="1" applyAlignment="1">
      <x:alignment vertical="center"/>
    </x:xf>
    <x:xf numFmtId="217" fontId="28" fillId="33" borderId="3" xfId="0" applyNumberFormat="1" applyFont="1" applyFill="1" applyBorder="1" applyAlignment="1">
      <x:alignment vertical="center" wrapText="0"/>
    </x:xf>
    <x:xf numFmtId="217" fontId="28" fillId="33" borderId="3" xfId="0" applyNumberFormat="1" applyFont="1" applyFill="1" applyBorder="1" applyAlignment="1">
      <x:alignment horizontal="right" vertical="center" wrapText="0"/>
    </x:xf>
    <x:xf numFmtId="0" fontId="6" fillId="33" borderId="7" xfId="0" applyNumberFormat="1" applyFont="1" applyFill="1" applyBorder="1" applyAlignment="1">
      <x:alignment vertical="center"/>
    </x:xf>
    <x:xf numFmtId="0" fontId="28" fillId="33" borderId="7" xfId="0" applyNumberFormat="1" applyFont="1" applyFill="1" applyBorder="1" applyAlignment="1">
      <x:alignment vertical="center"/>
    </x:xf>
    <x:xf numFmtId="217" fontId="28" fillId="33" borderId="7" xfId="0" applyNumberFormat="1" applyFont="1" applyFill="1" applyBorder="1" applyAlignment="1">
      <x:alignment vertical="center"/>
    </x:xf>
    <x:xf numFmtId="217" fontId="28" fillId="33" borderId="7" xfId="0" applyNumberFormat="1" applyFont="1" applyFill="1" applyBorder="1" applyAlignment="1">
      <x:alignment vertical="center" wrapText="0"/>
    </x:xf>
    <x:xf numFmtId="217" fontId="28" fillId="33" borderId="7" xfId="0" applyNumberFormat="1" applyFont="1" applyFill="1" applyBorder="1" applyAlignment="1">
      <x:alignment horizontal="right" vertical="center" wrapText="0"/>
    </x:xf>
    <x:xf numFmtId="206" fontId="2" fillId="29" borderId="1" xfId="0" applyNumberFormat="1" applyFont="1" applyFill="1" applyBorder="1" applyAlignment="1">
      <x:alignment horizontal="center" vertical="center" wrapText="1"/>
    </x:xf>
    <x:xf numFmtId="206" fontId="25" fillId="29" borderId="1" xfId="0" applyNumberFormat="1" applyFont="1" applyFill="1" applyBorder="1" applyAlignment="1">
      <x:alignment horizontal="center" vertical="center" wrapText="1"/>
    </x:xf>
    <x:xf numFmtId="207" fontId="2" fillId="29" borderId="1" xfId="0" applyNumberFormat="1" applyFont="1" applyFill="1" applyBorder="1" applyAlignment="1">
      <x:alignment horizontal="center" vertical="center" wrapText="1"/>
    </x:xf>
    <x:xf numFmtId="207" fontId="25" fillId="29" borderId="1" xfId="0" applyNumberFormat="1" applyFont="1" applyFill="1" applyBorder="1" applyAlignment="1">
      <x:alignment horizontal="center" vertical="center" wrapText="1"/>
    </x:xf>
    <x:xf numFmtId="0" fontId="0" fillId="29" borderId="0" xfId="0" applyNumberFormat="1" applyFont="1" applyFill="1" applyBorder="1"/>
    <x:xf numFmtId="0" fontId="25" fillId="29" borderId="0" xfId="0" applyNumberFormat="1" applyFont="1" applyFill="1" applyBorder="1"/>
    <x:xf numFmtId="217" fontId="25" fillId="29" borderId="0" xfId="0" applyNumberFormat="1" applyFont="1" applyFill="1" applyBorder="1"/>
    <x:xf numFmtId="217" fontId="25" fillId="29" borderId="0" xfId="0" applyNumberFormat="1" applyFont="1" applyFill="1" applyBorder="1" applyAlignment="1">
      <x:alignment wrapText="1"/>
    </x:xf>
    <x:xf numFmtId="217" fontId="25" fillId="29" borderId="0" xfId="0" applyNumberFormat="1" applyFont="1" applyFill="1" applyBorder="1" applyAlignment="1">
      <x:alignment horizontal="center" wrapText="1"/>
    </x:xf>
    <x:xf numFmtId="217" fontId="25" fillId="29" borderId="0" xfId="0" applyNumberFormat="1" applyFont="1" applyFill="1" applyBorder="1" applyAlignment="1">
      <x:alignment horizontal="center" vertical="center" wrapText="1"/>
    </x:xf>
    <x:xf numFmtId="203" fontId="0" fillId="33" borderId="3" xfId="0" applyNumberFormat="1" applyFont="1" applyFill="1" applyBorder="1" applyAlignment="1">
      <x:alignment vertical="center"/>
    </x:xf>
    <x:xf numFmtId="203" fontId="28" fillId="33" borderId="3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/>
    <x:xf numFmtId="0" fontId="28" fillId="33" borderId="0" xfId="0" applyNumberFormat="1" applyFont="1" applyFill="1" applyBorder="1"/>
    <x:xf numFmtId="203" fontId="28" fillId="33" borderId="0" xfId="0" applyNumberFormat="1" applyFont="1" applyFill="1" applyBorder="1"/>
    <x:xf numFmtId="203" fontId="28" fillId="33" borderId="0" xfId="0" applyNumberFormat="1" applyFont="1" applyFill="1" applyBorder="1" applyAlignment="1">
      <x:alignment wrapText="0"/>
    </x:xf>
    <x:xf numFmtId="203" fontId="28" fillId="33" borderId="0" xfId="0" applyNumberFormat="1" applyFont="1" applyFill="1" applyBorder="1" applyAlignment="1">
      <x:alignment horizontal="right" wrapText="0"/>
    </x:xf>
    <x:xf numFmtId="203" fontId="28" fillId="33" borderId="0" xfId="0" applyNumberFormat="1" applyFont="1" applyFill="1" applyBorder="1" applyAlignment="1">
      <x:alignment horizontal="right" vertical="center" wrapText="0"/>
    </x:xf>
    <x:xf numFmtId="203" fontId="28" fillId="33" borderId="3" xfId="0" applyNumberFormat="1" applyFont="1" applyFill="1" applyBorder="1" applyAlignment="1">
      <x:alignment horizontal="right" vertical="center" wrapText="0"/>
    </x:xf>
    <x:xf numFmtId="206" fontId="4" fillId="34" borderId="4" xfId="0" applyNumberFormat="1" applyFont="1" applyFill="1" applyBorder="1" applyAlignment="1">
      <x:alignment vertical="center"/>
    </x:xf>
    <x:xf numFmtId="206" fontId="29" fillId="34" borderId="4" xfId="0" applyNumberFormat="1" applyFont="1" applyFill="1" applyBorder="1" applyAlignment="1">
      <x:alignment vertical="center"/>
    </x:xf>
    <x:xf numFmtId="206" fontId="29" fillId="34" borderId="4" xfId="0" applyNumberFormat="1" applyFont="1" applyFill="1" applyBorder="1" applyAlignment="1">
      <x:alignment vertical="center" wrapText="0"/>
    </x:xf>
    <x:xf numFmtId="206" fontId="29" fillId="34" borderId="4" xfId="0" applyNumberFormat="1" applyFont="1" applyFill="1" applyBorder="1" applyAlignment="1">
      <x:alignment horizontal="right" vertical="center" wrapText="0"/>
    </x:xf>
    <x:xf numFmtId="206" fontId="4" fillId="34" borderId="4" xfId="0" applyNumberFormat="1" applyFont="1" applyFill="1" applyBorder="1" applyAlignment="1">
      <x:alignment vertical="center" wrapText="0"/>
    </x:xf>
    <x:xf numFmtId="207" fontId="4" fillId="34" borderId="4" xfId="0" applyNumberFormat="1" applyFont="1" applyFill="1" applyBorder="1" applyAlignment="1">
      <x:alignment vertical="center"/>
    </x:xf>
    <x:xf numFmtId="207" fontId="29" fillId="34" borderId="4" xfId="0" applyNumberFormat="1" applyFont="1" applyFill="1" applyBorder="1" applyAlignment="1">
      <x:alignment vertical="center"/>
    </x:xf>
    <x:xf numFmtId="207" fontId="29" fillId="34" borderId="4" xfId="0" applyNumberFormat="1" applyFont="1" applyFill="1" applyBorder="1" applyAlignment="1">
      <x:alignment vertical="center" wrapText="0"/>
    </x:xf>
    <x:xf numFmtId="207" fontId="29" fillId="34" borderId="4" xfId="0" applyNumberFormat="1" applyFont="1" applyFill="1" applyBorder="1" applyAlignment="1">
      <x:alignment horizontal="right" vertical="center" wrapText="0"/>
    </x:xf>
    <x:xf numFmtId="203" fontId="4" fillId="34" borderId="4" xfId="0" applyNumberFormat="1" applyFont="1" applyFill="1" applyBorder="1" applyAlignment="1">
      <x:alignment vertical="center"/>
    </x:xf>
    <x:xf numFmtId="203" fontId="29" fillId="34" borderId="4" xfId="0" applyNumberFormat="1" applyFont="1" applyFill="1" applyBorder="1" applyAlignment="1">
      <x:alignment vertical="center"/>
    </x:xf>
    <x:xf numFmtId="0" fontId="4" fillId="34" borderId="4" xfId="0" applyNumberFormat="1" applyFont="1" applyFill="1" applyBorder="1"/>
    <x:xf numFmtId="0" fontId="29" fillId="34" borderId="4" xfId="0" applyNumberFormat="1" applyFont="1" applyFill="1" applyBorder="1"/>
    <x:xf numFmtId="203" fontId="29" fillId="34" borderId="4" xfId="0" applyNumberFormat="1" applyFont="1" applyFill="1" applyBorder="1"/>
    <x:xf numFmtId="203" fontId="29" fillId="34" borderId="4" xfId="0" applyNumberFormat="1" applyFont="1" applyFill="1" applyBorder="1" applyAlignment="1">
      <x:alignment wrapText="0"/>
    </x:xf>
    <x:xf numFmtId="203" fontId="29" fillId="34" borderId="4" xfId="0" applyNumberFormat="1" applyFont="1" applyFill="1" applyBorder="1" applyAlignment="1">
      <x:alignment horizontal="right" wrapText="0"/>
    </x:xf>
    <x:xf numFmtId="203" fontId="29" fillId="34" borderId="4" xfId="0" applyNumberFormat="1" applyFont="1" applyFill="1" applyBorder="1" applyAlignment="1">
      <x:alignment horizontal="right" vertical="center" wrapText="0"/>
    </x:xf>
    <x:xf numFmtId="201" fontId="4" fillId="34" borderId="4" xfId="0" applyNumberFormat="1" applyFont="1" applyFill="1" applyBorder="1"/>
    <x:xf numFmtId="201" fontId="29" fillId="34" borderId="4" xfId="0" applyNumberFormat="1" applyFont="1" applyFill="1" applyBorder="1"/>
    <x:xf numFmtId="217" fontId="29" fillId="34" borderId="4" xfId="0" applyNumberFormat="1" applyFont="1" applyFill="1" applyBorder="1"/>
    <x:xf numFmtId="217" fontId="29" fillId="34" borderId="4" xfId="0" applyNumberFormat="1" applyFont="1" applyFill="1" applyBorder="1" applyAlignment="1">
      <x:alignment wrapText="0"/>
    </x:xf>
    <x:xf numFmtId="217" fontId="29" fillId="34" borderId="4" xfId="0" applyNumberFormat="1" applyFont="1" applyFill="1" applyBorder="1" applyAlignment="1">
      <x:alignment horizontal="right" wrapText="0"/>
    </x:xf>
    <x:xf numFmtId="217" fontId="29" fillId="34" borderId="4" xfId="0" applyNumberFormat="1" applyFont="1" applyFill="1" applyBorder="1" applyAlignment="1">
      <x:alignment horizontal="right" vertical="center" wrapText="0"/>
    </x:xf>
    <x:xf numFmtId="0" fontId="0" fillId="34" borderId="0" xfId="0" applyNumberFormat="1" applyFont="1" applyFill="1" applyBorder="1"/>
    <x:xf numFmtId="0" fontId="29" fillId="34" borderId="0" xfId="0" applyNumberFormat="1" applyFont="1" applyFill="1" applyBorder="1"/>
    <x:xf numFmtId="201" fontId="29" fillId="34" borderId="0" xfId="0" applyNumberFormat="1" applyFont="1" applyFill="1" applyBorder="1"/>
    <x:xf numFmtId="201" fontId="29" fillId="34" borderId="0" xfId="0" applyNumberFormat="1" applyFont="1" applyFill="1" applyBorder="1" applyAlignment="1">
      <x:alignment wrapText="0"/>
    </x:xf>
    <x:xf numFmtId="201" fontId="29" fillId="34" borderId="0" xfId="0" applyNumberFormat="1" applyFont="1" applyFill="1" applyBorder="1" applyAlignment="1">
      <x:alignment horizontal="right" wrapText="0"/>
    </x:xf>
    <x:xf numFmtId="201" fontId="29" fillId="34" borderId="0" xfId="0" applyNumberFormat="1" applyFont="1" applyFill="1" applyBorder="1" applyAlignment="1">
      <x:alignment horizontal="right" vertical="center" wrapText="0"/>
    </x:xf>
    <x:xf numFmtId="201" fontId="29" fillId="34" borderId="4" xfId="0" applyNumberFormat="1" applyFont="1" applyFill="1" applyBorder="1" applyAlignment="1">
      <x:alignment horizontal="right" vertical="center" wrapText="0"/>
    </x:xf>
    <x:xf numFmtId="0" fontId="11" fillId="35" borderId="10" xfId="0" applyNumberFormat="1" applyFont="1" applyFill="1" applyBorder="1" applyAlignment="1">
      <x:alignment horizontal="center" vertical="center"/>
    </x:xf>
    <x:xf numFmtId="0" fontId="30" fillId="35" borderId="10" xfId="0" applyNumberFormat="1" applyFont="1" applyFill="1" applyBorder="1" applyAlignment="1">
      <x:alignment horizontal="center" vertical="center"/>
    </x:xf>
    <x:xf numFmtId="217" fontId="30" fillId="35" borderId="10" xfId="0" applyNumberFormat="1" applyFont="1" applyFill="1" applyBorder="1" applyAlignment="1">
      <x:alignment horizontal="center" vertical="center"/>
    </x:xf>
    <x:xf numFmtId="217" fontId="30" fillId="35" borderId="10" xfId="0" applyNumberFormat="1" applyFont="1" applyFill="1" applyBorder="1" applyAlignment="1">
      <x:alignment horizontal="center" vertical="center" wrapText="0"/>
    </x:xf>
    <x:xf numFmtId="206" fontId="11" fillId="35" borderId="10" xfId="0" applyNumberFormat="1" applyFont="1" applyFill="1" applyBorder="1" applyAlignment="1">
      <x:alignment horizontal="center" vertical="center" wrapText="0"/>
    </x:xf>
    <x:xf numFmtId="206" fontId="30" fillId="35" borderId="10" xfId="0" applyNumberFormat="1" applyFont="1" applyFill="1" applyBorder="1" applyAlignment="1">
      <x:alignment horizontal="center" vertical="center" wrapText="0"/>
    </x:xf>
    <x:xf numFmtId="0" fontId="5" fillId="35" borderId="1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26" fillId="36" borderId="0" xfId="0" applyNumberFormat="1" applyFont="1" applyFill="1" applyBorder="1"/>
    <x:xf numFmtId="217" fontId="26" fillId="36" borderId="0" xfId="0" applyNumberFormat="1" applyFont="1" applyFill="1" applyBorder="1"/>
    <x:xf numFmtId="217" fontId="26" fillId="36" borderId="0" xfId="0" applyNumberFormat="1" applyFont="1" applyFill="1" applyBorder="1" applyAlignment="1">
      <x:alignment wrapText="0"/>
    </x:xf>
    <x:xf numFmtId="217" fontId="26" fillId="36" borderId="0" xfId="0" applyNumberFormat="1" applyFont="1" applyFill="1" applyBorder="1" applyAlignment="1">
      <x:alignment horizontal="center" wrapText="0"/>
    </x:xf>
    <x:xf numFmtId="217" fontId="26" fillId="36" borderId="0" xfId="0" applyNumberFormat="1" applyFont="1" applyFill="1" applyBorder="1" applyAlignment="1">
      <x:alignment horizontal="center" vertical="center" wrapText="0"/>
    </x:xf>
    <x:xf numFmtId="217" fontId="26" fillId="36" borderId="10" xfId="0" applyNumberFormat="1" applyFont="1" applyFill="1" applyBorder="1" applyAlignment="1">
      <x:alignment horizontal="center" vertical="center" wrapText="0"/>
    </x:xf>
    <x:xf numFmtId="206" fontId="0" fillId="33" borderId="0" xfId="0" applyNumberFormat="1" applyFont="1" applyFill="1" applyBorder="1"/>
    <x:xf numFmtId="206" fontId="28" fillId="33" borderId="0" xfId="0" applyNumberFormat="1" applyFont="1" applyFill="1" applyBorder="1"/>
    <x:xf numFmtId="206" fontId="28" fillId="33" borderId="0" xfId="0" applyNumberFormat="1" applyFont="1" applyFill="1" applyBorder="1" applyAlignment="1">
      <x:alignment wrapText="0"/>
    </x:xf>
    <x:xf numFmtId="206" fontId="28" fillId="33" borderId="0" xfId="0" applyNumberFormat="1" applyFont="1" applyFill="1" applyBorder="1" applyAlignment="1">
      <x:alignment horizontal="right" wrapText="0"/>
    </x:xf>
    <x:xf numFmtId="206" fontId="28" fillId="33" borderId="0" xfId="0" applyNumberFormat="1" applyFont="1" applyFill="1" applyBorder="1" applyAlignment="1">
      <x:alignment horizontal="right" vertical="center" wrapText="0"/>
    </x:xf>
    <x:xf numFmtId="206" fontId="28" fillId="33" xfId="0" applyNumberFormat="1" applyFont="1" applyFill="1" applyBorder="0" applyAlignment="1">
      <x:alignment horizontal="right" vertical="center" wrapText="0"/>
    </x:xf>
    <x:xf numFmtId="206" fontId="0" fillId="33" borderId="0" xfId="0" applyNumberFormat="1" applyFont="1" applyFill="1" applyBorder="1" applyAlignment="1">
      <x:alignment wrapText="0"/>
    </x:xf>
    <x:xf numFmtId="208" fontId="0" fillId="33" borderId="0" xfId="0" applyNumberFormat="1" applyFont="1" applyFill="1" applyBorder="1"/>
    <x:xf numFmtId="208" fontId="28" fillId="33" borderId="0" xfId="0" applyNumberFormat="1" applyFont="1" applyFill="1" applyBorder="1"/>
    <x:xf numFmtId="201" fontId="28" fillId="33" borderId="0" xfId="0" applyNumberFormat="1" applyFont="1" applyFill="1" applyBorder="1"/>
    <x:xf numFmtId="201" fontId="28" fillId="33" borderId="0" xfId="0" applyNumberFormat="1" applyFont="1" applyFill="1" applyBorder="1" applyAlignment="1">
      <x:alignment wrapText="0"/>
    </x:xf>
    <x:xf numFmtId="201" fontId="28" fillId="33" borderId="0" xfId="0" applyNumberFormat="1" applyFont="1" applyFill="1" applyBorder="1" applyAlignment="1">
      <x:alignment horizontal="right" wrapText="0"/>
    </x:xf>
    <x:xf numFmtId="201" fontId="28" fillId="33" borderId="0" xfId="0" applyNumberFormat="1" applyFont="1" applyFill="1" applyBorder="1" applyAlignment="1">
      <x:alignment horizontal="right" vertical="center" wrapText="0"/>
    </x:xf>
    <x:xf numFmtId="201" fontId="28" fillId="33" xfId="0" applyNumberFormat="1" applyFont="1" applyFill="1" applyBorder="0" applyAlignment="1">
      <x:alignment horizontal="right" vertical="center" wrapText="0"/>
    </x:xf>
    <x:xf numFmtId="213" fontId="0" fillId="33" borderId="0" xfId="0" applyNumberFormat="1" applyFont="1" applyFill="1" applyBorder="1"/>
    <x:xf numFmtId="213" fontId="28" fillId="33" borderId="0" xfId="0" applyNumberFormat="1" applyFont="1" applyFill="1" applyBorder="1"/>
    <x:xf numFmtId="208" fontId="28" fillId="33" borderId="0" xfId="0" applyNumberFormat="1" applyFont="1" applyFill="1" applyBorder="1" applyAlignment="1">
      <x:alignment wrapText="0"/>
    </x:xf>
    <x:xf numFmtId="208" fontId="28" fillId="33" borderId="0" xfId="0" applyNumberFormat="1" applyFont="1" applyFill="1" applyBorder="1" applyAlignment="1">
      <x:alignment horizontal="right" wrapText="0"/>
    </x:xf>
    <x:xf numFmtId="208" fontId="28" fillId="33" borderId="0" xfId="0" applyNumberFormat="1" applyFont="1" applyFill="1" applyBorder="1" applyAlignment="1">
      <x:alignment horizontal="right" vertical="center" wrapText="0"/>
    </x:xf>
    <x:xf numFmtId="208" fontId="28" fillId="33" xfId="0" applyNumberFormat="1" applyFont="1" applyFill="1" applyBorder="0" applyAlignment="1">
      <x:alignment horizontal="right" vertical="center" wrapText="0"/>
    </x:xf>
    <x:xf numFmtId="213" fontId="28" fillId="33" borderId="0" xfId="0" applyNumberFormat="1" applyFont="1" applyFill="1" applyBorder="1" applyAlignment="1">
      <x:alignment wrapText="0"/>
    </x:xf>
    <x:xf numFmtId="213" fontId="28" fillId="33" borderId="0" xfId="0" applyNumberFormat="1" applyFont="1" applyFill="1" applyBorder="1" applyAlignment="1">
      <x:alignment horizontal="right" wrapText="0"/>
    </x:xf>
    <x:xf numFmtId="213" fontId="28" fillId="33" borderId="0" xfId="0" applyNumberFormat="1" applyFont="1" applyFill="1" applyBorder="1" applyAlignment="1">
      <x:alignment horizontal="right" vertical="center" wrapText="0"/>
    </x:xf>
    <x:xf numFmtId="213" fontId="28" fillId="33" xfId="0" applyNumberFormat="1" applyFont="1" applyFill="1" applyBorder="0" applyAlignment="1">
      <x:alignment horizontal="right" vertical="center" wrapText="0"/>
    </x:xf>
    <x:xf numFmtId="213" fontId="12" fillId="33" borderId="0" xfId="0" applyNumberFormat="1" applyFont="1" applyFill="1" applyBorder="1"/>
    <x:xf numFmtId="0" fontId="0" fillId="37" borderId="0" xfId="0" applyNumberFormat="1" applyFont="1" applyFill="1" applyBorder="1"/>
    <x:xf numFmtId="0" fontId="31" fillId="37" borderId="0" xfId="0" applyNumberFormat="1" applyFont="1" applyFill="1" applyBorder="1"/>
    <x:xf numFmtId="213" fontId="31" fillId="37" borderId="0" xfId="0" applyNumberFormat="1" applyFont="1" applyFill="1" applyBorder="1"/>
    <x:xf numFmtId="213" fontId="31" fillId="37" borderId="0" xfId="0" applyNumberFormat="1" applyFont="1" applyFill="1" applyBorder="1" applyAlignment="1">
      <x:alignment wrapText="0"/>
    </x:xf>
    <x:xf numFmtId="213" fontId="31" fillId="37" borderId="0" xfId="0" applyNumberFormat="1" applyFont="1" applyFill="1" applyBorder="1" applyAlignment="1">
      <x:alignment horizontal="right" wrapText="0"/>
    </x:xf>
    <x:xf numFmtId="213" fontId="31" fillId="37" borderId="0" xfId="0" applyNumberFormat="1" applyFont="1" applyFill="1" applyBorder="1" applyAlignment="1">
      <x:alignment horizontal="right" vertical="center" wrapText="0"/>
    </x:xf>
    <x:xf numFmtId="213" fontId="31" fillId="37" xfId="0" applyNumberFormat="1" applyFont="1" applyFill="1" applyBorder="0" applyAlignment="1">
      <x:alignment horizontal="right" vertical="center" wrapText="0"/>
    </x:xf>
    <x:xf numFmtId="206" fontId="13" fillId="38" borderId="0" xfId="0" applyNumberFormat="1" applyFont="1" applyFill="1" applyBorder="1"/>
    <x:xf numFmtId="206" fontId="32" fillId="38" borderId="0" xfId="0" applyNumberFormat="1" applyFont="1" applyFill="1" applyBorder="1"/>
    <x:xf numFmtId="206" fontId="32" fillId="38" borderId="0" xfId="0" applyNumberFormat="1" applyFont="1" applyFill="1" applyBorder="1" applyAlignment="1">
      <x:alignment wrapText="0"/>
    </x:xf>
    <x:xf numFmtId="206" fontId="32" fillId="38" borderId="0" xfId="0" applyNumberFormat="1" applyFont="1" applyFill="1" applyBorder="1" applyAlignment="1">
      <x:alignment horizontal="right" wrapText="0"/>
    </x:xf>
    <x:xf numFmtId="206" fontId="32" fillId="38" borderId="0" xfId="0" applyNumberFormat="1" applyFont="1" applyFill="1" applyBorder="1" applyAlignment="1">
      <x:alignment horizontal="right" vertical="center" wrapText="0"/>
    </x:xf>
    <x:xf numFmtId="206" fontId="32" fillId="38" xfId="0" applyNumberFormat="1" applyFont="1" applyFill="1" applyBorder="0" applyAlignment="1">
      <x:alignment horizontal="right" vertical="center" wrapText="0"/>
    </x:xf>
    <x:xf numFmtId="206" fontId="13" fillId="38" borderId="0" xfId="0" applyNumberFormat="1" applyFont="1" applyFill="1" applyBorder="1" applyAlignment="1">
      <x:alignment wrapText="0"/>
    </x:xf>
    <x:xf numFmtId="208" fontId="13" fillId="38" borderId="0" xfId="0" applyNumberFormat="1" applyFont="1" applyFill="1" applyBorder="1"/>
    <x:xf numFmtId="208" fontId="32" fillId="38" borderId="0" xfId="0" applyNumberFormat="1" applyFont="1" applyFill="1" applyBorder="1"/>
    <x:xf numFmtId="201" fontId="32" fillId="38" borderId="0" xfId="0" applyNumberFormat="1" applyFont="1" applyFill="1" applyBorder="1"/>
    <x:xf numFmtId="201" fontId="32" fillId="38" borderId="0" xfId="0" applyNumberFormat="1" applyFont="1" applyFill="1" applyBorder="1" applyAlignment="1">
      <x:alignment wrapText="0"/>
    </x:xf>
    <x:xf numFmtId="201" fontId="32" fillId="38" borderId="0" xfId="0" applyNumberFormat="1" applyFont="1" applyFill="1" applyBorder="1" applyAlignment="1">
      <x:alignment horizontal="right" wrapText="0"/>
    </x:xf>
    <x:xf numFmtId="201" fontId="32" fillId="38" borderId="0" xfId="0" applyNumberFormat="1" applyFont="1" applyFill="1" applyBorder="1" applyAlignment="1">
      <x:alignment horizontal="right" vertical="center" wrapText="0"/>
    </x:xf>
    <x:xf numFmtId="201" fontId="32" fillId="38" xfId="0" applyNumberFormat="1" applyFont="1" applyFill="1" applyBorder="0" applyAlignment="1">
      <x:alignment horizontal="right" vertical="center" wrapText="0"/>
    </x:xf>
    <x:xf numFmtId="213" fontId="13" fillId="38" borderId="0" xfId="0" applyNumberFormat="1" applyFont="1" applyFill="1" applyBorder="1"/>
    <x:xf numFmtId="213" fontId="32" fillId="38" borderId="0" xfId="0" applyNumberFormat="1" applyFont="1" applyFill="1" applyBorder="1"/>
    <x:xf numFmtId="208" fontId="32" fillId="38" borderId="0" xfId="0" applyNumberFormat="1" applyFont="1" applyFill="1" applyBorder="1" applyAlignment="1">
      <x:alignment wrapText="0"/>
    </x:xf>
    <x:xf numFmtId="208" fontId="32" fillId="38" borderId="0" xfId="0" applyNumberFormat="1" applyFont="1" applyFill="1" applyBorder="1" applyAlignment="1">
      <x:alignment horizontal="right" wrapText="0"/>
    </x:xf>
    <x:xf numFmtId="208" fontId="32" fillId="38" borderId="0" xfId="0" applyNumberFormat="1" applyFont="1" applyFill="1" applyBorder="1" applyAlignment="1">
      <x:alignment horizontal="right" vertical="center" wrapText="0"/>
    </x:xf>
    <x:xf numFmtId="208" fontId="32" fillId="38" xfId="0" applyNumberFormat="1" applyFont="1" applyFill="1" applyBorder="0" applyAlignment="1">
      <x:alignment horizontal="right" vertical="center" wrapText="0"/>
    </x:xf>
    <x:xf numFmtId="213" fontId="32" fillId="38" borderId="0" xfId="0" applyNumberFormat="1" applyFont="1" applyFill="1" applyBorder="1" applyAlignment="1">
      <x:alignment wrapText="0"/>
    </x:xf>
    <x:xf numFmtId="213" fontId="32" fillId="38" borderId="0" xfId="0" applyNumberFormat="1" applyFont="1" applyFill="1" applyBorder="1" applyAlignment="1">
      <x:alignment horizontal="right" wrapText="0"/>
    </x:xf>
    <x:xf numFmtId="213" fontId="32" fillId="38" borderId="0" xfId="0" applyNumberFormat="1" applyFont="1" applyFill="1" applyBorder="1" applyAlignment="1">
      <x:alignment horizontal="right" vertical="center" wrapText="0"/>
    </x:xf>
    <x:xf numFmtId="213" fontId="32" fillId="38" xfId="0" applyNumberFormat="1" applyFont="1" applyFill="1" applyBorder="0" applyAlignment="1">
      <x:alignment horizontal="right" vertical="center" wrapText="0"/>
    </x:xf>
    <x:xf numFmtId="0" fontId="0" fillId="38" borderId="0" xfId="0" applyNumberFormat="1" applyFont="1" applyFill="1" applyBorder="1"/>
    <x:xf numFmtId="0" fontId="32" fillId="38" borderId="0" xfId="0" applyNumberFormat="1" applyFont="1" applyFill="1" applyBorder="1"/>
    <x:xf numFmtId="206" fontId="11" fillId="35" borderId="10" xfId="0" applyNumberFormat="1" applyFont="1" applyFill="1" applyBorder="1" applyAlignment="1">
      <x:alignment horizontal="center" vertical="center"/>
    </x:xf>
    <x:xf numFmtId="206" fontId="30" fillId="35" borderId="10" xfId="0" applyNumberFormat="1" applyFont="1" applyFill="1" applyBorder="1" applyAlignment="1">
      <x:alignment horizontal="center" vertical="center"/>
    </x:xf>
    <x:xf numFmtId="208" fontId="11" fillId="35" borderId="10" xfId="0" applyNumberFormat="1" applyFont="1" applyFill="1" applyBorder="1" applyAlignment="1">
      <x:alignment horizontal="center" vertical="center"/>
    </x:xf>
    <x:xf numFmtId="208" fontId="30" fillId="35" borderId="10" xfId="0" applyNumberFormat="1" applyFont="1" applyFill="1" applyBorder="1" applyAlignment="1">
      <x:alignment horizontal="center" vertical="center"/>
    </x:xf>
    <x:xf numFmtId="201" fontId="30" fillId="35" borderId="10" xfId="0" applyNumberFormat="1" applyFont="1" applyFill="1" applyBorder="1" applyAlignment="1">
      <x:alignment horizontal="center" vertical="center"/>
    </x:xf>
    <x:xf numFmtId="201" fontId="30" fillId="35" borderId="10" xfId="0" applyNumberFormat="1" applyFont="1" applyFill="1" applyBorder="1" applyAlignment="1">
      <x:alignment horizontal="center" vertical="center" wrapText="0"/>
    </x:xf>
    <x:xf numFmtId="213" fontId="11" fillId="35" borderId="10" xfId="0" applyNumberFormat="1" applyFont="1" applyFill="1" applyBorder="1" applyAlignment="1">
      <x:alignment horizontal="center" vertical="center"/>
    </x:xf>
    <x:xf numFmtId="213" fontId="30" fillId="35" borderId="10" xfId="0" applyNumberFormat="1" applyFont="1" applyFill="1" applyBorder="1" applyAlignment="1">
      <x:alignment horizontal="center" vertical="center"/>
    </x:xf>
    <x:xf numFmtId="208" fontId="30" fillId="35" borderId="10" xfId="0" applyNumberFormat="1" applyFont="1" applyFill="1" applyBorder="1" applyAlignment="1">
      <x:alignment horizontal="center" vertical="center" wrapText="0"/>
    </x:xf>
    <x:xf numFmtId="213" fontId="30" fillId="35" borderId="10" xfId="0" applyNumberFormat="1" applyFont="1" applyFill="1" applyBorder="1" applyAlignment="1">
      <x:alignment horizontal="center" vertical="center" wrapText="0"/>
    </x:xf>
    <x:xf numFmtId="213" fontId="12" fillId="35" borderId="10" xfId="0" applyNumberFormat="1" applyFont="1" applyFill="1" applyBorder="1" applyAlignment="1">
      <x:alignment horizontal="center" vertical="center"/>
    </x:xf>
    <x:xf numFmtId="213" fontId="31" fillId="37" borderId="0" xfId="0" applyNumberFormat="1" applyFont="1" applyFill="1" applyBorder="1" applyAlignment="1">
      <x:alignment horizontal="center" wrapText="0"/>
    </x:xf>
    <x:xf numFmtId="213" fontId="31" fillId="37" borderId="0" xfId="0" applyNumberFormat="1" applyFont="1" applyFill="1" applyBorder="1" applyAlignment="1">
      <x:alignment horizontal="center" vertical="center" wrapText="0"/>
    </x:xf>
    <x:xf numFmtId="213" fontId="31" fillId="37" borderId="10" xfId="0" applyNumberFormat="1" applyFont="1" applyFill="1" applyBorder="1" applyAlignment="1">
      <x:alignment horizontal="center" vertical="center" wrapText="0"/>
    </x:xf>
    <x:xf numFmtId="213" fontId="31" fillId="37" borderId="11" xfId="0" applyNumberFormat="1" applyFont="1" applyFill="1" applyBorder="1" applyAlignment="1">
      <x:alignment horizontal="right" vertical="center" wrapText="0"/>
    </x:xf>
    <x:xf numFmtId="206" fontId="14" fillId="39" borderId="0" xfId="0" applyNumberFormat="1" applyFont="1" applyFill="1" applyBorder="1"/>
    <x:xf numFmtId="206" fontId="33" fillId="39" borderId="0" xfId="0" applyNumberFormat="1" applyFont="1" applyFill="1" applyBorder="1"/>
    <x:xf numFmtId="206" fontId="33" fillId="39" borderId="0" xfId="0" applyNumberFormat="1" applyFont="1" applyFill="1" applyBorder="1" applyAlignment="1">
      <x:alignment wrapText="0"/>
    </x:xf>
    <x:xf numFmtId="206" fontId="33" fillId="39" borderId="0" xfId="0" applyNumberFormat="1" applyFont="1" applyFill="1" applyBorder="1" applyAlignment="1">
      <x:alignment horizontal="right" wrapText="0"/>
    </x:xf>
    <x:xf numFmtId="206" fontId="33" fillId="39" borderId="0" xfId="0" applyNumberFormat="1" applyFont="1" applyFill="1" applyBorder="1" applyAlignment="1">
      <x:alignment horizontal="right" vertical="center" wrapText="0"/>
    </x:xf>
    <x:xf numFmtId="206" fontId="33" fillId="39" xfId="0" applyNumberFormat="1" applyFont="1" applyFill="1" applyBorder="0" applyAlignment="1">
      <x:alignment horizontal="right" vertical="center" wrapText="0"/>
    </x:xf>
    <x:xf numFmtId="206" fontId="14" fillId="39" borderId="0" xfId="0" applyNumberFormat="1" applyFont="1" applyFill="1" applyBorder="1" applyAlignment="1">
      <x:alignment wrapText="0"/>
    </x:xf>
    <x:xf numFmtId="208" fontId="14" fillId="39" borderId="0" xfId="0" applyNumberFormat="1" applyFont="1" applyFill="1" applyBorder="1"/>
    <x:xf numFmtId="208" fontId="33" fillId="39" borderId="0" xfId="0" applyNumberFormat="1" applyFont="1" applyFill="1" applyBorder="1"/>
    <x:xf numFmtId="201" fontId="33" fillId="39" borderId="0" xfId="0" applyNumberFormat="1" applyFont="1" applyFill="1" applyBorder="1"/>
    <x:xf numFmtId="201" fontId="33" fillId="39" borderId="0" xfId="0" applyNumberFormat="1" applyFont="1" applyFill="1" applyBorder="1" applyAlignment="1">
      <x:alignment wrapText="0"/>
    </x:xf>
    <x:xf numFmtId="201" fontId="33" fillId="39" borderId="0" xfId="0" applyNumberFormat="1" applyFont="1" applyFill="1" applyBorder="1" applyAlignment="1">
      <x:alignment horizontal="right" wrapText="0"/>
    </x:xf>
    <x:xf numFmtId="201" fontId="33" fillId="39" borderId="0" xfId="0" applyNumberFormat="1" applyFont="1" applyFill="1" applyBorder="1" applyAlignment="1">
      <x:alignment horizontal="right" vertical="center" wrapText="0"/>
    </x:xf>
    <x:xf numFmtId="201" fontId="33" fillId="39" xfId="0" applyNumberFormat="1" applyFont="1" applyFill="1" applyBorder="0" applyAlignment="1">
      <x:alignment horizontal="right" vertical="center" wrapText="0"/>
    </x:xf>
    <x:xf numFmtId="213" fontId="14" fillId="39" borderId="0" xfId="0" applyNumberFormat="1" applyFont="1" applyFill="1" applyBorder="1"/>
    <x:xf numFmtId="213" fontId="33" fillId="39" borderId="0" xfId="0" applyNumberFormat="1" applyFont="1" applyFill="1" applyBorder="1"/>
    <x:xf numFmtId="208" fontId="33" fillId="39" borderId="0" xfId="0" applyNumberFormat="1" applyFont="1" applyFill="1" applyBorder="1" applyAlignment="1">
      <x:alignment wrapText="0"/>
    </x:xf>
    <x:xf numFmtId="208" fontId="33" fillId="39" borderId="0" xfId="0" applyNumberFormat="1" applyFont="1" applyFill="1" applyBorder="1" applyAlignment="1">
      <x:alignment horizontal="right" wrapText="0"/>
    </x:xf>
    <x:xf numFmtId="208" fontId="33" fillId="39" borderId="0" xfId="0" applyNumberFormat="1" applyFont="1" applyFill="1" applyBorder="1" applyAlignment="1">
      <x:alignment horizontal="right" vertical="center" wrapText="0"/>
    </x:xf>
    <x:xf numFmtId="208" fontId="33" fillId="39" xfId="0" applyNumberFormat="1" applyFont="1" applyFill="1" applyBorder="0" applyAlignment="1">
      <x:alignment horizontal="right" vertical="center" wrapText="0"/>
    </x:xf>
    <x:xf numFmtId="213" fontId="33" fillId="39" borderId="0" xfId="0" applyNumberFormat="1" applyFont="1" applyFill="1" applyBorder="1" applyAlignment="1">
      <x:alignment wrapText="0"/>
    </x:xf>
    <x:xf numFmtId="213" fontId="33" fillId="39" borderId="0" xfId="0" applyNumberFormat="1" applyFont="1" applyFill="1" applyBorder="1" applyAlignment="1">
      <x:alignment horizontal="right" wrapText="0"/>
    </x:xf>
    <x:xf numFmtId="213" fontId="33" fillId="39" borderId="0" xfId="0" applyNumberFormat="1" applyFont="1" applyFill="1" applyBorder="1" applyAlignment="1">
      <x:alignment horizontal="right" vertical="center" wrapText="0"/>
    </x:xf>
    <x:xf numFmtId="213" fontId="33" fillId="39" xfId="0" applyNumberFormat="1" applyFont="1" applyFill="1" applyBorder="0" applyAlignment="1">
      <x:alignment horizontal="right" vertical="center" wrapText="0"/>
    </x:xf>
    <x:xf numFmtId="0" fontId="0" fillId="39" borderId="0" xfId="0" applyNumberFormat="1" applyFont="1" applyFill="1" applyBorder="1"/>
    <x:xf numFmtId="0" fontId="33" fillId="39" borderId="0" xfId="0" applyNumberFormat="1" applyFont="1" applyFill="1" applyBorder="1"/>
    <x:xf numFmtId="218" fontId="0" fillId="0" borderId="0" xfId="0" applyNumberFormat="1" applyFont="1" applyFill="1" applyBorder="1"/>
    <x:xf numFmtId="204" fontId="8" fillId="9" borderId="8" xfId="0" applyNumberFormat="1" applyFont="1" applyFill="1" applyBorder="1"/>
    <x:xf numFmtId="219" fontId="9" fillId="10" borderId="9" xfId="0" applyNumberFormat="1" applyFont="1" applyFill="1" applyBorder="1"/>
    <x:xf numFmtId="219" fontId="0" fillId="0" borderId="0" xfId="0" applyNumberFormat="1" applyFont="1" applyFill="1" applyBorder="1"/>
    <x:xf numFmtId="219" fontId="2" fillId="6" borderId="5" xfId="0" applyNumberFormat="1" applyFont="1" applyFill="1" applyBorder="1" applyAlignment="1">
      <x:alignment vertical="center"/>
    </x:xf>
    <x:xf numFmtId="219" fontId="0" fillId="0" borderId="3" xfId="0" applyNumberFormat="1" applyFont="1" applyFill="1" applyBorder="1" applyAlignment="1">
      <x:alignment vertical="center"/>
    </x:xf>
    <x:xf numFmtId="219" fontId="2" fillId="6" borderId="5" xfId="0" applyNumberFormat="1" applyFont="1" applyFill="1" applyBorder="1" applyAlignment="1">
      <x:alignment horizontal="right" vertical="center" wrapText="0"/>
    </x:xf>
    <x:xf numFmtId="219" fontId="28" fillId="33" borderId="3" xfId="0" applyNumberFormat="1" applyFont="1" applyFill="1" applyBorder="1" applyAlignment="1">
      <x:alignment horizontal="right" vertical="center" wrapText="0"/>
    </x:xf>
    <x:xf numFmtId="219" fontId="6" fillId="8" borderId="7" xfId="0" applyNumberFormat="1" applyFont="1" applyFill="1" applyBorder="1" applyAlignment="1">
      <x:alignment horizontal="right" vertical="center" wrapText="0"/>
    </x:xf>
    <x:xf numFmtId="204" fontId="2" fillId="6" borderId="5" xfId="0" applyNumberFormat="1" applyFont="1" applyFill="1" applyBorder="1" applyAlignment="1">
      <x:alignment horizontal="right" vertical="center" wrapText="0"/>
    </x:xf>
    <x:xf numFmtId="204" fontId="28" fillId="33" borderId="3" xfId="0" applyNumberFormat="1" applyFont="1" applyFill="1" applyBorder="1" applyAlignment="1">
      <x:alignment horizontal="right" vertical="center" wrapText="0"/>
    </x:xf>
    <x:xf numFmtId="219" fontId="4" fillId="4" borderId="4" xfId="0" applyNumberFormat="1" applyFont="1" applyFill="1" applyBorder="1" applyAlignment="1">
      <x:alignment vertical="center"/>
    </x:xf>
    <x:xf numFmtId="219" fontId="4" fillId="4" borderId="4" xfId="0" applyNumberFormat="1" applyFont="1" applyFill="1" applyBorder="1" applyAlignment="1">
      <x:alignment horizontal="right" vertical="center" wrapText="0"/>
    </x:xf>
    <x:xf numFmtId="204" fontId="4" fillId="4" borderId="4" xfId="0" applyNumberFormat="1" applyFont="1" applyFill="1" applyBorder="1" applyAlignment="1">
      <x:alignment horizontal="right" vertical="center" wrapText="0"/>
    </x:xf>
    <x:xf numFmtId="204" fontId="9" fillId="10" borderId="9" xfId="0" applyNumberFormat="1" applyFont="1" applyFill="1" applyBorder="1"/>
    <x:xf numFmtId="204" fontId="6" fillId="8" borderId="7" xfId="0" applyNumberFormat="1" applyFont="1" applyFill="1" applyBorder="1" applyAlignment="1">
      <x:alignment horizontal="right" vertical="center" wrapText="0"/>
    </x:xf>
    <x:xf numFmtId="219" fontId="13" fillId="13" borderId="0" xfId="0" applyNumberFormat="1" applyFont="1" applyFill="1" applyBorder="1"/>
    <x:xf numFmtId="219" fontId="28" fillId="33" xfId="0" applyNumberFormat="1" applyFont="1" applyFill="1" applyBorder="0" applyAlignment="1">
      <x:alignment horizontal="right" vertical="center" wrapText="0"/>
    </x:xf>
    <x:xf numFmtId="219" fontId="13" fillId="13" xfId="0" applyNumberFormat="1" applyFont="1" applyFill="1" applyBorder="0" applyAlignment="1">
      <x:alignment horizontal="right" vertical="center" wrapText="0"/>
    </x:xf>
    <x:xf numFmtId="219" fontId="12" fillId="10" xfId="0" applyNumberFormat="1" applyFont="1" applyFill="1" applyBorder="0" applyAlignment="1">
      <x:alignment horizontal="right" vertical="center" wrapText="0"/>
    </x:xf>
    <x:xf numFmtId="204" fontId="28" fillId="33" xfId="0" applyNumberFormat="1" applyFont="1" applyFill="1" applyBorder="0" applyAlignment="1">
      <x:alignment horizontal="right" vertical="center" wrapText="0"/>
    </x:xf>
    <x:xf numFmtId="204" fontId="13" fillId="13" xfId="0" applyNumberFormat="1" applyFont="1" applyFill="1" applyBorder="0" applyAlignment="1">
      <x:alignment horizontal="right" vertical="center" wrapText="0"/>
    </x:xf>
    <x:xf numFmtId="219" fontId="12" fillId="16" borderId="11" xfId="0" applyNumberFormat="1" applyFont="1" applyFill="1" applyBorder="1"/>
    <x:xf numFmtId="219" fontId="12" fillId="10" borderId="11" xfId="0" applyNumberFormat="1" applyFont="1" applyFill="1" applyBorder="1"/>
    <x:xf numFmtId="219" fontId="12" fillId="10" borderId="11" xfId="0" applyNumberFormat="1" applyFont="1" applyFill="1" applyBorder="1" applyAlignment="1">
      <x:alignment horizontal="right" vertical="center" wrapText="0"/>
    </x:xf>
    <x:xf numFmtId="219" fontId="14" fillId="15" borderId="0" xfId="0" applyNumberFormat="1" applyFont="1" applyFill="1" applyBorder="1"/>
    <x:xf numFmtId="219" fontId="14" fillId="15" xfId="0" applyNumberFormat="1" applyFont="1" applyFill="1" applyBorder="0" applyAlignment="1">
      <x:alignment horizontal="right" vertical="center" wrapText="0"/>
    </x:xf>
    <x:xf numFmtId="204" fontId="14" fillId="15" xfId="0" applyNumberFormat="1" applyFont="1" applyFill="1" applyBorder="0" applyAlignment="1">
      <x:alignment horizontal="right"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b1ed6029fd4a23" /><Relationship Type="http://schemas.openxmlformats.org/officeDocument/2006/relationships/theme" Target="/xl/theme/theme1.xml" Id="R54da712ed19f4722" /><Relationship Type="http://schemas.openxmlformats.org/officeDocument/2006/relationships/sharedStrings" Target="/xl/sharedStrings.xml" Id="R5045aeefd6124c36" /><Relationship Type="http://schemas.openxmlformats.org/officeDocument/2006/relationships/worksheet" Target="/xl/worksheets/sheet1.xml" Id="R4e8f3fa6680e4a8d" /><Relationship Type="http://schemas.openxmlformats.org/officeDocument/2006/relationships/worksheet" Target="/xl/worksheets/sheet2.xml" Id="Rf1e815de4b924f5d" /><Relationship Type="http://schemas.openxmlformats.org/officeDocument/2006/relationships/worksheet" Target="/xl/worksheets/sheet3.xml" Id="R49cf3f317da64ddc" /><Relationship Type="http://schemas.openxmlformats.org/officeDocument/2006/relationships/worksheet" Target="/xl/worksheets/sheet4.xml" Id="Rdc06d8cd2192415f" /><Relationship Type="http://schemas.openxmlformats.org/officeDocument/2006/relationships/worksheet" Target="/xl/worksheets/sheet5.xml" Id="Rdbd6a5c151f248c3" /><Relationship Type="http://schemas.openxmlformats.org/officeDocument/2006/relationships/worksheet" Target="/xl/worksheets/sheet6.xml" Id="R04ca9864fb724b2c" /><Relationship Type="http://schemas.openxmlformats.org/officeDocument/2006/relationships/worksheet" Target="/xl/worksheets/sheet7.xml" Id="R37d0adf99c3c48ff" /><Relationship Type="http://schemas.openxmlformats.org/officeDocument/2006/relationships/worksheet" Target="/xl/worksheets/sheet8.xml" Id="Rdfb7d6b2c7c4495f" /><Relationship Type="http://schemas.openxmlformats.org/officeDocument/2006/relationships/worksheet" Target="/xl/worksheets/sheet9.xml" Id="Rbe6b3358c4284e7a" /><Relationship Type="http://schemas.openxmlformats.org/officeDocument/2006/relationships/worksheet" Target="/xl/worksheets/sheet10.xml" Id="Rf3f6ae80d1ea4bcd" /><Relationship Type="http://schemas.openxmlformats.org/officeDocument/2006/relationships/worksheet" Target="/xl/worksheets/sheet11.xml" Id="R5cfe8ce77de34ced" /><Relationship Type="http://schemas.openxmlformats.org/officeDocument/2006/relationships/worksheet" Target="/xl/worksheets/sheet12.xml" Id="R8a7baeb42815463a" /><Relationship Type="http://schemas.microsoft.com/office/2017/10/relationships/person" Target="/xl/persons/person.xml" Id="Rd4deda8e467c4dff" /></Relationships>
</file>

<file path=xl/persons/person.xml><?xml version="1.0" encoding="utf-8"?>
<xltc:personList xmlns:xltc="http://schemas.microsoft.com/office/spreadsheetml/2018/threadedcomments">
  <xltc:person displayName="Model Research" id="{5252C0D2-CE75-4369-93C3-0A2A03D427B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7" dT="2026-09-04T09:53:39.254" personId="{5252C0D2-CE75-4369-93C3-0A2A03D427B0}" id="{ADFFB39D-F942-488D-B177-94CFF5664CC3}">
    <xltc:text>Source: CoinGecko Ethereum price page, checked 2026-09-03. This is a refreshable reference price used only for USD conversion.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B11" dT="2026-09-04T09:53:39.314" personId="{5252C0D2-CE75-4369-93C3-0A2A03D427B0}" id="{37449375-7C03-426E-B712-018E00B9C7A3}">
    <xltc:text>Independent reference calculated from current V2 parameters: 90% actual wallet control, 1% hook fee, Creator Tax 0%.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B5" dT="2026-09-04T09:53:39.313" personId="{5252C0D2-CE75-4369-93C3-0A2A03D427B0}" id="{7982CE5C-D6C3-4A1C-AFAA-F61D2D3BCDCE}">
    <xltc:text>Source: Pons V2 Factory getLaunchConfig(0), current on-chain value phantomQuote = 1.68 ETH.</xltc:text>
  </xltc:threadedComment>
  <xltc:threadedComment ref="B6" dT="2026-09-04T09:53:39.313" personId="{5252C0D2-CE75-4369-93C3-0A2A03D427B0}" id="{D5E8BF29-DE9C-44CD-B8E5-BE2A1629D1ED}">
    <xltc:text>Source: Pons V2 Factory getLaunchConfig(0), current on-chain graduationThreshold = 4.2 ETH.</xltc:text>
  </xltc:threadedComment>
  <xltc:threadedComment ref="B8" dT="2026-09-04T09:53:39.313" personId="{5252C0D2-CE75-4369-93C3-0A2A03D427B0}" id="{5DD06E3C-4866-43F7-8386-0026D055941A}">
    <xltc:text>Creator Tax is editable. Contract cap is 10%; the model applies it to both curve-stage gross input and post-graduation token output.</xltc:text>
  </xltc:threadedComment>
  <xltc:threadedComment ref="E7" dT="2026-09-04T09:53:39.313" personId="{5252C0D2-CE75-4369-93C3-0A2A03D427B0}" id="{3126541F-4A9A-48A3-A6B7-A7CF7414807F}">
    <xltc:text>Source: current V2 Hook policy, hookFeeBps = 100 (1%). Exact-input buys take this fee from token output, so it changes actual wallet control rather than requiring extra Quote directly.</xltc:text>
  </xltc:threadedComment>
  <xltc:threadedComment ref="H3" dT="2026-09-04T09:53:39.314" personId="{5252C0D2-CE75-4369-93C3-0A2A03D427B0}" id="{C196C57F-703E-4975-A460-CB06B220CB51}">
    <xltc:text>Editable planning defaults, not measured execution values: 0.005 ETH gas per address, zero slippage, 5 ETH reserve, and 10 x 2 + 2 + 100 addresses. Wash loss equals target-plus-one-percent FDV times (outer fee plus creator tax) times two, in Quote units. Snipe tax is assumed zero for exempt recipients or buys at least 5 seconds after launch.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2770f653870405e" /><Relationship Type="http://schemas.openxmlformats.org/officeDocument/2006/relationships/vmlDrawing" Target="/xl/drawings/vmldrawing.vml" Id="Rc907a8a1464f4a9a" /><Relationship Type="http://schemas.microsoft.com/office/2017/10/relationships/threadedComment" Target="/xl/threadedcomments/threadedcomment.xml" Id="Rbf6175c94124480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2.xml" Id="R9c6c95665da747d7" /><Relationship Type="http://schemas.openxmlformats.org/officeDocument/2006/relationships/vmlDrawing" Target="/xl/drawings/vmldrawing2.vml" Id="R1ddca8a476e14d2d" /><Relationship Type="http://schemas.microsoft.com/office/2017/10/relationships/threadedComment" Target="/xl/threadedcomments/threadedcomment2.xml" Id="R3d75fd6cc0b345e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comments" Target="/xl/comments3.xml" Id="R3e421013dc174770" /><Relationship Type="http://schemas.openxmlformats.org/officeDocument/2006/relationships/vmlDrawing" Target="/xl/drawings/vmldrawing3.vml" Id="R4a422ff181ab4594" /><Relationship Type="http://schemas.microsoft.com/office/2017/10/relationships/threadedComment" Target="/xl/threadedcomments/threadedcomment3.xml" Id="Ra846560eed854e6d" 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1" max="1" width="16" hidden="0" customWidth="1"/>
    <col min="2" max="2" width="34" hidden="0" customWidth="1"/>
    <col min="3" max="3" width="16" hidden="0" customWidth="1"/>
    <col min="4" max="4" width="18" hidden="0" customWidth="1"/>
  </cols>
  <sheetData>
    <row r="1" ht="28" customHeight="1">
      <c r="A1" s="4" t="str">
        <v>每日币价假设 / DAILY PRICE INPUTS</v>
      </c>
      <c r="B1" s="4"/>
      <c r="C1" s="4"/>
      <c r="D1" s="4"/>
    </row>
    <row r="2">
      <c r="A2" s="10" t="str">
        <v>资产</v>
      </c>
      <c r="B2" s="10" t="str">
        <v>USD 价格</v>
      </c>
      <c r="C2" s="10" t="str">
        <v>取价日期</v>
      </c>
      <c r="D2" s="10" t="str">
        <v>CoinGecko ID</v>
      </c>
    </row>
    <row r="3">
      <c r="A3" s="13" t="str">
        <v>SOL</v>
      </c>
      <c r="B3" s="15">
        <v>105.89</v>
      </c>
      <c r="C3" s="13" t="inlineStr">
        <is>
          <t>2026-09-18T09:36:46.399Z</t>
        </is>
      </c>
      <c r="D3" s="13" t="str">
        <v>solana</v>
      </c>
    </row>
    <row r="4">
      <c r="A4" s="13" t="str">
        <v>BNB</v>
      </c>
      <c r="B4" s="15">
        <v>751.1</v>
      </c>
      <c r="C4" s="13" t="inlineStr">
        <is>
          <t>2026-09-18T09:36:46.399Z</t>
        </is>
      </c>
      <c r="D4" s="13" t="str">
        <v>binancecoin</v>
      </c>
    </row>
    <row r="5">
      <c r="A5" s="13" t="str">
        <v>HYPE</v>
      </c>
      <c r="B5" s="15">
        <v>88.73</v>
      </c>
      <c r="C5" s="13" t="inlineStr">
        <is>
          <t>2026-09-18T09:36:46.399Z</t>
        </is>
      </c>
      <c r="D5" s="13" t="str">
        <v>hyperliquid</v>
      </c>
    </row>
    <row r="6">
      <c r="A6" s="13" t="str">
        <v>ASTER</v>
      </c>
      <c r="B6" s="15">
        <v>0.7521</v>
      </c>
      <c r="C6" s="13" t="inlineStr">
        <is>
          <t>2026-09-18T09:36:46.399Z</t>
        </is>
      </c>
      <c r="D6" s="13" t="str">
        <v>aster-2</v>
      </c>
    </row>
    <row r="7">
      <c r="A7" t="str">
        <v>ETH</v>
      </c>
      <c r="B7" s="92">
        <v>2503.31</v>
      </c>
      <c r="C7" t="inlineStr">
        <is>
          <t>2026-09-18T09:36:46.399Z</t>
        </is>
      </c>
      <c r="D7" t="str">
        <v>ethereum</v>
      </c>
    </row>
    <row r="8">
      <c r="A8" t="str">
        <v>说明</v>
      </c>
      <c r="B8" t="str">
        <v>蓝色价格单元格可更新，所有模型的“市值 / USD”会自动重算。</v>
      </c>
      <c r="C8"/>
      <c r="D8"/>
    </row>
    <row r="9">
      <c r="A9" t="str">
        <v>数据源</v>
      </c>
      <c r="B9" t="str">
        <v>CoinGecko Simple Price API</v>
      </c>
      <c r="C9"/>
      <c r="D9"/>
    </row>
    <row r="10">
      <c r="A10" t="str">
        <v>接口</v>
      </c>
      <c r="B10" t="str">
        <v>https://api.coingecko.com/api/v3/simple/price</v>
      </c>
      <c r="C10"/>
      <c r="D10"/>
    </row>
    <row r="12">
      <c r="A12" t="str">
        <v>USDT / USD</v>
      </c>
      <c r="B12" s="552">
        <v>0.99917</v>
      </c>
      <c r="C12" t="str">
        <v>汇率快照</v>
      </c>
      <c r="D12" t="inlineStr">
        <is>
          <t>2026-09-18T09:36:46.399Z</t>
        </is>
      </c>
    </row>
    <row r="13">
      <c r="A13" t="str">
        <v>汇率来源</v>
      </c>
      <c r="B13" t="inlineStr">
        <is>
          <t>https://api.coingecko.com/api/v3/simple/price?ids=tether&amp;vs_currencies=usd</t>
        </is>
      </c>
      <c r="C13"/>
      <c r="D13"/>
    </row>
    <row r="14">
      <c r="A14" t="str">
        <v>使用说明</v>
      </c>
      <c r="B14" t="str">
        <v>网页与本表采用同一每日快照；资金预留为 10,000 USDT ÷ Quote 价格向上取整。下载文件不联网刷新。</v>
      </c>
      <c r="C14"/>
      <c r="D14"/>
    </row>
    <row r="15">
      <c r="A15" t="str">
        <v>预留预算 / USDT</v>
      </c>
      <c r="B15" s="65" t="n">
        <v>10000</v>
      </c>
    </row>
  </sheetData>
  <mergeCells>
    <mergeCell ref="A1:D1"/>
  </mergeCells>
  <pageMargins left="0.7" right="0.7" top="0.75" bottom="0.75" header="0.3" footer="0.3"/>
  <legacyDrawing r:id="Rc907a8a1464f4a9a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Pump.fun / SOL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'币价'!$B$3</f>
      </c>
      <c r="C3" s="56" t="str">
        <v>内盘 k</v>
      </c>
      <c r="D3" s="51" t="n">
        <v>32190005730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206900000</v>
      </c>
      <c r="G4" t="str">
        <v>单地址 Gas / SOL</v>
      </c>
      <c r="H4" s="99" t="n">
        <v>0.1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84.990360474</v>
      </c>
      <c r="G5" t="str">
        <v>资金预留 / SOL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0.7931</v>
      </c>
      <c r="C6" s="56" t="str">
        <v>外盘 k</v>
      </c>
      <c r="D6" s="51" t="n">
        <v>17584505582.0706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0.0125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0.0125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1073000191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IF(AND(ISNUMBER($J$6),ISNUMBER($H$5)),SUM(J6:J8)+$H$5,"")</f>
      </c>
    </row>
    <row r="10">
      <c r="A10" s="55" t="str">
        <v>内盘初始 Quote</v>
      </c>
      <c r="B10" s="51" t="n">
        <v>30</v>
      </c>
      <c r="C10"/>
      <c r="D10"/>
      <c r="G10" t="str">
        <v>滑点预留</v>
      </c>
      <c r="H10" s="102" t="n">
        <v>0</v>
      </c>
      <c r="I10" t="str">
        <v>Gas 储备 / SOL</v>
      </c>
      <c r="J10" s="554">
        <f>($H$7*$H$8+$J$3+$J$4)*$H$4</f>
      </c>
    </row>
    <row r="11">
      <c r="J11" s="555"/>
    </row>
    <row r="12" ht="34" customHeight="1">
      <c r="A12" s="10" t="str">
        <v>控筹率</v>
      </c>
      <c r="B12" s="10" t="str">
        <v>pooled token</v>
      </c>
      <c r="C12" s="10" t="str">
        <v>pooled SOL</v>
      </c>
      <c r="D12" s="10" t="str">
        <v>k</v>
      </c>
      <c r="E12" s="331" t="str">
        <v>价格 / SOL</v>
      </c>
      <c r="F12" s="331" t="str">
        <v>价格 / USDT</v>
      </c>
      <c r="G12" s="331" t="str">
        <v>市值 / SOL</v>
      </c>
      <c r="H12" s="331" t="str">
        <v>市值 / USD</v>
      </c>
      <c r="I12" s="331" t="str">
        <v>所需 SOL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0.7931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SOL</v>
      </c>
      <c r="D24" s="77" t="str">
        <v>k</v>
      </c>
      <c r="E24" s="391" t="str">
        <v>价格 / SOL</v>
      </c>
      <c r="F24" s="391" t="str">
        <v>价格 / USDT</v>
      </c>
      <c r="G24" s="393" t="str">
        <v>市值 / SOL</v>
      </c>
      <c r="H24" s="393" t="str">
        <v>市值 / USD</v>
      </c>
      <c r="I24" s="331" t="str">
        <v>所需 SOL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IF(A25&gt;=1,"",C25-$D$5)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SOL</v>
      </c>
      <c r="D72" s="77" t="str">
        <v>k</v>
      </c>
      <c r="E72" s="391" t="str">
        <v>价格 / SOL</v>
      </c>
      <c r="F72" s="391" t="str">
        <v>价格 / USDT</v>
      </c>
      <c r="G72" s="393" t="str">
        <v>市值 / SOL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LetsBonk / USD1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1</f>
      </c>
      <c r="C3" s="56" t="str">
        <v>内盘 k</v>
      </c>
      <c r="D3" s="51" t="n">
        <v>4796424458820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206900000</v>
      </c>
      <c r="G4" t="str">
        <v>单地址 Gas / SOL</v>
      </c>
      <c r="H4" s="99" t="n">
        <v>0.1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12500</v>
      </c>
      <c r="G5" t="str">
        <v>资金预留 / USD1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0.7931</v>
      </c>
      <c r="C6" s="56" t="str">
        <v>外盘 k</v>
      </c>
      <c r="D6" s="51" t="n">
        <v>2586250000000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0.015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0.0125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1073025606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IF(AND(ISNUMBER($J$6),ISNUMBER($H$5)),SUM(J6:J8)+$H$5,"")</f>
      </c>
    </row>
    <row r="10">
      <c r="A10" s="55" t="str">
        <v>内盘初始 Quote</v>
      </c>
      <c r="B10" s="51" t="n">
        <v>4470</v>
      </c>
      <c r="C10"/>
      <c r="D10"/>
      <c r="G10" t="str">
        <v>滑点预留</v>
      </c>
      <c r="H10" s="102" t="n">
        <v>0</v>
      </c>
      <c r="I10" t="str">
        <v>Gas 储备 / SOL</v>
      </c>
      <c r="J10" s="554">
        <f>($H$7*$H$8+$J$3+$J$4)*$H$4</f>
      </c>
    </row>
    <row r="11">
      <c r="J11" s="65"/>
    </row>
    <row r="12" ht="34" customHeight="1">
      <c r="A12" s="10" t="str">
        <v>控筹率</v>
      </c>
      <c r="B12" s="10" t="str">
        <v>pooled token</v>
      </c>
      <c r="C12" s="10" t="str">
        <v>pooled USD1</v>
      </c>
      <c r="D12" s="10" t="str">
        <v>k</v>
      </c>
      <c r="E12" s="331" t="str">
        <v>价格 / USD1</v>
      </c>
      <c r="F12" s="331" t="str">
        <v>价格 / USDT</v>
      </c>
      <c r="G12" s="331" t="str">
        <v>市值 / USD1</v>
      </c>
      <c r="H12" s="331" t="str">
        <v>市值 / USD</v>
      </c>
      <c r="I12" s="331" t="str">
        <v>所需 USD1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0.7931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USD1</v>
      </c>
      <c r="D24" s="77" t="str">
        <v>k</v>
      </c>
      <c r="E24" s="391" t="str">
        <v>价格 / USD1</v>
      </c>
      <c r="F24" s="391" t="str">
        <v>价格 / USDT</v>
      </c>
      <c r="G24" s="393" t="str">
        <v>市值 / USD1</v>
      </c>
      <c r="H24" s="393" t="str">
        <v>市值 / USD</v>
      </c>
      <c r="I24" s="331" t="str">
        <v>所需 USD1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IF(A25&gt;=1,"",C25-$D$5)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USD1</v>
      </c>
      <c r="D72" s="77" t="str">
        <v>k</v>
      </c>
      <c r="E72" s="391" t="str">
        <v>价格 / USD1</v>
      </c>
      <c r="F72" s="391" t="str">
        <v>价格 / USDT</v>
      </c>
      <c r="G72" s="393" t="str">
        <v>市值 / USD1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Four.meme / USD1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1</f>
      </c>
      <c r="C3" s="56" t="str">
        <v>内盘 k</v>
      </c>
      <c r="D3" s="51" t="n">
        <v>4413590452240.8545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11759</v>
      </c>
      <c r="G5" t="str">
        <v>资金预留 / USD1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2351800000000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1073972602.73965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IF(AND(ISNUMBER($J$6),ISNUMBER($H$5)),SUM(J6:J8)+$H$5,"")</f>
      </c>
    </row>
    <row r="10">
      <c r="A10" s="55" t="str">
        <v>内盘初始 Quote</v>
      </c>
      <c r="B10" s="51" t="n">
        <v>4109.59315068374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J11" s="65"/>
    </row>
    <row r="12" ht="34" customHeight="1">
      <c r="A12" s="10" t="str">
        <v>控筹率</v>
      </c>
      <c r="B12" s="10" t="str">
        <v>pooled token</v>
      </c>
      <c r="C12" s="10" t="str">
        <v>pooled USD1</v>
      </c>
      <c r="D12" s="10" t="str">
        <v>k</v>
      </c>
      <c r="E12" s="331" t="str">
        <v>价格 / USD1</v>
      </c>
      <c r="F12" s="331" t="str">
        <v>价格 / USDT</v>
      </c>
      <c r="G12" s="331" t="str">
        <v>市值 / USD1</v>
      </c>
      <c r="H12" s="331" t="str">
        <v>市值 / USD</v>
      </c>
      <c r="I12" s="331" t="str">
        <v>所需 USD1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0.8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USD1</v>
      </c>
      <c r="D24" s="77" t="str">
        <v>k</v>
      </c>
      <c r="E24" s="391" t="str">
        <v>价格 / USD1</v>
      </c>
      <c r="F24" s="391" t="str">
        <v>价格 / USDT</v>
      </c>
      <c r="G24" s="393" t="str">
        <v>市值 / USD1</v>
      </c>
      <c r="H24" s="393" t="str">
        <v>市值 / USD</v>
      </c>
      <c r="I24" s="331" t="str">
        <v>所需 USD1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IF(A25&gt;=1,"",C25-$D$5)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USD1</v>
      </c>
      <c r="D72" s="77" t="str">
        <v>k</v>
      </c>
      <c r="E72" s="391" t="str">
        <v>价格 / USD1</v>
      </c>
      <c r="F72" s="391" t="str">
        <v>价格 / USDT</v>
      </c>
      <c r="G72" s="393" t="str">
        <v>市值 / USD1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Four.meme / BNB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'币价'!$B$4</f>
      </c>
      <c r="C3" s="56" t="str">
        <v>内盘 k</v>
      </c>
      <c r="D3" s="51" t="n">
        <v>6620378206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17.64</v>
      </c>
      <c r="G5" t="str">
        <v>资金预留 / BNB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3528000000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1073972562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IF(AND(ISNUMBER($J$6),ISNUMBER($H$5)),SUM(J6:J8)+$H$5,"")</f>
      </c>
    </row>
    <row r="10">
      <c r="A10" s="55" t="str">
        <v>内盘初始 Quote</v>
      </c>
      <c r="B10" s="51" t="n">
        <v>6.164383561643836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J11" s="555"/>
    </row>
    <row r="12" ht="34" customHeight="1">
      <c r="A12" s="10" t="str">
        <v>控筹率</v>
      </c>
      <c r="B12" s="10" t="str">
        <v>pooled token</v>
      </c>
      <c r="C12" s="10" t="str">
        <v>pooled BNB</v>
      </c>
      <c r="D12" s="10" t="str">
        <v>k</v>
      </c>
      <c r="E12" s="331" t="str">
        <v>价格 / BNB</v>
      </c>
      <c r="F12" s="331" t="str">
        <v>价格 / USDT</v>
      </c>
      <c r="G12" s="331" t="str">
        <v>市值 / BNB</v>
      </c>
      <c r="H12" s="331" t="str">
        <v>市值 / USD</v>
      </c>
      <c r="I12" s="331" t="str">
        <v>所需 BNB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0.8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BNB</v>
      </c>
      <c r="D24" s="77" t="str">
        <v>k</v>
      </c>
      <c r="E24" s="391" t="str">
        <v>价格 / BNB</v>
      </c>
      <c r="F24" s="391" t="str">
        <v>价格 / USDT</v>
      </c>
      <c r="G24" s="393" t="str">
        <v>市值 / BNB</v>
      </c>
      <c r="H24" s="393" t="str">
        <v>市值 / USD</v>
      </c>
      <c r="I24" s="331" t="str">
        <v>所需 BNB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IF(A25&gt;=1,"",C25-$D$5)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BNB</v>
      </c>
      <c r="D72" s="77" t="str">
        <v>k</v>
      </c>
      <c r="E72" s="391" t="str">
        <v>价格 / BNB</v>
      </c>
      <c r="F72" s="391" t="str">
        <v>价格 / USDT</v>
      </c>
      <c r="G72" s="393" t="str">
        <v>市值 / BNB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Four.meme / ASTER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'币价'!$B$6</f>
      </c>
      <c r="C3" s="56" t="str">
        <v>内盘 k</v>
      </c>
      <c r="D3" s="51" t="n">
        <v>1838995507294.99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4900</v>
      </c>
      <c r="G5" t="str">
        <v>资金预留 / ASTER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980000000000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1073972603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IF(AND(ISNUMBER($J$6),ISNUMBER($H$5)),SUM(J6:J8)+$H$5,"")</f>
      </c>
    </row>
    <row r="10">
      <c r="A10" s="55" t="str">
        <v>内盘初始 Quote</v>
      </c>
      <c r="B10" s="51" t="n">
        <v>1712.33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J11" s="65"/>
    </row>
    <row r="12" ht="34" customHeight="1">
      <c r="A12" s="10" t="str">
        <v>控筹率</v>
      </c>
      <c r="B12" s="10" t="str">
        <v>pooled token</v>
      </c>
      <c r="C12" s="10" t="str">
        <v>pooled ASTER</v>
      </c>
      <c r="D12" s="10" t="str">
        <v>k</v>
      </c>
      <c r="E12" s="331" t="str">
        <v>价格 / ASTER</v>
      </c>
      <c r="F12" s="331" t="str">
        <v>价格 / USDT</v>
      </c>
      <c r="G12" s="331" t="str">
        <v>市值 / ASTER</v>
      </c>
      <c r="H12" s="331" t="str">
        <v>市值 / USD</v>
      </c>
      <c r="I12" s="331" t="str">
        <v>所需 ASTER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0.8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ASTER</v>
      </c>
      <c r="D24" s="77" t="str">
        <v>k</v>
      </c>
      <c r="E24" s="391" t="str">
        <v>价格 / ASTER</v>
      </c>
      <c r="F24" s="391" t="str">
        <v>价格 / USDT</v>
      </c>
      <c r="G24" s="393" t="str">
        <v>市值 / ASTER</v>
      </c>
      <c r="H24" s="393" t="str">
        <v>市值 / USD</v>
      </c>
      <c r="I24" s="331" t="str">
        <v>所需 ASTER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IF(A25&gt;=1,"",C25-$D$5)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ASTER</v>
      </c>
      <c r="D72" s="77" t="str">
        <v>k</v>
      </c>
      <c r="E72" s="391" t="str">
        <v>价格 / ASTER</v>
      </c>
      <c r="F72" s="391" t="str">
        <v>价格 / USDT</v>
      </c>
      <c r="G72" s="393" t="str">
        <v>市值 / ASTER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Hyperpie / HYPE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'币价'!$B$5</f>
      </c>
      <c r="C3" s="56" t="str">
        <v>内盘 k</v>
      </c>
      <c r="D3" s="51" t="n">
        <v>106666666700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201376811</v>
      </c>
      <c r="G4" t="str">
        <v>单地址 Gas / HYPE</v>
      </c>
      <c r="H4" s="99" t="n">
        <v>0.1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297</v>
      </c>
      <c r="G5" t="str">
        <v>资金预留 / HYPE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59808912867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0.003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1066666667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IF(AND(ISNUMBER($J$6),ISNUMBER($H$5)),SUM(J6:J8)+$H$5,"")</f>
      </c>
    </row>
    <row r="10">
      <c r="A10" s="55" t="str">
        <v>内盘初始 Quote</v>
      </c>
      <c r="B10" s="51" t="n">
        <v>100</v>
      </c>
      <c r="C10"/>
      <c r="D10"/>
      <c r="G10" t="str">
        <v>滑点预留</v>
      </c>
      <c r="H10" s="102" t="n">
        <v>0</v>
      </c>
      <c r="I10" t="str">
        <v>Gas 储备 / HYPE</v>
      </c>
      <c r="J10" s="554">
        <f>($H$7*$H$8+$J$3+$J$4)*$H$4</f>
      </c>
    </row>
    <row r="11">
      <c r="J11" s="555"/>
    </row>
    <row r="12" ht="34" customHeight="1">
      <c r="A12" s="10" t="str">
        <v>控筹率</v>
      </c>
      <c r="B12" s="10" t="str">
        <v>pooled token</v>
      </c>
      <c r="C12" s="10" t="str">
        <v>pooled HYPE</v>
      </c>
      <c r="D12" s="10" t="str">
        <v>k</v>
      </c>
      <c r="E12" s="331" t="str">
        <v>价格 / HYPE</v>
      </c>
      <c r="F12" s="331" t="str">
        <v>价格 / USDT</v>
      </c>
      <c r="G12" s="331" t="str">
        <v>市值 / HYPE</v>
      </c>
      <c r="H12" s="331" t="str">
        <v>市值 / USD</v>
      </c>
      <c r="I12" s="331" t="str">
        <v>所需 HYPE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0.8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HYPE</v>
      </c>
      <c r="D24" s="77" t="str">
        <v>k</v>
      </c>
      <c r="E24" s="391" t="str">
        <v>价格 / HYPE</v>
      </c>
      <c r="F24" s="391" t="str">
        <v>价格 / USDT</v>
      </c>
      <c r="G24" s="393" t="str">
        <v>市值 / HYPE</v>
      </c>
      <c r="H24" s="393" t="str">
        <v>市值 / USD</v>
      </c>
      <c r="I24" s="331" t="str">
        <v>所需 HYPE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IF(A25&gt;=1,"",C25-$D$5)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HYPE</v>
      </c>
      <c r="D72" s="77" t="str">
        <v>k</v>
      </c>
      <c r="E72" s="391" t="str">
        <v>价格 / HYPE</v>
      </c>
      <c r="F72" s="391" t="str">
        <v>价格 / USDT</v>
      </c>
      <c r="G72" s="393" t="str">
        <v>市值 / HYPE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Flap / BNB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'币价'!$B$4</f>
      </c>
      <c r="C3" s="56" t="str">
        <v>内盘 k</v>
      </c>
      <c r="D3" s="51" t="n">
        <v>6797205657.28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15.998</v>
      </c>
      <c r="G5" t="str">
        <v>资金预留 / BNB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3199600000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1107036752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IF(AND(ISNUMBER($J$6),ISNUMBER($H$5)),SUM(J6:J8)+$H$5+$J$11,"")</f>
      </c>
    </row>
    <row r="10">
      <c r="A10" s="55" t="str">
        <v>内盘初始 Quote</v>
      </c>
      <c r="B10" s="51" t="n">
        <v>6.14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I11" t="str">
        <v>恢复目标控筹资金</v>
      </c>
      <c r="J11" s="555">
        <f>MAX(0,($D$6/($D$4-($J$5-$B$6)*$B$4)-$D$6/($D$4-($J$5*(1-$B$8)^2-$B$6)*$B$4))*(1+$B$8))</f>
      </c>
    </row>
    <row r="12" ht="34" customHeight="1">
      <c r="A12" s="10" t="str">
        <v>控筹率</v>
      </c>
      <c r="B12" s="10" t="str">
        <v>pooled token</v>
      </c>
      <c r="C12" s="10" t="str">
        <v>pooled BNB</v>
      </c>
      <c r="D12" s="10" t="str">
        <v>k</v>
      </c>
      <c r="E12" s="331" t="str">
        <v>价格 / BNB</v>
      </c>
      <c r="F12" s="331" t="str">
        <v>价格 / USDT</v>
      </c>
      <c r="G12" s="331" t="str">
        <v>市值 / BNB</v>
      </c>
      <c r="H12" s="331" t="str">
        <v>市值 / USD</v>
      </c>
      <c r="I12" s="331" t="str">
        <v>所需 BNB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0.8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BNB</v>
      </c>
      <c r="D24" s="77" t="str">
        <v>k</v>
      </c>
      <c r="E24" s="391" t="str">
        <v>价格 / BNB</v>
      </c>
      <c r="F24" s="391" t="str">
        <v>价格 / USDT</v>
      </c>
      <c r="G24" s="393" t="str">
        <v>市值 / BNB</v>
      </c>
      <c r="H24" s="393" t="str">
        <v>市值 / USD</v>
      </c>
      <c r="I24" s="331" t="str">
        <v>所需 BNB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IF(A25&gt;=1,"",$D$4-(A25-$B$6)*$B$4)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IF(A25&gt;=1,"",0)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IF(A26&gt;=1,"",$D$4-(A26-$B$6)*$B$4)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IF(A27&gt;=1,"",$D$4-(A27-$B$6)*$B$4)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IF(A28&gt;=1,"",$D$4-(A28-$B$6)*$B$4)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IF(A29&gt;=1,"",$D$4-(A29-$B$6)*$B$4)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IF(A30&gt;=1,"",$D$4-(A30-$B$6)*$B$4)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IF(A31&gt;=1,"",$D$4-(A31-$B$6)*$B$4)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IF(A32&gt;=1,"",$D$4-(A32-$B$6)*$B$4)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IF(A33&gt;=1,"",$D$4-(A33-$B$6)*$B$4)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IF(A34&gt;=1,"",$D$4-(A34-$B$6)*$B$4)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IF(A35&gt;=1,"",$D$4-(A35-$B$6)*$B$4)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IF(A36&gt;=1,"",$D$4-(A36-$B$6)*$B$4)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IF(A37&gt;=1,"",$D$4-(A37-$B$6)*$B$4)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IF(A38&gt;=1,"",$D$4-(A38-$B$6)*$B$4)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IF(A39&gt;=1,"",$D$4-(A39-$B$6)*$B$4)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IF(A40&gt;=1,"",$D$4-(A40-$B$6)*$B$4)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IF(A41&gt;=1,"",$D$4-(A41-$B$6)*$B$4)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IF(A42&gt;=1,"",$D$4-(A42-$B$6)*$B$4)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IF(A43&gt;=1,"",$D$4-(A43-$B$6)*$B$4)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IF(A44&gt;=1,"",$D$4-(A44-$B$6)*$B$4)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IF(A45&gt;=1,"",$D$4-(A45-$B$6)*$B$4)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IF(A46&gt;=1,"",$D$4-(A46-$B$6)*$B$4)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IF(A47&gt;=1,"",$D$4-(A47-$B$6)*$B$4)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IF(A48&gt;=1,"",$D$4-(A48-$B$6)*$B$4)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IF(A49&gt;=1,"",$D$4-(A49-$B$6)*$B$4)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IF(A50&gt;=1,"",$D$4-(A50-$B$6)*$B$4)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IF(A51&gt;=1,"",$D$4-(A51-$B$6)*$B$4)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IF(A52&gt;=1,"",$D$4-(A52-$B$6)*$B$4)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IF(A53&gt;=1,"",$D$4-(A53-$B$6)*$B$4)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IF(A54&gt;=1,"",$D$4-(A54-$B$6)*$B$4)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IF(A55&gt;=1,"",$D$4-(A55-$B$6)*$B$4)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IF(A56&gt;=1,"",$D$4-(A56-$B$6)*$B$4)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IF(A57&gt;=1,"",$D$4-(A57-$B$6)*$B$4)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IF(A58&gt;=1,"",$D$4-(A58-$B$6)*$B$4)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IF(A59&gt;=1,"",$D$4-(A59-$B$6)*$B$4)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IF(A60&gt;=1,"",$D$4-(A60-$B$6)*$B$4)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IF(A61&gt;=1,"",$D$4-(A61-$B$6)*$B$4)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IF(A62&gt;=1,"",$D$4-(A62-$B$6)*$B$4)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IF(A63&gt;=1,"",$D$4-(A63-$B$6)*$B$4)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IF(A64&gt;=1,"",$D$4-(A64-$B$6)*$B$4)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IF(A65&gt;=1,"",$D$4-(A65-$B$6)*$B$4)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BNB</v>
      </c>
      <c r="D72" s="77" t="str">
        <v>k</v>
      </c>
      <c r="E72" s="391" t="str">
        <v>价格 / BNB</v>
      </c>
      <c r="F72" s="391" t="str">
        <v>价格 / USDT</v>
      </c>
      <c r="G72" s="393" t="str">
        <v>市值 / BNB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Flap / USD1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1</f>
      </c>
      <c r="C3" s="56" t="str">
        <v>内盘 k</v>
      </c>
      <c r="D3" s="51" t="n">
        <v>4247700017424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199600000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9997.5</v>
      </c>
      <c r="G5" t="str">
        <v>资金预留 / USD1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1995501000000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1107036752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IF(AND(ISNUMBER($J$6),ISNUMBER($H$5)),SUM(J6:J8)+$H$5+$J$11,"")</f>
      </c>
    </row>
    <row r="10">
      <c r="A10" s="55" t="str">
        <v>内盘初始 Quote</v>
      </c>
      <c r="B10" s="51" t="n">
        <v>3837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I11" t="str">
        <v>恢复目标控筹资金</v>
      </c>
      <c r="J11" s="65">
        <f>MAX(0,($D$6/($D$4-($J$5-$B$6)*$B$4)-$D$6/($D$4-($J$5*(1-$B$8)^2-$B$6)*$B$4))*(1+$B$8))</f>
      </c>
    </row>
    <row r="12" ht="34" customHeight="1">
      <c r="A12" s="10" t="str">
        <v>控筹率</v>
      </c>
      <c r="B12" s="10" t="str">
        <v>pooled token</v>
      </c>
      <c r="C12" s="10" t="str">
        <v>pooled USD1</v>
      </c>
      <c r="D12" s="10" t="str">
        <v>k</v>
      </c>
      <c r="E12" s="331" t="str">
        <v>价格 / USD1</v>
      </c>
      <c r="F12" s="331" t="str">
        <v>价格 / USDT</v>
      </c>
      <c r="G12" s="331" t="str">
        <v>市值 / USD1</v>
      </c>
      <c r="H12" s="331" t="str">
        <v>市值 / USD</v>
      </c>
      <c r="I12" s="331" t="str">
        <v>所需 USD1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0.8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USD1</v>
      </c>
      <c r="D24" s="77" t="str">
        <v>k</v>
      </c>
      <c r="E24" s="391" t="str">
        <v>价格 / USD1</v>
      </c>
      <c r="F24" s="391" t="str">
        <v>价格 / USDT</v>
      </c>
      <c r="G24" s="393" t="str">
        <v>市值 / USD1</v>
      </c>
      <c r="H24" s="393" t="str">
        <v>市值 / USD</v>
      </c>
      <c r="I24" s="331" t="str">
        <v>所需 USD1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IF(A25&gt;=1,"",$D$4-(A25-$B$6)*$B$4)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IF(A25&gt;=1,"",0)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IF(A26&gt;=1,"",$D$4-(A26-$B$6)*$B$4)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IF(A27&gt;=1,"",$D$4-(A27-$B$6)*$B$4)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IF(A28&gt;=1,"",$D$4-(A28-$B$6)*$B$4)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IF(A29&gt;=1,"",$D$4-(A29-$B$6)*$B$4)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IF(A30&gt;=1,"",$D$4-(A30-$B$6)*$B$4)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IF(A31&gt;=1,"",$D$4-(A31-$B$6)*$B$4)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IF(A32&gt;=1,"",$D$4-(A32-$B$6)*$B$4)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IF(A33&gt;=1,"",$D$4-(A33-$B$6)*$B$4)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IF(A34&gt;=1,"",$D$4-(A34-$B$6)*$B$4)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IF(A35&gt;=1,"",$D$4-(A35-$B$6)*$B$4)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IF(A36&gt;=1,"",$D$4-(A36-$B$6)*$B$4)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IF(A37&gt;=1,"",$D$4-(A37-$B$6)*$B$4)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IF(A38&gt;=1,"",$D$4-(A38-$B$6)*$B$4)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IF(A39&gt;=1,"",$D$4-(A39-$B$6)*$B$4)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IF(A40&gt;=1,"",$D$4-(A40-$B$6)*$B$4)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IF(A41&gt;=1,"",$D$4-(A41-$B$6)*$B$4)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IF(A42&gt;=1,"",$D$4-(A42-$B$6)*$B$4)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IF(A43&gt;=1,"",$D$4-(A43-$B$6)*$B$4)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IF(A44&gt;=1,"",$D$4-(A44-$B$6)*$B$4)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IF(A45&gt;=1,"",$D$4-(A45-$B$6)*$B$4)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IF(A46&gt;=1,"",$D$4-(A46-$B$6)*$B$4)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IF(A47&gt;=1,"",$D$4-(A47-$B$6)*$B$4)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IF(A48&gt;=1,"",$D$4-(A48-$B$6)*$B$4)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IF(A49&gt;=1,"",$D$4-(A49-$B$6)*$B$4)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IF(A50&gt;=1,"",$D$4-(A50-$B$6)*$B$4)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IF(A51&gt;=1,"",$D$4-(A51-$B$6)*$B$4)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IF(A52&gt;=1,"",$D$4-(A52-$B$6)*$B$4)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IF(A53&gt;=1,"",$D$4-(A53-$B$6)*$B$4)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IF(A54&gt;=1,"",$D$4-(A54-$B$6)*$B$4)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IF(A55&gt;=1,"",$D$4-(A55-$B$6)*$B$4)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IF(A56&gt;=1,"",$D$4-(A56-$B$6)*$B$4)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IF(A57&gt;=1,"",$D$4-(A57-$B$6)*$B$4)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IF(A58&gt;=1,"",$D$4-(A58-$B$6)*$B$4)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IF(A59&gt;=1,"",$D$4-(A59-$B$6)*$B$4)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IF(A60&gt;=1,"",$D$4-(A60-$B$6)*$B$4)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IF(A61&gt;=1,"",$D$4-(A61-$B$6)*$B$4)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IF(A62&gt;=1,"",$D$4-(A62-$B$6)*$B$4)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IF(A63&gt;=1,"",$D$4-(A63-$B$6)*$B$4)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IF(A64&gt;=1,"",$D$4-(A64-$B$6)*$B$4)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IF(A65&gt;=1,"",$D$4-(A65-$B$6)*$B$4)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USD1</v>
      </c>
      <c r="D72" s="77" t="str">
        <v>k</v>
      </c>
      <c r="E72" s="391" t="str">
        <v>价格 / USD1</v>
      </c>
      <c r="F72" s="391" t="str">
        <v>价格 / USDT</v>
      </c>
      <c r="G72" s="393" t="str">
        <v>市值 / USD1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1" max="1" width="24" hidden="0" customWidth="1"/>
    <col min="2" max="2" width="14" hidden="0" customWidth="1"/>
    <col min="3" max="3" width="14" hidden="0" customWidth="1"/>
    <col min="4" max="4" width="48" hidden="0" customWidth="1"/>
    <col min="5" max="5" width="48" hidden="0" customWidth="1"/>
  </cols>
  <sheetData>
    <row r="1">
      <c r="A1" s="4" t="str">
        <v>模型校验 / FORMULA CHECKS</v>
      </c>
      <c r="B1" s="4"/>
      <c r="C1" s="4"/>
      <c r="D1" s="4"/>
      <c r="E1" s="4"/>
    </row>
    <row r="2">
      <c r="A2" s="10" t="str">
        <v>模型</v>
      </c>
      <c r="B2" s="10" t="str">
        <v>90% 参考累计</v>
      </c>
      <c r="C2" s="10" t="str">
        <v>90% 公式累计</v>
      </c>
      <c r="D2" s="10" t="str">
        <v>差异</v>
      </c>
      <c r="E2" s="10" t="str">
        <v>状态</v>
      </c>
    </row>
    <row r="3">
      <c r="A3" s="27" t="str">
        <v>Pump.fun / SOL</v>
      </c>
      <c r="B3" s="70" t="n">
        <v>178.05824635199946</v>
      </c>
      <c r="C3" s="70">
        <f>'Pump_SOL'!K45</f>
      </c>
      <c r="D3" s="70">
        <f>ABS(B3-C3)</f>
      </c>
      <c r="E3" s="27">
        <f>IF(D3&lt;0.01,"OK","CHECK")</f>
      </c>
    </row>
    <row r="4">
      <c r="A4" s="27" t="str">
        <v>LetsBonk / USD1</v>
      </c>
      <c r="B4" s="70" t="n">
        <v>26384.14075292629</v>
      </c>
      <c r="C4" s="70">
        <f>'Bonk_USD1'!K45</f>
      </c>
      <c r="D4" s="70">
        <f>ABS(B4-C4)</f>
      </c>
      <c r="E4" s="27">
        <f>IF(D4&lt;0.01,"OK","CHECK")</f>
      </c>
    </row>
    <row r="5">
      <c r="A5" s="27" t="str">
        <v>Four.meme / USD1</v>
      </c>
      <c r="B5" s="70" t="n">
        <v>23908.40961999985</v>
      </c>
      <c r="C5" s="70">
        <f>'Four_USD1'!K45</f>
      </c>
      <c r="D5" s="70">
        <f>ABS(B5-C5)</f>
      </c>
      <c r="E5" s="27">
        <f>IF(D5&lt;0.01,"OK","CHECK")</f>
      </c>
    </row>
    <row r="6">
      <c r="A6" s="27" t="str">
        <v>Four.meme / BNB</v>
      </c>
      <c r="B6" s="70" t="n">
        <v>35.86410102467379</v>
      </c>
      <c r="C6" s="70">
        <f>'Four_BNB'!K45</f>
      </c>
      <c r="D6" s="70">
        <f>ABS(B6-C6)</f>
      </c>
      <c r="E6" s="27">
        <f>IF(D6&lt;0.01,"OK","CHECK")</f>
      </c>
    </row>
    <row r="7">
      <c r="A7" s="27" t="str">
        <v>Four.meme / ASTER</v>
      </c>
      <c r="B7" s="70" t="n">
        <v>9962.253631202499</v>
      </c>
      <c r="C7" s="70">
        <f>'Four_ASTER'!K45</f>
      </c>
      <c r="D7" s="70">
        <f>ABS(B7-C7)</f>
      </c>
      <c r="E7" s="27">
        <f>IF(D7&lt;0.01,"OK","CHECK")</f>
      </c>
    </row>
    <row r="8">
      <c r="A8" s="27" t="str">
        <v>Hyperpie / HYPE</v>
      </c>
      <c r="B8" s="70" t="n">
        <v>604.99239567726</v>
      </c>
      <c r="C8" s="70">
        <f>'Hyper_HYPE'!K45</f>
      </c>
      <c r="D8" s="70">
        <f>ABS(B8-C8)</f>
      </c>
      <c r="E8" s="27">
        <f>IF(D8&lt;0.01,"OK","CHECK")</f>
      </c>
    </row>
    <row r="9">
      <c r="A9" s="27" t="str">
        <v>Flap / BNB</v>
      </c>
      <c r="B9" s="70" t="n">
        <v>32.1960606637483</v>
      </c>
      <c r="C9" s="70">
        <f>'Flap_BNB'!K45</f>
      </c>
      <c r="D9" s="70">
        <f>ABS(B9-C9)</f>
      </c>
      <c r="E9" s="27">
        <f>IF(D9&lt;0.01,"OK","CHECK")</f>
      </c>
    </row>
    <row r="10">
      <c r="A10" s="27" t="str">
        <v>Flap / USD1</v>
      </c>
      <c r="B10" s="70" t="n">
        <v>20079.87901144987</v>
      </c>
      <c r="C10" s="70">
        <f>'Flap_USD1'!K45</f>
      </c>
      <c r="D10" s="70">
        <f>ABS(B10-C10)</f>
      </c>
      <c r="E10" s="27">
        <f>IF(D10&lt;0.01,"OK","CHECK")</f>
      </c>
    </row>
    <row r="11">
      <c r="A11" s="188" t="str">
        <v>Pons V2 / ETH</v>
      </c>
      <c r="B11" s="189" t="n">
        <v>52.01742424242425</v>
      </c>
      <c r="C11" s="189">
        <f>'PonsV2_ETH'!K46</f>
      </c>
      <c r="D11" s="189">
        <f>C11-B11</f>
      </c>
      <c r="E11" s="188">
        <f>IF(ABS(D11)&lt;0.00000001,"OK","CHECK")</f>
      </c>
    </row>
    <row r="12">
      <c r="A12" s="10" t="str">
        <v>控制点</v>
      </c>
      <c r="B12" s="10" t="str">
        <v>结果</v>
      </c>
    </row>
    <row r="13">
      <c r="A13" t="str">
        <v>外盘档位数</v>
      </c>
      <c r="B13">
        <f>COUNTA('Four_USD1'!A25:A65)</f>
      </c>
    </row>
    <row r="14">
      <c r="A14" t="str">
        <v>起点</v>
      </c>
      <c r="B14">
        <f>'Four_USD1'!A25</f>
      </c>
    </row>
    <row r="15">
      <c r="A15" t="str">
        <v>终点</v>
      </c>
      <c r="B15">
        <f>'Four_USD1'!A65</f>
      </c>
    </row>
    <row r="16">
      <c r="A16" t="str">
        <v>回落档位数</v>
      </c>
      <c r="B16">
        <f>COUNTA('Four_USD1'!A73:A81)</f>
      </c>
    </row>
    <row r="17">
      <c r="A17" t="str">
        <v>0% 沉没成本</v>
      </c>
      <c r="B17">
        <f>'Four_USD1'!C81</f>
      </c>
    </row>
    <row r="18">
      <c r="A18" s="188" t="str">
        <v>Pons 外盘起点</v>
      </c>
      <c r="B18" s="190">
        <f>'PonsV2_ETH'!A25</f>
      </c>
    </row>
    <row r="19">
      <c r="A19" s="188" t="str">
        <v>Pons 90% 累计</v>
      </c>
      <c r="B19" s="189">
        <f>'PonsV2_ETH'!K46</f>
      </c>
    </row>
    <row r="20">
      <c r="A20" s="188" t="str">
        <v>Pons 0% 沉没成本</v>
      </c>
      <c r="B20" s="189" t="n">
        <v>0.9333333333333333</v>
      </c>
    </row>
    <row r="22">
      <c r="A22" s="296" t="str">
        <v>费率来源</v>
      </c>
      <c r="B22" s="296" t="str">
        <v>内盘费率</v>
      </c>
      <c r="C22" s="296" t="str">
        <v>外盘费率</v>
      </c>
      <c r="D22" s="296" t="str">
        <v>主来源</v>
      </c>
      <c r="E22" s="296" t="str">
        <v>补充来源</v>
      </c>
    </row>
    <row r="23" ht="30" customHeight="1">
      <c r="A23" s="206" t="str">
        <v>Pump.fun</v>
      </c>
      <c r="B23" s="300" t="n">
        <v>0.0125</v>
      </c>
      <c r="C23" s="300" t="n">
        <v>0.0125</v>
      </c>
      <c r="D23" s="306" t="str">
        <v>https://pump.fun/docs/fees</v>
      </c>
      <c r="E23" s="306" t="str">
        <v>Pump 外盘按用户指定固定口径 1.25%</v>
      </c>
    </row>
    <row r="24" ht="30" customHeight="1">
      <c r="A24" s="207" t="str">
        <v>LetsBonk</v>
      </c>
      <c r="B24" s="301" t="n">
        <v>0.015</v>
      </c>
      <c r="C24" s="301" t="n">
        <v>0.0125</v>
      </c>
      <c r="D24" s="307" t="str">
        <v>https://explorer.solana.com/address/FfYek5vEz23cMkWsdJwG2oa6EphsvXSHrGpdALN4g6W1</v>
      </c>
      <c r="E24" s="307" t="str">
        <v>https://api-v3.raydium.io/main/cpmm-config</v>
      </c>
    </row>
    <row r="25" ht="30" customHeight="1">
      <c r="A25" s="208" t="str">
        <v>Hyperpie</v>
      </c>
      <c r="B25" s="302" t="n">
        <v>0.01</v>
      </c>
      <c r="C25" s="302" t="n">
        <v>0.003</v>
      </c>
      <c r="D25" s="308" t="str">
        <v>https://hyperevmscan.io/address/0x9246d27EA8059529a615a4ACF35351dF0fa6168e#code</v>
      </c>
      <c r="E25" s="308" t="str">
        <v>https://hyperevmscan.io/address/0xeAF40318453a81993569B14b898AAC31Df6133fA#code</v>
      </c>
    </row>
  </sheetData>
  <mergeCells>
    <mergeCell ref="A1:E1"/>
  </mergeCells>
  <pageMargins left="0.7" right="0.7" top="0.75" bottom="0.75" header="0.3" footer="0.3"/>
  <legacyDrawing r:id="R1ddca8a476e14d2d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xSplit="1" ySplit="12" topLeftCell="B13" activePane="bottomRight" state="frozen"/>
    </sheetView>
  </sheetViews>
  <sheetFormatPr defaultRowHeight="15"/>
  <cols>
    <col min="1" max="1" width="18" hidden="0" customWidth="1"/>
    <col min="2" max="2" width="52" hidden="0" customWidth="1"/>
    <col min="3" max="3" width="18" hidden="0" customWidth="1"/>
    <col min="4" max="4" width="14" hidden="0" customWidth="1"/>
    <col min="5" max="5" width="16" hidden="0" customWidth="1"/>
    <col min="6" max="6" width="20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</cols>
  <sheetData>
    <row r="1" ht="32" customHeight="1">
      <c r="A1" s="107" t="str">
        <v>Pons V2 / ETH · 发射控筹理论模型</v>
      </c>
      <c r="B1" s="107"/>
      <c r="C1" s="107"/>
      <c r="D1" s="107"/>
      <c r="E1" s="107"/>
      <c r="F1" s="107"/>
      <c r="G1" s="107"/>
      <c r="H1" s="107"/>
      <c r="I1" s="107"/>
      <c r="J1" s="107"/>
    </row>
    <row r="2">
      <c r="A2"/>
      <c r="B2"/>
      <c r="C2"/>
      <c r="D2"/>
      <c r="E2"/>
      <c r="F2"/>
      <c r="G2"/>
      <c r="H2"/>
      <c r="I2"/>
      <c r="J2"/>
    </row>
    <row r="3">
      <c r="A3" t="str">
        <v>Quote USD 价格</v>
      </c>
      <c r="B3" s="103">
        <f>'币价'!B7</f>
      </c>
      <c r="C3"/>
      <c r="D3" t="str">
        <v>毕业控筹率</v>
      </c>
      <c r="E3" s="125">
        <f>1-B5/(B5+B6)</f>
      </c>
      <c r="F3"/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t="str">
        <v>total supply</v>
      </c>
      <c r="B4" s="124" t="n">
        <v>1000000000</v>
      </c>
      <c r="C4"/>
      <c r="D4" t="str">
        <v>外盘初始 token</v>
      </c>
      <c r="E4" s="98">
        <f>B4*(1-E3)*E3</f>
      </c>
      <c r="F4"/>
      <c r="G4" t="str">
        <v>单地址 Gas / ETH</v>
      </c>
      <c r="H4" s="99" t="n">
        <v>0.005</v>
      </c>
      <c r="I4" t="str">
        <v>Holder 地址</v>
      </c>
      <c r="J4" s="100" t="n">
        <v>150</v>
      </c>
    </row>
    <row r="5">
      <c r="A5" t="str">
        <v>phantom Quote</v>
      </c>
      <c r="B5" s="124" t="n">
        <v>1.68</v>
      </c>
      <c r="C5"/>
      <c r="D5" t="str">
        <v>外盘初始 Quote</v>
      </c>
      <c r="E5" s="95" t="n">
        <v>4.2</v>
      </c>
      <c r="F5"/>
      <c r="G5" t="str">
        <v>资金预留 / ETH</v>
      </c>
      <c r="H5" s="553">
        <f>IF($B$3&gt;0,ROUNDUP('币价'!$B$15/($B$3/'币价'!$B$12),0),"")</f>
      </c>
      <c r="I5" t="str">
        <v>默认目标控筹率</v>
      </c>
      <c r="J5" s="102" t="n">
        <v>0.9</v>
      </c>
    </row>
    <row r="6">
      <c r="A6" t="str">
        <v>graduation threshold</v>
      </c>
      <c r="B6" s="124" t="n">
        <v>4.2</v>
      </c>
      <c r="C6"/>
      <c r="D6" t="str">
        <v>外盘 k</v>
      </c>
      <c r="E6" s="98">
        <f>E4*E5</f>
      </c>
      <c r="F6"/>
      <c r="G6" t="str">
        <v>洗筹口径</v>
      </c>
      <c r="H6" s="95" t="str">
        <v>FDV × 费率 × 2</v>
      </c>
      <c r="I6" t="str">
        <v>目标 +1% 理论资金</v>
      </c>
      <c r="J6" s="554">
        <f>INDEX($K$25:$K$66,ROUND(($J$5+1%-80%)/0.5%,0)+2)</f>
      </c>
    </row>
    <row r="7">
      <c r="A7" t="str">
        <v>内盘曲线费</v>
      </c>
      <c r="B7" s="102" t="n">
        <v>0.01</v>
      </c>
      <c r="C7"/>
      <c r="D7" t="str">
        <v>外盘 Hook 费</v>
      </c>
      <c r="E7" s="102" t="n">
        <v>0.01</v>
      </c>
      <c r="F7"/>
      <c r="G7" t="str">
        <v>内盘地址 / 套</v>
      </c>
      <c r="H7" s="100" t="n">
        <v>20</v>
      </c>
      <c r="I7" t="str">
        <v>额外内盘资金</v>
      </c>
      <c r="J7" s="554">
        <f>$K$21*($H$8-1)</f>
      </c>
    </row>
    <row r="8">
      <c r="A8" t="str">
        <v>Creator Tax</v>
      </c>
      <c r="B8" s="102" t="n">
        <v>0</v>
      </c>
      <c r="C8"/>
      <c r="D8" t="str">
        <v>Buyback enabled</v>
      </c>
      <c r="E8" s="95" t="str">
        <v>否</v>
      </c>
      <c r="F8"/>
      <c r="G8" t="str">
        <v>内盘套数</v>
      </c>
      <c r="H8" s="100" t="n">
        <v>2</v>
      </c>
      <c r="I8" t="str">
        <v>动态洗筹手续费</v>
      </c>
      <c r="J8" s="554">
        <f>INDEX($G$25:$G$66,ROUND(($J$5+1%-80%)/0.5%,0)+2)*($E$7+$B$8)*2</f>
      </c>
    </row>
    <row r="9">
      <c r="A9" t="str">
        <v>Creator Tax 上限</v>
      </c>
      <c r="B9" s="102" t="n">
        <v>0.1</v>
      </c>
      <c r="C9"/>
      <c r="D9" t="str">
        <v>Snipe-tax exemption</v>
      </c>
      <c r="E9" s="95" t="str">
        <v>豁免 / ≥5秒</v>
      </c>
      <c r="F9"/>
      <c r="G9" t="str">
        <v>Snipe 默认</v>
      </c>
      <c r="H9" s="95" t="str">
        <v>豁免 / ≥5秒</v>
      </c>
      <c r="I9" t="str">
        <v>建议 Quote 资金</v>
      </c>
      <c r="J9" s="554">
        <f>IF(AND(ISNUMBER($J$6),ISNUMBER($H$5)),SUM(J6:J8)+$H$5,"")</f>
      </c>
    </row>
    <row r="10">
      <c r="A10" t="str">
        <v>Launch fee</v>
      </c>
      <c r="B10" s="124" t="n">
        <v>0.0005</v>
      </c>
      <c r="C10"/>
      <c r="D10" t="str">
        <v>Creator fee recipient</v>
      </c>
      <c r="E10" s="95" t="str"/>
      <c r="F10"/>
      <c r="G10" t="str">
        <v>滑点预留</v>
      </c>
      <c r="H10" s="102" t="n">
        <v>0</v>
      </c>
      <c r="I10" t="str">
        <v>Gas 储备 / ETH</v>
      </c>
      <c r="J10" s="554">
        <f>($H$7*$H$8+$J$3+$J$4)*$H$4</f>
      </c>
    </row>
    <row r="11">
      <c r="A11"/>
      <c r="B11"/>
      <c r="C11"/>
      <c r="D11"/>
      <c r="E11"/>
      <c r="F11"/>
      <c r="G11"/>
      <c r="H11"/>
      <c r="I11" t="str">
        <v>恢复目标控筹资金</v>
      </c>
      <c r="J11" s="555" t="n">
        <v>0</v>
      </c>
    </row>
    <row r="12">
      <c r="A12" s="111" t="str">
        <v>控筹率</v>
      </c>
      <c r="B12" s="111" t="str">
        <v>pooled token</v>
      </c>
      <c r="C12" s="111" t="str">
        <v>pooled ETH</v>
      </c>
      <c r="D12" s="111" t="str">
        <v>k</v>
      </c>
      <c r="E12" s="442" t="str">
        <v>价格 / ETH</v>
      </c>
      <c r="F12" s="442" t="str">
        <v>价格 / USDT</v>
      </c>
      <c r="G12" s="442" t="str">
        <v>市值 / ETH</v>
      </c>
      <c r="H12" s="442" t="str">
        <v>市值 / USD</v>
      </c>
      <c r="I12" s="442" t="str">
        <v>所需 ETH</v>
      </c>
      <c r="J12" s="442" t="str">
        <v>本档实付</v>
      </c>
      <c r="K12" s="452" t="str">
        <v>理论累计所需</v>
      </c>
    </row>
    <row r="13">
      <c r="A13" s="126" t="n">
        <v>0</v>
      </c>
      <c r="B13" s="65">
        <f>$B$4*(1-A13)</f>
      </c>
      <c r="C13" s="555">
        <f>$B$4*$B$5/B13</f>
      </c>
      <c r="D13" s="76">
        <f>$B$4*$B$5</f>
      </c>
      <c r="E13" s="458">
        <f>C13/B13</f>
      </c>
      <c r="F13" s="458">
        <f>IF(ISNUMBER(E13),E13*$B$3/'币价'!$B$12,"")</f>
      </c>
      <c r="G13" s="569">
        <f>E13*$B$4</f>
      </c>
      <c r="H13" s="572">
        <f>G13*$B$3</f>
      </c>
      <c r="I13" s="569">
        <f>0</f>
      </c>
      <c r="J13" s="569">
        <f>0</f>
      </c>
      <c r="K13" s="571">
        <f>0</f>
      </c>
    </row>
    <row r="14">
      <c r="A14" s="126" t="n">
        <v>0.1</v>
      </c>
      <c r="B14" s="65">
        <f>$B$4*(1-A14)</f>
      </c>
      <c r="C14" s="555">
        <f>$B$4*$B$5/B14</f>
      </c>
      <c r="D14" s="76">
        <f>$B$4*$B$5</f>
      </c>
      <c r="E14" s="458">
        <f>C14/B14</f>
      </c>
      <c r="F14" s="458">
        <f>IF(ISNUMBER(E14),E14*$B$3/'币价'!$B$12,"")</f>
      </c>
      <c r="G14" s="569">
        <f>E14*$B$4</f>
      </c>
      <c r="H14" s="572">
        <f>G14*$B$3</f>
      </c>
      <c r="I14" s="569">
        <f>C14-C13</f>
      </c>
      <c r="J14" s="569">
        <f>I14/(1-$B$7-$B$8)</f>
      </c>
      <c r="K14" s="571">
        <f>K13+J14</f>
      </c>
    </row>
    <row r="15">
      <c r="A15" s="126" t="n">
        <v>0.2</v>
      </c>
      <c r="B15" s="65">
        <f>$B$4*(1-A15)</f>
      </c>
      <c r="C15" s="555">
        <f>$B$4*$B$5/B15</f>
      </c>
      <c r="D15" s="76">
        <f>$B$4*$B$5</f>
      </c>
      <c r="E15" s="458">
        <f>C15/B15</f>
      </c>
      <c r="F15" s="458">
        <f>IF(ISNUMBER(E15),E15*$B$3/'币价'!$B$12,"")</f>
      </c>
      <c r="G15" s="569">
        <f>E15*$B$4</f>
      </c>
      <c r="H15" s="572">
        <f>G15*$B$3</f>
      </c>
      <c r="I15" s="569">
        <f>C15-C14</f>
      </c>
      <c r="J15" s="569">
        <f>I15/(1-$B$7-$B$8)</f>
      </c>
      <c r="K15" s="571">
        <f>K14+J15</f>
      </c>
    </row>
    <row r="16">
      <c r="A16" s="126" t="n">
        <v>0.3</v>
      </c>
      <c r="B16" s="65">
        <f>$B$4*(1-A16)</f>
      </c>
      <c r="C16" s="555">
        <f>$B$4*$B$5/B16</f>
      </c>
      <c r="D16" s="76">
        <f>$B$4*$B$5</f>
      </c>
      <c r="E16" s="458">
        <f>C16/B16</f>
      </c>
      <c r="F16" s="458">
        <f>IF(ISNUMBER(E16),E16*$B$3/'币价'!$B$12,"")</f>
      </c>
      <c r="G16" s="569">
        <f>E16*$B$4</f>
      </c>
      <c r="H16" s="572">
        <f>G16*$B$3</f>
      </c>
      <c r="I16" s="569">
        <f>C16-C15</f>
      </c>
      <c r="J16" s="569">
        <f>I16/(1-$B$7-$B$8)</f>
      </c>
      <c r="K16" s="571">
        <f>K15+J16</f>
      </c>
    </row>
    <row r="17">
      <c r="A17" s="126" t="n">
        <v>0.4</v>
      </c>
      <c r="B17" s="65">
        <f>$B$4*(1-A17)</f>
      </c>
      <c r="C17" s="555">
        <f>$B$4*$B$5/B17</f>
      </c>
      <c r="D17" s="76">
        <f>$B$4*$B$5</f>
      </c>
      <c r="E17" s="458">
        <f>C17/B17</f>
      </c>
      <c r="F17" s="458">
        <f>IF(ISNUMBER(E17),E17*$B$3/'币价'!$B$12,"")</f>
      </c>
      <c r="G17" s="569">
        <f>E17*$B$4</f>
      </c>
      <c r="H17" s="572">
        <f>G17*$B$3</f>
      </c>
      <c r="I17" s="569">
        <f>C17-C16</f>
      </c>
      <c r="J17" s="569">
        <f>I17/(1-$B$7-$B$8)</f>
      </c>
      <c r="K17" s="571">
        <f>K16+J17</f>
      </c>
    </row>
    <row r="18">
      <c r="A18" s="126" t="n">
        <v>0.5</v>
      </c>
      <c r="B18" s="65">
        <f>$B$4*(1-A18)</f>
      </c>
      <c r="C18" s="555">
        <f>$B$4*$B$5/B18</f>
      </c>
      <c r="D18" s="76">
        <f>$B$4*$B$5</f>
      </c>
      <c r="E18" s="458">
        <f>C18/B18</f>
      </c>
      <c r="F18" s="458">
        <f>IF(ISNUMBER(E18),E18*$B$3/'币价'!$B$12,"")</f>
      </c>
      <c r="G18" s="569">
        <f>E18*$B$4</f>
      </c>
      <c r="H18" s="572">
        <f>G18*$B$3</f>
      </c>
      <c r="I18" s="569">
        <f>C18-C17</f>
      </c>
      <c r="J18" s="569">
        <f>I18/(1-$B$7-$B$8)</f>
      </c>
      <c r="K18" s="571">
        <f>K17+J18</f>
      </c>
    </row>
    <row r="19">
      <c r="A19" s="126" t="n">
        <v>0.6</v>
      </c>
      <c r="B19" s="65">
        <f>$B$4*(1-A19)</f>
      </c>
      <c r="C19" s="555">
        <f>$B$4*$B$5/B19</f>
      </c>
      <c r="D19" s="76">
        <f>$B$4*$B$5</f>
      </c>
      <c r="E19" s="458">
        <f>C19/B19</f>
      </c>
      <c r="F19" s="458">
        <f>IF(ISNUMBER(E19),E19*$B$3/'币价'!$B$12,"")</f>
      </c>
      <c r="G19" s="569">
        <f>E19*$B$4</f>
      </c>
      <c r="H19" s="572">
        <f>G19*$B$3</f>
      </c>
      <c r="I19" s="569">
        <f>C19-C18</f>
      </c>
      <c r="J19" s="569">
        <f>I19/(1-$B$7-$B$8)</f>
      </c>
      <c r="K19" s="571">
        <f>K18+J19</f>
      </c>
    </row>
    <row r="20">
      <c r="A20" s="126" t="n">
        <v>0.7</v>
      </c>
      <c r="B20" s="65">
        <f>$B$4*(1-A20)</f>
      </c>
      <c r="C20" s="555">
        <f>$B$4*$B$5/B20</f>
      </c>
      <c r="D20" s="76">
        <f>$B$4*$B$5</f>
      </c>
      <c r="E20" s="458">
        <f>C20/B20</f>
      </c>
      <c r="F20" s="458">
        <f>IF(ISNUMBER(E20),E20*$B$3/'币价'!$B$12,"")</f>
      </c>
      <c r="G20" s="569">
        <f>E20*$B$4</f>
      </c>
      <c r="H20" s="572">
        <f>G20*$B$3</f>
      </c>
      <c r="I20" s="569">
        <f>C20-C19</f>
      </c>
      <c r="J20" s="569">
        <f>I20/(1-$B$7-$B$8)</f>
      </c>
      <c r="K20" s="571">
        <f>K19+J20</f>
      </c>
    </row>
    <row r="21">
      <c r="A21" s="127">
        <f>$E$3</f>
      </c>
      <c r="B21" s="129">
        <f>$B$4*(1-A21)</f>
      </c>
      <c r="C21" s="568">
        <f>$B$4*$B$5/B21</f>
      </c>
      <c r="D21" s="137">
        <f>$B$4*$B$5</f>
      </c>
      <c r="E21" s="490">
        <f>C21/B21</f>
      </c>
      <c r="F21" s="490">
        <f>IF(ISNUMBER(E21),E21*$B$3/'币价'!$B$12,"")</f>
      </c>
      <c r="G21" s="570">
        <f>E21*$B$4</f>
      </c>
      <c r="H21" s="573">
        <f>G21*$B$3</f>
      </c>
      <c r="I21" s="570">
        <f>C21-C20</f>
      </c>
      <c r="J21" s="570">
        <f>I21/(1-$B$7-$B$8)</f>
      </c>
      <c r="K21" s="570">
        <f>K20+J21</f>
      </c>
    </row>
    <row r="22">
      <c r="A22"/>
      <c r="B22" s="65"/>
      <c r="C22" s="17"/>
      <c r="D22" s="76"/>
      <c r="E22" s="82"/>
      <c r="F22" s="17"/>
      <c r="G22" s="92"/>
      <c r="H22" s="149"/>
      <c r="I22" s="149"/>
      <c r="J22" s="150"/>
    </row>
    <row r="23">
      <c r="A23"/>
      <c r="B23" s="65"/>
      <c r="C23" s="17"/>
      <c r="D23" s="76"/>
      <c r="E23" s="82"/>
      <c r="F23" s="17"/>
      <c r="G23" s="92"/>
      <c r="H23" s="149"/>
      <c r="I23" s="149"/>
      <c r="J23" s="150"/>
    </row>
    <row r="24">
      <c r="A24" s="111" t="str">
        <v>控筹率</v>
      </c>
      <c r="B24" s="130" t="str">
        <v>pooled token</v>
      </c>
      <c r="C24" s="134" t="str">
        <v>pooled ETH</v>
      </c>
      <c r="D24" s="138" t="str">
        <v>k</v>
      </c>
      <c r="E24" s="444" t="str">
        <v>价格 / ETH</v>
      </c>
      <c r="F24" s="444" t="str">
        <v>价格 / USDT</v>
      </c>
      <c r="G24" s="516" t="str">
        <v>市值 / ETH</v>
      </c>
      <c r="H24" s="519" t="str">
        <v>市值 / USD</v>
      </c>
      <c r="I24" s="520" t="str">
        <v>所需 ETH</v>
      </c>
      <c r="J24" s="520" t="str">
        <v>本档实付</v>
      </c>
      <c r="K24" s="524" t="str">
        <v>理论累计所需</v>
      </c>
    </row>
    <row r="25">
      <c r="A25" s="127">
        <f>$E$3</f>
      </c>
      <c r="B25" s="129">
        <f>IF(OR($E$4-MAX(0,(A25-$E$3)*$B$4)/(1-$E$7-$B$8)&lt;=0,A25&gt;=1-($B$4*(1-$E$3)-$E$4)/$B$4),"",$B$4*(1-A25)-($B$4*(1-$E$3)-$E$4))</f>
      </c>
      <c r="C25" s="568">
        <f>IF(B25="","",$E$6/B25)</f>
      </c>
      <c r="D25" s="137">
        <f>IF(B25="","",$E$6)</f>
      </c>
      <c r="E25" s="490">
        <f>IF(B25="","",C25/B25)</f>
      </c>
      <c r="F25" s="490">
        <f>IF(ISNUMBER(E25),E25*$B$3/'币价'!$B$12,"")</f>
      </c>
      <c r="G25" s="570">
        <f>IF(B25="","",E25*$B$4)</f>
      </c>
      <c r="H25" s="573">
        <f>IF(B25="","",G25*$B$3)</f>
      </c>
      <c r="I25" s="570">
        <f>0</f>
      </c>
      <c r="J25" s="570">
        <f>0</f>
      </c>
      <c r="K25" s="570">
        <f>IF(B25="","不可达",$K$21+$E$6/($E$4-MAX(0,(A25-$E$3)*$B$4)/(1-$E$7-$B$8))-$E$5)</f>
      </c>
    </row>
    <row r="26">
      <c r="A26" s="126" t="n">
        <v>0.8</v>
      </c>
      <c r="B26" s="65">
        <f>IF(OR($E$4-MAX(0,(A26-$E$3)*$B$4)/(1-$E$7-$B$8)&lt;=0,A26&gt;=1-($B$4*(1-$E$3)-$E$4)/$B$4),"",$B$4*(1-A26)-($B$4*(1-$E$3)-$E$4))</f>
      </c>
      <c r="C26" s="555">
        <f>IF(B26="","",$E$6/B26)</f>
      </c>
      <c r="D26" s="76">
        <f>IF(B26="","",$E$6)</f>
      </c>
      <c r="E26" s="458">
        <f>IF(B26="","",C26/B26)</f>
      </c>
      <c r="F26" s="458">
        <f>IF(ISNUMBER(E26),E26*$B$3/'币价'!$B$12,"")</f>
      </c>
      <c r="G26" s="569">
        <f>IF(B26="","",E26*$B$4)</f>
      </c>
      <c r="H26" s="572">
        <f>IF(B26="","",G26*$B$3)</f>
      </c>
      <c r="I26" s="569">
        <f>IF(B26="","",C26-C25)</f>
      </c>
      <c r="J26" s="569">
        <f>IF(B26="","",K26-K25)</f>
      </c>
      <c r="K26" s="571">
        <f>IF(B26="","不可达",$K$21+$E$6/($E$4-MAX(0,(A26-$E$3)*$B$4)/(1-$E$7-$B$8))-$E$5)</f>
      </c>
    </row>
    <row r="27">
      <c r="A27" s="126" t="n">
        <v>0.805</v>
      </c>
      <c r="B27" s="65">
        <f>IF(OR($E$4-MAX(0,(A27-$E$3)*$B$4)/(1-$E$7-$B$8)&lt;=0,A27&gt;=1-($B$4*(1-$E$3)-$E$4)/$B$4),"",$B$4*(1-A27)-($B$4*(1-$E$3)-$E$4))</f>
      </c>
      <c r="C27" s="555">
        <f>IF(B27="","",$E$6/B27)</f>
      </c>
      <c r="D27" s="76">
        <f>IF(B27="","",$E$6)</f>
      </c>
      <c r="E27" s="458">
        <f>IF(B27="","",C27/B27)</f>
      </c>
      <c r="F27" s="458">
        <f>IF(ISNUMBER(E27),E27*$B$3/'币价'!$B$12,"")</f>
      </c>
      <c r="G27" s="569">
        <f>IF(B27="","",E27*$B$4)</f>
      </c>
      <c r="H27" s="572">
        <f>IF(B27="","",G27*$B$3)</f>
      </c>
      <c r="I27" s="569">
        <f>IF(B27="","",C27-C26)</f>
      </c>
      <c r="J27" s="569">
        <f>IF(B27="","",K27-K26)</f>
      </c>
      <c r="K27" s="571">
        <f>IF(B27="","不可达",$K$21+$E$6/($E$4-MAX(0,(A27-$E$3)*$B$4)/(1-$E$7-$B$8))-$E$5)</f>
      </c>
    </row>
    <row r="28">
      <c r="A28" s="126" t="n">
        <v>0.81</v>
      </c>
      <c r="B28" s="65">
        <f>IF(OR($E$4-MAX(0,(A28-$E$3)*$B$4)/(1-$E$7-$B$8)&lt;=0,A28&gt;=1-($B$4*(1-$E$3)-$E$4)/$B$4),"",$B$4*(1-A28)-($B$4*(1-$E$3)-$E$4))</f>
      </c>
      <c r="C28" s="555">
        <f>IF(B28="","",$E$6/B28)</f>
      </c>
      <c r="D28" s="76">
        <f>IF(B28="","",$E$6)</f>
      </c>
      <c r="E28" s="458">
        <f>IF(B28="","",C28/B28)</f>
      </c>
      <c r="F28" s="458">
        <f>IF(ISNUMBER(E28),E28*$B$3/'币价'!$B$12,"")</f>
      </c>
      <c r="G28" s="569">
        <f>IF(B28="","",E28*$B$4)</f>
      </c>
      <c r="H28" s="572">
        <f>IF(B28="","",G28*$B$3)</f>
      </c>
      <c r="I28" s="569">
        <f>IF(B28="","",C28-C27)</f>
      </c>
      <c r="J28" s="569">
        <f>IF(B28="","",K28-K27)</f>
      </c>
      <c r="K28" s="571">
        <f>IF(B28="","不可达",$K$21+$E$6/($E$4-MAX(0,(A28-$E$3)*$B$4)/(1-$E$7-$B$8))-$E$5)</f>
      </c>
    </row>
    <row r="29">
      <c r="A29" s="126" t="n">
        <v>0.8150000000000001</v>
      </c>
      <c r="B29" s="65">
        <f>IF(OR($E$4-MAX(0,(A29-$E$3)*$B$4)/(1-$E$7-$B$8)&lt;=0,A29&gt;=1-($B$4*(1-$E$3)-$E$4)/$B$4),"",$B$4*(1-A29)-($B$4*(1-$E$3)-$E$4))</f>
      </c>
      <c r="C29" s="555">
        <f>IF(B29="","",$E$6/B29)</f>
      </c>
      <c r="D29" s="76">
        <f>IF(B29="","",$E$6)</f>
      </c>
      <c r="E29" s="458">
        <f>IF(B29="","",C29/B29)</f>
      </c>
      <c r="F29" s="458">
        <f>IF(ISNUMBER(E29),E29*$B$3/'币价'!$B$12,"")</f>
      </c>
      <c r="G29" s="569">
        <f>IF(B29="","",E29*$B$4)</f>
      </c>
      <c r="H29" s="572">
        <f>IF(B29="","",G29*$B$3)</f>
      </c>
      <c r="I29" s="569">
        <f>IF(B29="","",C29-C28)</f>
      </c>
      <c r="J29" s="569">
        <f>IF(B29="","",K29-K28)</f>
      </c>
      <c r="K29" s="571">
        <f>IF(B29="","不可达",$K$21+$E$6/($E$4-MAX(0,(A29-$E$3)*$B$4)/(1-$E$7-$B$8))-$E$5)</f>
      </c>
    </row>
    <row r="30">
      <c r="A30" s="126" t="n">
        <v>0.8200000000000001</v>
      </c>
      <c r="B30" s="65">
        <f>IF(OR($E$4-MAX(0,(A30-$E$3)*$B$4)/(1-$E$7-$B$8)&lt;=0,A30&gt;=1-($B$4*(1-$E$3)-$E$4)/$B$4),"",$B$4*(1-A30)-($B$4*(1-$E$3)-$E$4))</f>
      </c>
      <c r="C30" s="555">
        <f>IF(B30="","",$E$6/B30)</f>
      </c>
      <c r="D30" s="76">
        <f>IF(B30="","",$E$6)</f>
      </c>
      <c r="E30" s="458">
        <f>IF(B30="","",C30/B30)</f>
      </c>
      <c r="F30" s="458">
        <f>IF(ISNUMBER(E30),E30*$B$3/'币价'!$B$12,"")</f>
      </c>
      <c r="G30" s="569">
        <f>IF(B30="","",E30*$B$4)</f>
      </c>
      <c r="H30" s="572">
        <f>IF(B30="","",G30*$B$3)</f>
      </c>
      <c r="I30" s="569">
        <f>IF(B30="","",C30-C29)</f>
      </c>
      <c r="J30" s="569">
        <f>IF(B30="","",K30-K29)</f>
      </c>
      <c r="K30" s="571">
        <f>IF(B30="","不可达",$K$21+$E$6/($E$4-MAX(0,(A30-$E$3)*$B$4)/(1-$E$7-$B$8))-$E$5)</f>
      </c>
    </row>
    <row r="31">
      <c r="A31" s="126" t="n">
        <v>0.8250000000000001</v>
      </c>
      <c r="B31" s="65">
        <f>IF(OR($E$4-MAX(0,(A31-$E$3)*$B$4)/(1-$E$7-$B$8)&lt;=0,A31&gt;=1-($B$4*(1-$E$3)-$E$4)/$B$4),"",$B$4*(1-A31)-($B$4*(1-$E$3)-$E$4))</f>
      </c>
      <c r="C31" s="555">
        <f>IF(B31="","",$E$6/B31)</f>
      </c>
      <c r="D31" s="76">
        <f>IF(B31="","",$E$6)</f>
      </c>
      <c r="E31" s="458">
        <f>IF(B31="","",C31/B31)</f>
      </c>
      <c r="F31" s="458">
        <f>IF(ISNUMBER(E31),E31*$B$3/'币价'!$B$12,"")</f>
      </c>
      <c r="G31" s="569">
        <f>IF(B31="","",E31*$B$4)</f>
      </c>
      <c r="H31" s="572">
        <f>IF(B31="","",G31*$B$3)</f>
      </c>
      <c r="I31" s="569">
        <f>IF(B31="","",C31-C30)</f>
      </c>
      <c r="J31" s="569">
        <f>IF(B31="","",K31-K30)</f>
      </c>
      <c r="K31" s="571">
        <f>IF(B31="","不可达",$K$21+$E$6/($E$4-MAX(0,(A31-$E$3)*$B$4)/(1-$E$7-$B$8))-$E$5)</f>
      </c>
    </row>
    <row r="32">
      <c r="A32" s="126" t="n">
        <v>0.8300000000000001</v>
      </c>
      <c r="B32" s="65">
        <f>IF(OR($E$4-MAX(0,(A32-$E$3)*$B$4)/(1-$E$7-$B$8)&lt;=0,A32&gt;=1-($B$4*(1-$E$3)-$E$4)/$B$4),"",$B$4*(1-A32)-($B$4*(1-$E$3)-$E$4))</f>
      </c>
      <c r="C32" s="555">
        <f>IF(B32="","",$E$6/B32)</f>
      </c>
      <c r="D32" s="76">
        <f>IF(B32="","",$E$6)</f>
      </c>
      <c r="E32" s="458">
        <f>IF(B32="","",C32/B32)</f>
      </c>
      <c r="F32" s="458">
        <f>IF(ISNUMBER(E32),E32*$B$3/'币价'!$B$12,"")</f>
      </c>
      <c r="G32" s="569">
        <f>IF(B32="","",E32*$B$4)</f>
      </c>
      <c r="H32" s="572">
        <f>IF(B32="","",G32*$B$3)</f>
      </c>
      <c r="I32" s="569">
        <f>IF(B32="","",C32-C31)</f>
      </c>
      <c r="J32" s="569">
        <f>IF(B32="","",K32-K31)</f>
      </c>
      <c r="K32" s="571">
        <f>IF(B32="","不可达",$K$21+$E$6/($E$4-MAX(0,(A32-$E$3)*$B$4)/(1-$E$7-$B$8))-$E$5)</f>
      </c>
    </row>
    <row r="33">
      <c r="A33" s="126" t="n">
        <v>0.8350000000000001</v>
      </c>
      <c r="B33" s="65">
        <f>IF(OR($E$4-MAX(0,(A33-$E$3)*$B$4)/(1-$E$7-$B$8)&lt;=0,A33&gt;=1-($B$4*(1-$E$3)-$E$4)/$B$4),"",$B$4*(1-A33)-($B$4*(1-$E$3)-$E$4))</f>
      </c>
      <c r="C33" s="555">
        <f>IF(B33="","",$E$6/B33)</f>
      </c>
      <c r="D33" s="76">
        <f>IF(B33="","",$E$6)</f>
      </c>
      <c r="E33" s="458">
        <f>IF(B33="","",C33/B33)</f>
      </c>
      <c r="F33" s="458">
        <f>IF(ISNUMBER(E33),E33*$B$3/'币价'!$B$12,"")</f>
      </c>
      <c r="G33" s="569">
        <f>IF(B33="","",E33*$B$4)</f>
      </c>
      <c r="H33" s="572">
        <f>IF(B33="","",G33*$B$3)</f>
      </c>
      <c r="I33" s="569">
        <f>IF(B33="","",C33-C32)</f>
      </c>
      <c r="J33" s="569">
        <f>IF(B33="","",K33-K32)</f>
      </c>
      <c r="K33" s="571">
        <f>IF(B33="","不可达",$K$21+$E$6/($E$4-MAX(0,(A33-$E$3)*$B$4)/(1-$E$7-$B$8))-$E$5)</f>
      </c>
    </row>
    <row r="34">
      <c r="A34" s="126" t="n">
        <v>0.8400000000000001</v>
      </c>
      <c r="B34" s="65">
        <f>IF(OR($E$4-MAX(0,(A34-$E$3)*$B$4)/(1-$E$7-$B$8)&lt;=0,A34&gt;=1-($B$4*(1-$E$3)-$E$4)/$B$4),"",$B$4*(1-A34)-($B$4*(1-$E$3)-$E$4))</f>
      </c>
      <c r="C34" s="555">
        <f>IF(B34="","",$E$6/B34)</f>
      </c>
      <c r="D34" s="76">
        <f>IF(B34="","",$E$6)</f>
      </c>
      <c r="E34" s="458">
        <f>IF(B34="","",C34/B34)</f>
      </c>
      <c r="F34" s="458">
        <f>IF(ISNUMBER(E34),E34*$B$3/'币价'!$B$12,"")</f>
      </c>
      <c r="G34" s="569">
        <f>IF(B34="","",E34*$B$4)</f>
      </c>
      <c r="H34" s="572">
        <f>IF(B34="","",G34*$B$3)</f>
      </c>
      <c r="I34" s="569">
        <f>IF(B34="","",C34-C33)</f>
      </c>
      <c r="J34" s="569">
        <f>IF(B34="","",K34-K33)</f>
      </c>
      <c r="K34" s="571">
        <f>IF(B34="","不可达",$K$21+$E$6/($E$4-MAX(0,(A34-$E$3)*$B$4)/(1-$E$7-$B$8))-$E$5)</f>
      </c>
    </row>
    <row r="35">
      <c r="A35" s="126" t="n">
        <v>0.8450000000000001</v>
      </c>
      <c r="B35" s="65">
        <f>IF(OR($E$4-MAX(0,(A35-$E$3)*$B$4)/(1-$E$7-$B$8)&lt;=0,A35&gt;=1-($B$4*(1-$E$3)-$E$4)/$B$4),"",$B$4*(1-A35)-($B$4*(1-$E$3)-$E$4))</f>
      </c>
      <c r="C35" s="555">
        <f>IF(B35="","",$E$6/B35)</f>
      </c>
      <c r="D35" s="76">
        <f>IF(B35="","",$E$6)</f>
      </c>
      <c r="E35" s="458">
        <f>IF(B35="","",C35/B35)</f>
      </c>
      <c r="F35" s="458">
        <f>IF(ISNUMBER(E35),E35*$B$3/'币价'!$B$12,"")</f>
      </c>
      <c r="G35" s="569">
        <f>IF(B35="","",E35*$B$4)</f>
      </c>
      <c r="H35" s="572">
        <f>IF(B35="","",G35*$B$3)</f>
      </c>
      <c r="I35" s="569">
        <f>IF(B35="","",C35-C34)</f>
      </c>
      <c r="J35" s="569">
        <f>IF(B35="","",K35-K34)</f>
      </c>
      <c r="K35" s="571">
        <f>IF(B35="","不可达",$K$21+$E$6/($E$4-MAX(0,(A35-$E$3)*$B$4)/(1-$E$7-$B$8))-$E$5)</f>
      </c>
    </row>
    <row r="36">
      <c r="A36" s="126" t="n">
        <v>0.8500000000000001</v>
      </c>
      <c r="B36" s="65">
        <f>IF(OR($E$4-MAX(0,(A36-$E$3)*$B$4)/(1-$E$7-$B$8)&lt;=0,A36&gt;=1-($B$4*(1-$E$3)-$E$4)/$B$4),"",$B$4*(1-A36)-($B$4*(1-$E$3)-$E$4))</f>
      </c>
      <c r="C36" s="555">
        <f>IF(B36="","",$E$6/B36)</f>
      </c>
      <c r="D36" s="76">
        <f>IF(B36="","",$E$6)</f>
      </c>
      <c r="E36" s="458">
        <f>IF(B36="","",C36/B36)</f>
      </c>
      <c r="F36" s="458">
        <f>IF(ISNUMBER(E36),E36*$B$3/'币价'!$B$12,"")</f>
      </c>
      <c r="G36" s="569">
        <f>IF(B36="","",E36*$B$4)</f>
      </c>
      <c r="H36" s="572">
        <f>IF(B36="","",G36*$B$3)</f>
      </c>
      <c r="I36" s="569">
        <f>IF(B36="","",C36-C35)</f>
      </c>
      <c r="J36" s="569">
        <f>IF(B36="","",K36-K35)</f>
      </c>
      <c r="K36" s="571">
        <f>IF(B36="","不可达",$K$21+$E$6/($E$4-MAX(0,(A36-$E$3)*$B$4)/(1-$E$7-$B$8))-$E$5)</f>
      </c>
    </row>
    <row r="37">
      <c r="A37" s="126" t="n">
        <v>0.8550000000000001</v>
      </c>
      <c r="B37" s="65">
        <f>IF(OR($E$4-MAX(0,(A37-$E$3)*$B$4)/(1-$E$7-$B$8)&lt;=0,A37&gt;=1-($B$4*(1-$E$3)-$E$4)/$B$4),"",$B$4*(1-A37)-($B$4*(1-$E$3)-$E$4))</f>
      </c>
      <c r="C37" s="555">
        <f>IF(B37="","",$E$6/B37)</f>
      </c>
      <c r="D37" s="76">
        <f>IF(B37="","",$E$6)</f>
      </c>
      <c r="E37" s="458">
        <f>IF(B37="","",C37/B37)</f>
      </c>
      <c r="F37" s="458">
        <f>IF(ISNUMBER(E37),E37*$B$3/'币价'!$B$12,"")</f>
      </c>
      <c r="G37" s="569">
        <f>IF(B37="","",E37*$B$4)</f>
      </c>
      <c r="H37" s="572">
        <f>IF(B37="","",G37*$B$3)</f>
      </c>
      <c r="I37" s="569">
        <f>IF(B37="","",C37-C36)</f>
      </c>
      <c r="J37" s="569">
        <f>IF(B37="","",K37-K36)</f>
      </c>
      <c r="K37" s="571">
        <f>IF(B37="","不可达",$K$21+$E$6/($E$4-MAX(0,(A37-$E$3)*$B$4)/(1-$E$7-$B$8))-$E$5)</f>
      </c>
    </row>
    <row r="38">
      <c r="A38" s="126" t="n">
        <v>0.8600000000000001</v>
      </c>
      <c r="B38" s="65">
        <f>IF(OR($E$4-MAX(0,(A38-$E$3)*$B$4)/(1-$E$7-$B$8)&lt;=0,A38&gt;=1-($B$4*(1-$E$3)-$E$4)/$B$4),"",$B$4*(1-A38)-($B$4*(1-$E$3)-$E$4))</f>
      </c>
      <c r="C38" s="555">
        <f>IF(B38="","",$E$6/B38)</f>
      </c>
      <c r="D38" s="76">
        <f>IF(B38="","",$E$6)</f>
      </c>
      <c r="E38" s="458">
        <f>IF(B38="","",C38/B38)</f>
      </c>
      <c r="F38" s="458">
        <f>IF(ISNUMBER(E38),E38*$B$3/'币价'!$B$12,"")</f>
      </c>
      <c r="G38" s="569">
        <f>IF(B38="","",E38*$B$4)</f>
      </c>
      <c r="H38" s="572">
        <f>IF(B38="","",G38*$B$3)</f>
      </c>
      <c r="I38" s="569">
        <f>IF(B38="","",C38-C37)</f>
      </c>
      <c r="J38" s="569">
        <f>IF(B38="","",K38-K37)</f>
      </c>
      <c r="K38" s="571">
        <f>IF(B38="","不可达",$K$21+$E$6/($E$4-MAX(0,(A38-$E$3)*$B$4)/(1-$E$7-$B$8))-$E$5)</f>
      </c>
    </row>
    <row r="39">
      <c r="A39" s="126" t="n">
        <v>0.865</v>
      </c>
      <c r="B39" s="65">
        <f>IF(OR($E$4-MAX(0,(A39-$E$3)*$B$4)/(1-$E$7-$B$8)&lt;=0,A39&gt;=1-($B$4*(1-$E$3)-$E$4)/$B$4),"",$B$4*(1-A39)-($B$4*(1-$E$3)-$E$4))</f>
      </c>
      <c r="C39" s="555">
        <f>IF(B39="","",$E$6/B39)</f>
      </c>
      <c r="D39" s="76">
        <f>IF(B39="","",$E$6)</f>
      </c>
      <c r="E39" s="458">
        <f>IF(B39="","",C39/B39)</f>
      </c>
      <c r="F39" s="458">
        <f>IF(ISNUMBER(E39),E39*$B$3/'币价'!$B$12,"")</f>
      </c>
      <c r="G39" s="569">
        <f>IF(B39="","",E39*$B$4)</f>
      </c>
      <c r="H39" s="572">
        <f>IF(B39="","",G39*$B$3)</f>
      </c>
      <c r="I39" s="569">
        <f>IF(B39="","",C39-C38)</f>
      </c>
      <c r="J39" s="569">
        <f>IF(B39="","",K39-K38)</f>
      </c>
      <c r="K39" s="571">
        <f>IF(B39="","不可达",$K$21+$E$6/($E$4-MAX(0,(A39-$E$3)*$B$4)/(1-$E$7-$B$8))-$E$5)</f>
      </c>
    </row>
    <row r="40">
      <c r="A40" s="126" t="n">
        <v>0.8700000000000001</v>
      </c>
      <c r="B40" s="65">
        <f>IF(OR($E$4-MAX(0,(A40-$E$3)*$B$4)/(1-$E$7-$B$8)&lt;=0,A40&gt;=1-($B$4*(1-$E$3)-$E$4)/$B$4),"",$B$4*(1-A40)-($B$4*(1-$E$3)-$E$4))</f>
      </c>
      <c r="C40" s="555">
        <f>IF(B40="","",$E$6/B40)</f>
      </c>
      <c r="D40" s="76">
        <f>IF(B40="","",$E$6)</f>
      </c>
      <c r="E40" s="458">
        <f>IF(B40="","",C40/B40)</f>
      </c>
      <c r="F40" s="458">
        <f>IF(ISNUMBER(E40),E40*$B$3/'币价'!$B$12,"")</f>
      </c>
      <c r="G40" s="569">
        <f>IF(B40="","",E40*$B$4)</f>
      </c>
      <c r="H40" s="572">
        <f>IF(B40="","",G40*$B$3)</f>
      </c>
      <c r="I40" s="569">
        <f>IF(B40="","",C40-C39)</f>
      </c>
      <c r="J40" s="569">
        <f>IF(B40="","",K40-K39)</f>
      </c>
      <c r="K40" s="571">
        <f>IF(B40="","不可达",$K$21+$E$6/($E$4-MAX(0,(A40-$E$3)*$B$4)/(1-$E$7-$B$8))-$E$5)</f>
      </c>
    </row>
    <row r="41">
      <c r="A41" s="126" t="n">
        <v>0.875</v>
      </c>
      <c r="B41" s="65">
        <f>IF(OR($E$4-MAX(0,(A41-$E$3)*$B$4)/(1-$E$7-$B$8)&lt;=0,A41&gt;=1-($B$4*(1-$E$3)-$E$4)/$B$4),"",$B$4*(1-A41)-($B$4*(1-$E$3)-$E$4))</f>
      </c>
      <c r="C41" s="555">
        <f>IF(B41="","",$E$6/B41)</f>
      </c>
      <c r="D41" s="76">
        <f>IF(B41="","",$E$6)</f>
      </c>
      <c r="E41" s="458">
        <f>IF(B41="","",C41/B41)</f>
      </c>
      <c r="F41" s="458">
        <f>IF(ISNUMBER(E41),E41*$B$3/'币价'!$B$12,"")</f>
      </c>
      <c r="G41" s="569">
        <f>IF(B41="","",E41*$B$4)</f>
      </c>
      <c r="H41" s="572">
        <f>IF(B41="","",G41*$B$3)</f>
      </c>
      <c r="I41" s="569">
        <f>IF(B41="","",C41-C40)</f>
      </c>
      <c r="J41" s="569">
        <f>IF(B41="","",K41-K40)</f>
      </c>
      <c r="K41" s="571">
        <f>IF(B41="","不可达",$K$21+$E$6/($E$4-MAX(0,(A41-$E$3)*$B$4)/(1-$E$7-$B$8))-$E$5)</f>
      </c>
    </row>
    <row r="42">
      <c r="A42" s="126" t="n">
        <v>0.88</v>
      </c>
      <c r="B42" s="65">
        <f>IF(OR($E$4-MAX(0,(A42-$E$3)*$B$4)/(1-$E$7-$B$8)&lt;=0,A42&gt;=1-($B$4*(1-$E$3)-$E$4)/$B$4),"",$B$4*(1-A42)-($B$4*(1-$E$3)-$E$4))</f>
      </c>
      <c r="C42" s="555">
        <f>IF(B42="","",$E$6/B42)</f>
      </c>
      <c r="D42" s="76">
        <f>IF(B42="","",$E$6)</f>
      </c>
      <c r="E42" s="458">
        <f>IF(B42="","",C42/B42)</f>
      </c>
      <c r="F42" s="458">
        <f>IF(ISNUMBER(E42),E42*$B$3/'币价'!$B$12,"")</f>
      </c>
      <c r="G42" s="569">
        <f>IF(B42="","",E42*$B$4)</f>
      </c>
      <c r="H42" s="572">
        <f>IF(B42="","",G42*$B$3)</f>
      </c>
      <c r="I42" s="569">
        <f>IF(B42="","",C42-C41)</f>
      </c>
      <c r="J42" s="569">
        <f>IF(B42="","",K42-K41)</f>
      </c>
      <c r="K42" s="571">
        <f>IF(B42="","不可达",$K$21+$E$6/($E$4-MAX(0,(A42-$E$3)*$B$4)/(1-$E$7-$B$8))-$E$5)</f>
      </c>
    </row>
    <row r="43">
      <c r="A43" s="126" t="n">
        <v>0.885</v>
      </c>
      <c r="B43" s="65">
        <f>IF(OR($E$4-MAX(0,(A43-$E$3)*$B$4)/(1-$E$7-$B$8)&lt;=0,A43&gt;=1-($B$4*(1-$E$3)-$E$4)/$B$4),"",$B$4*(1-A43)-($B$4*(1-$E$3)-$E$4))</f>
      </c>
      <c r="C43" s="555">
        <f>IF(B43="","",$E$6/B43)</f>
      </c>
      <c r="D43" s="76">
        <f>IF(B43="","",$E$6)</f>
      </c>
      <c r="E43" s="458">
        <f>IF(B43="","",C43/B43)</f>
      </c>
      <c r="F43" s="458">
        <f>IF(ISNUMBER(E43),E43*$B$3/'币价'!$B$12,"")</f>
      </c>
      <c r="G43" s="569">
        <f>IF(B43="","",E43*$B$4)</f>
      </c>
      <c r="H43" s="572">
        <f>IF(B43="","",G43*$B$3)</f>
      </c>
      <c r="I43" s="569">
        <f>IF(B43="","",C43-C42)</f>
      </c>
      <c r="J43" s="569">
        <f>IF(B43="","",K43-K42)</f>
      </c>
      <c r="K43" s="571">
        <f>IF(B43="","不可达",$K$21+$E$6/($E$4-MAX(0,(A43-$E$3)*$B$4)/(1-$E$7-$B$8))-$E$5)</f>
      </c>
    </row>
    <row r="44">
      <c r="A44" s="126" t="n">
        <v>0.89</v>
      </c>
      <c r="B44" s="65">
        <f>IF(OR($E$4-MAX(0,(A44-$E$3)*$B$4)/(1-$E$7-$B$8)&lt;=0,A44&gt;=1-($B$4*(1-$E$3)-$E$4)/$B$4),"",$B$4*(1-A44)-($B$4*(1-$E$3)-$E$4))</f>
      </c>
      <c r="C44" s="555">
        <f>IF(B44="","",$E$6/B44)</f>
      </c>
      <c r="D44" s="76">
        <f>IF(B44="","",$E$6)</f>
      </c>
      <c r="E44" s="458">
        <f>IF(B44="","",C44/B44)</f>
      </c>
      <c r="F44" s="458">
        <f>IF(ISNUMBER(E44),E44*$B$3/'币价'!$B$12,"")</f>
      </c>
      <c r="G44" s="569">
        <f>IF(B44="","",E44*$B$4)</f>
      </c>
      <c r="H44" s="572">
        <f>IF(B44="","",G44*$B$3)</f>
      </c>
      <c r="I44" s="569">
        <f>IF(B44="","",C44-C43)</f>
      </c>
      <c r="J44" s="569">
        <f>IF(B44="","",K44-K43)</f>
      </c>
      <c r="K44" s="571">
        <f>IF(B44="","不可达",$K$21+$E$6/($E$4-MAX(0,(A44-$E$3)*$B$4)/(1-$E$7-$B$8))-$E$5)</f>
      </c>
    </row>
    <row r="45">
      <c r="A45" s="126" t="n">
        <v>0.895</v>
      </c>
      <c r="B45" s="65">
        <f>IF(OR($E$4-MAX(0,(A45-$E$3)*$B$4)/(1-$E$7-$B$8)&lt;=0,A45&gt;=1-($B$4*(1-$E$3)-$E$4)/$B$4),"",$B$4*(1-A45)-($B$4*(1-$E$3)-$E$4))</f>
      </c>
      <c r="C45" s="555">
        <f>IF(B45="","",$E$6/B45)</f>
      </c>
      <c r="D45" s="76">
        <f>IF(B45="","",$E$6)</f>
      </c>
      <c r="E45" s="458">
        <f>IF(B45="","",C45/B45)</f>
      </c>
      <c r="F45" s="458">
        <f>IF(ISNUMBER(E45),E45*$B$3/'币价'!$B$12,"")</f>
      </c>
      <c r="G45" s="569">
        <f>IF(B45="","",E45*$B$4)</f>
      </c>
      <c r="H45" s="572">
        <f>IF(B45="","",G45*$B$3)</f>
      </c>
      <c r="I45" s="569">
        <f>IF(B45="","",C45-C44)</f>
      </c>
      <c r="J45" s="569">
        <f>IF(B45="","",K45-K44)</f>
      </c>
      <c r="K45" s="571">
        <f>IF(B45="","不可达",$K$21+$E$6/($E$4-MAX(0,(A45-$E$3)*$B$4)/(1-$E$7-$B$8))-$E$5)</f>
      </c>
    </row>
    <row r="46">
      <c r="A46" s="126" t="n">
        <v>0.9</v>
      </c>
      <c r="B46" s="65">
        <f>IF(OR($E$4-MAX(0,(A46-$E$3)*$B$4)/(1-$E$7-$B$8)&lt;=0,A46&gt;=1-($B$4*(1-$E$3)-$E$4)/$B$4),"",$B$4*(1-A46)-($B$4*(1-$E$3)-$E$4))</f>
      </c>
      <c r="C46" s="555">
        <f>IF(B46="","",$E$6/B46)</f>
      </c>
      <c r="D46" s="76">
        <f>IF(B46="","",$E$6)</f>
      </c>
      <c r="E46" s="458">
        <f>IF(B46="","",C46/B46)</f>
      </c>
      <c r="F46" s="458">
        <f>IF(ISNUMBER(E46),E46*$B$3/'币价'!$B$12,"")</f>
      </c>
      <c r="G46" s="569">
        <f>IF(B46="","",E46*$B$4)</f>
      </c>
      <c r="H46" s="572">
        <f>IF(B46="","",G46*$B$3)</f>
      </c>
      <c r="I46" s="569">
        <f>IF(B46="","",C46-C45)</f>
      </c>
      <c r="J46" s="569">
        <f>IF(B46="","",K46-K45)</f>
      </c>
      <c r="K46" s="571">
        <f>IF(B46="","不可达",$K$21+$E$6/($E$4-MAX(0,(A46-$E$3)*$B$4)/(1-$E$7-$B$8))-$E$5)</f>
      </c>
    </row>
    <row r="47">
      <c r="A47" s="126" t="n">
        <v>0.905</v>
      </c>
      <c r="B47" s="65">
        <f>IF(OR($E$4-MAX(0,(A47-$E$3)*$B$4)/(1-$E$7-$B$8)&lt;=0,A47&gt;=1-($B$4*(1-$E$3)-$E$4)/$B$4),"",$B$4*(1-A47)-($B$4*(1-$E$3)-$E$4))</f>
      </c>
      <c r="C47" s="555">
        <f>IF(B47="","",$E$6/B47)</f>
      </c>
      <c r="D47" s="76">
        <f>IF(B47="","",$E$6)</f>
      </c>
      <c r="E47" s="458">
        <f>IF(B47="","",C47/B47)</f>
      </c>
      <c r="F47" s="458">
        <f>IF(ISNUMBER(E47),E47*$B$3/'币价'!$B$12,"")</f>
      </c>
      <c r="G47" s="569">
        <f>IF(B47="","",E47*$B$4)</f>
      </c>
      <c r="H47" s="572">
        <f>IF(B47="","",G47*$B$3)</f>
      </c>
      <c r="I47" s="569">
        <f>IF(B47="","",C47-C46)</f>
      </c>
      <c r="J47" s="569">
        <f>IF(B47="","",K47-K46)</f>
      </c>
      <c r="K47" s="571">
        <f>IF(B47="","不可达",$K$21+$E$6/($E$4-MAX(0,(A47-$E$3)*$B$4)/(1-$E$7-$B$8))-$E$5)</f>
      </c>
    </row>
    <row r="48">
      <c r="A48" s="126" t="n">
        <v>0.91</v>
      </c>
      <c r="B48" s="65">
        <f>IF(OR($E$4-MAX(0,(A48-$E$3)*$B$4)/(1-$E$7-$B$8)&lt;=0,A48&gt;=1-($B$4*(1-$E$3)-$E$4)/$B$4),"",$B$4*(1-A48)-($B$4*(1-$E$3)-$E$4))</f>
      </c>
      <c r="C48" s="555">
        <f>IF(B48="","",$E$6/B48)</f>
      </c>
      <c r="D48" s="76">
        <f>IF(B48="","",$E$6)</f>
      </c>
      <c r="E48" s="458">
        <f>IF(B48="","",C48/B48)</f>
      </c>
      <c r="F48" s="458">
        <f>IF(ISNUMBER(E48),E48*$B$3/'币价'!$B$12,"")</f>
      </c>
      <c r="G48" s="569">
        <f>IF(B48="","",E48*$B$4)</f>
      </c>
      <c r="H48" s="572">
        <f>IF(B48="","",G48*$B$3)</f>
      </c>
      <c r="I48" s="569">
        <f>IF(B48="","",C48-C47)</f>
      </c>
      <c r="J48" s="569">
        <f>IF(B48="","",K48-K47)</f>
      </c>
      <c r="K48" s="571">
        <f>IF(B48="","不可达",$K$21+$E$6/($E$4-MAX(0,(A48-$E$3)*$B$4)/(1-$E$7-$B$8))-$E$5)</f>
      </c>
    </row>
    <row r="49">
      <c r="A49" s="126" t="n">
        <v>0.915</v>
      </c>
      <c r="B49" s="65">
        <f>IF(OR($E$4-MAX(0,(A49-$E$3)*$B$4)/(1-$E$7-$B$8)&lt;=0,A49&gt;=1-($B$4*(1-$E$3)-$E$4)/$B$4),"",$B$4*(1-A49)-($B$4*(1-$E$3)-$E$4))</f>
      </c>
      <c r="C49" s="555">
        <f>IF(B49="","",$E$6/B49)</f>
      </c>
      <c r="D49" s="76">
        <f>IF(B49="","",$E$6)</f>
      </c>
      <c r="E49" s="458">
        <f>IF(B49="","",C49/B49)</f>
      </c>
      <c r="F49" s="458">
        <f>IF(ISNUMBER(E49),E49*$B$3/'币价'!$B$12,"")</f>
      </c>
      <c r="G49" s="569">
        <f>IF(B49="","",E49*$B$4)</f>
      </c>
      <c r="H49" s="572">
        <f>IF(B49="","",G49*$B$3)</f>
      </c>
      <c r="I49" s="569">
        <f>IF(B49="","",C49-C48)</f>
      </c>
      <c r="J49" s="569">
        <f>IF(B49="","",K49-K48)</f>
      </c>
      <c r="K49" s="571">
        <f>IF(B49="","不可达",$K$21+$E$6/($E$4-MAX(0,(A49-$E$3)*$B$4)/(1-$E$7-$B$8))-$E$5)</f>
      </c>
    </row>
    <row r="50">
      <c r="A50" s="126" t="n">
        <v>0.92</v>
      </c>
      <c r="B50" s="65">
        <f>IF(OR($E$4-MAX(0,(A50-$E$3)*$B$4)/(1-$E$7-$B$8)&lt;=0,A50&gt;=1-($B$4*(1-$E$3)-$E$4)/$B$4),"",$B$4*(1-A50)-($B$4*(1-$E$3)-$E$4))</f>
      </c>
      <c r="C50" s="555">
        <f>IF(B50="","",$E$6/B50)</f>
      </c>
      <c r="D50" s="76">
        <f>IF(B50="","",$E$6)</f>
      </c>
      <c r="E50" s="458">
        <f>IF(B50="","",C50/B50)</f>
      </c>
      <c r="F50" s="458">
        <f>IF(ISNUMBER(E50),E50*$B$3/'币价'!$B$12,"")</f>
      </c>
      <c r="G50" s="569">
        <f>IF(B50="","",E50*$B$4)</f>
      </c>
      <c r="H50" s="572">
        <f>IF(B50="","",G50*$B$3)</f>
      </c>
      <c r="I50" s="569">
        <f>IF(B50="","",C50-C49)</f>
      </c>
      <c r="J50" s="569">
        <f>IF(B50="","",K50-K49)</f>
      </c>
      <c r="K50" s="571">
        <f>IF(B50="","不可达",$K$21+$E$6/($E$4-MAX(0,(A50-$E$3)*$B$4)/(1-$E$7-$B$8))-$E$5)</f>
      </c>
    </row>
    <row r="51">
      <c r="A51" s="126" t="n">
        <v>0.925</v>
      </c>
      <c r="B51" s="65">
        <f>IF(OR($E$4-MAX(0,(A51-$E$3)*$B$4)/(1-$E$7-$B$8)&lt;=0,A51&gt;=1-($B$4*(1-$E$3)-$E$4)/$B$4),"",$B$4*(1-A51)-($B$4*(1-$E$3)-$E$4))</f>
      </c>
      <c r="C51" s="555">
        <f>IF(B51="","",$E$6/B51)</f>
      </c>
      <c r="D51" s="76">
        <f>IF(B51="","",$E$6)</f>
      </c>
      <c r="E51" s="458">
        <f>IF(B51="","",C51/B51)</f>
      </c>
      <c r="F51" s="458">
        <f>IF(ISNUMBER(E51),E51*$B$3/'币价'!$B$12,"")</f>
      </c>
      <c r="G51" s="569">
        <f>IF(B51="","",E51*$B$4)</f>
      </c>
      <c r="H51" s="572">
        <f>IF(B51="","",G51*$B$3)</f>
      </c>
      <c r="I51" s="569">
        <f>IF(B51="","",C51-C50)</f>
      </c>
      <c r="J51" s="569">
        <f>IF(B51="","",K51-K50)</f>
      </c>
      <c r="K51" s="571">
        <f>IF(B51="","不可达",$K$21+$E$6/($E$4-MAX(0,(A51-$E$3)*$B$4)/(1-$E$7-$B$8))-$E$5)</f>
      </c>
    </row>
    <row r="52">
      <c r="A52" s="126" t="n">
        <v>0.93</v>
      </c>
      <c r="B52" s="65">
        <f>IF(OR($E$4-MAX(0,(A52-$E$3)*$B$4)/(1-$E$7-$B$8)&lt;=0,A52&gt;=1-($B$4*(1-$E$3)-$E$4)/$B$4),"",$B$4*(1-A52)-($B$4*(1-$E$3)-$E$4))</f>
      </c>
      <c r="C52" s="555">
        <f>IF(B52="","",$E$6/B52)</f>
      </c>
      <c r="D52" s="76">
        <f>IF(B52="","",$E$6)</f>
      </c>
      <c r="E52" s="458">
        <f>IF(B52="","",C52/B52)</f>
      </c>
      <c r="F52" s="458">
        <f>IF(ISNUMBER(E52),E52*$B$3/'币价'!$B$12,"")</f>
      </c>
      <c r="G52" s="569">
        <f>IF(B52="","",E52*$B$4)</f>
      </c>
      <c r="H52" s="572">
        <f>IF(B52="","",G52*$B$3)</f>
      </c>
      <c r="I52" s="569">
        <f>IF(B52="","",C52-C51)</f>
      </c>
      <c r="J52" s="569">
        <f>IF(B52="","",K52-K51)</f>
      </c>
      <c r="K52" s="571">
        <f>IF(B52="","不可达",$K$21+$E$6/($E$4-MAX(0,(A52-$E$3)*$B$4)/(1-$E$7-$B$8))-$E$5)</f>
      </c>
    </row>
    <row r="53">
      <c r="A53" s="126" t="n">
        <v>0.935</v>
      </c>
      <c r="B53" s="65">
        <f>IF(OR($E$4-MAX(0,(A53-$E$3)*$B$4)/(1-$E$7-$B$8)&lt;=0,A53&gt;=1-($B$4*(1-$E$3)-$E$4)/$B$4),"",$B$4*(1-A53)-($B$4*(1-$E$3)-$E$4))</f>
      </c>
      <c r="C53" s="555">
        <f>IF(B53="","",$E$6/B53)</f>
      </c>
      <c r="D53" s="76">
        <f>IF(B53="","",$E$6)</f>
      </c>
      <c r="E53" s="458">
        <f>IF(B53="","",C53/B53)</f>
      </c>
      <c r="F53" s="458">
        <f>IF(ISNUMBER(E53),E53*$B$3/'币价'!$B$12,"")</f>
      </c>
      <c r="G53" s="569">
        <f>IF(B53="","",E53*$B$4)</f>
      </c>
      <c r="H53" s="572">
        <f>IF(B53="","",G53*$B$3)</f>
      </c>
      <c r="I53" s="569">
        <f>IF(B53="","",C53-C52)</f>
      </c>
      <c r="J53" s="569">
        <f>IF(B53="","",K53-K52)</f>
      </c>
      <c r="K53" s="571">
        <f>IF(B53="","不可达",$K$21+$E$6/($E$4-MAX(0,(A53-$E$3)*$B$4)/(1-$E$7-$B$8))-$E$5)</f>
      </c>
    </row>
    <row r="54">
      <c r="A54" s="126" t="n">
        <v>0.9400000000000001</v>
      </c>
      <c r="B54" s="65">
        <f>IF(OR($E$4-MAX(0,(A54-$E$3)*$B$4)/(1-$E$7-$B$8)&lt;=0,A54&gt;=1-($B$4*(1-$E$3)-$E$4)/$B$4),"",$B$4*(1-A54)-($B$4*(1-$E$3)-$E$4))</f>
      </c>
      <c r="C54" s="555">
        <f>IF(B54="","",$E$6/B54)</f>
      </c>
      <c r="D54" s="76">
        <f>IF(B54="","",$E$6)</f>
      </c>
      <c r="E54" s="458">
        <f>IF(B54="","",C54/B54)</f>
      </c>
      <c r="F54" s="458">
        <f>IF(ISNUMBER(E54),E54*$B$3/'币价'!$B$12,"")</f>
      </c>
      <c r="G54" s="569">
        <f>IF(B54="","",E54*$B$4)</f>
      </c>
      <c r="H54" s="572">
        <f>IF(B54="","",G54*$B$3)</f>
      </c>
      <c r="I54" s="569">
        <f>IF(B54="","",C54-C53)</f>
      </c>
      <c r="J54" s="569">
        <f>IF(B54="","",K54-K53)</f>
      </c>
      <c r="K54" s="571">
        <f>IF(B54="","不可达",$K$21+$E$6/($E$4-MAX(0,(A54-$E$3)*$B$4)/(1-$E$7-$B$8))-$E$5)</f>
      </c>
    </row>
    <row r="55">
      <c r="A55" s="126" t="n">
        <v>0.9450000000000001</v>
      </c>
      <c r="B55" s="65">
        <f>IF(OR($E$4-MAX(0,(A55-$E$3)*$B$4)/(1-$E$7-$B$8)&lt;=0,A55&gt;=1-($B$4*(1-$E$3)-$E$4)/$B$4),"",$B$4*(1-A55)-($B$4*(1-$E$3)-$E$4))</f>
      </c>
      <c r="C55" s="555">
        <f>IF(B55="","",$E$6/B55)</f>
      </c>
      <c r="D55" s="76">
        <f>IF(B55="","",$E$6)</f>
      </c>
      <c r="E55" s="458">
        <f>IF(B55="","",C55/B55)</f>
      </c>
      <c r="F55" s="458">
        <f>IF(ISNUMBER(E55),E55*$B$3/'币价'!$B$12,"")</f>
      </c>
      <c r="G55" s="569">
        <f>IF(B55="","",E55*$B$4)</f>
      </c>
      <c r="H55" s="572">
        <f>IF(B55="","",G55*$B$3)</f>
      </c>
      <c r="I55" s="569">
        <f>IF(B55="","",C55-C54)</f>
      </c>
      <c r="J55" s="569">
        <f>IF(B55="","",K55-K54)</f>
      </c>
      <c r="K55" s="571">
        <f>IF(B55="","不可达",$K$21+$E$6/($E$4-MAX(0,(A55-$E$3)*$B$4)/(1-$E$7-$B$8))-$E$5)</f>
      </c>
    </row>
    <row r="56">
      <c r="A56" s="126" t="n">
        <v>0.9500000000000001</v>
      </c>
      <c r="B56" s="65">
        <f>IF(OR($E$4-MAX(0,(A56-$E$3)*$B$4)/(1-$E$7-$B$8)&lt;=0,A56&gt;=1-($B$4*(1-$E$3)-$E$4)/$B$4),"",$B$4*(1-A56)-($B$4*(1-$E$3)-$E$4))</f>
      </c>
      <c r="C56" s="555">
        <f>IF(B56="","",$E$6/B56)</f>
      </c>
      <c r="D56" s="76">
        <f>IF(B56="","",$E$6)</f>
      </c>
      <c r="E56" s="458">
        <f>IF(B56="","",C56/B56)</f>
      </c>
      <c r="F56" s="458">
        <f>IF(ISNUMBER(E56),E56*$B$3/'币价'!$B$12,"")</f>
      </c>
      <c r="G56" s="569">
        <f>IF(B56="","",E56*$B$4)</f>
      </c>
      <c r="H56" s="572">
        <f>IF(B56="","",G56*$B$3)</f>
      </c>
      <c r="I56" s="569">
        <f>IF(B56="","",C56-C55)</f>
      </c>
      <c r="J56" s="569">
        <f>IF(B56="","",K56-K55)</f>
      </c>
      <c r="K56" s="571">
        <f>IF(B56="","不可达",$K$21+$E$6/($E$4-MAX(0,(A56-$E$3)*$B$4)/(1-$E$7-$B$8))-$E$5)</f>
      </c>
    </row>
    <row r="57">
      <c r="A57" s="126" t="n">
        <v>0.9550000000000001</v>
      </c>
      <c r="B57" s="65">
        <f>IF(OR($E$4-MAX(0,(A57-$E$3)*$B$4)/(1-$E$7-$B$8)&lt;=0,A57&gt;=1-($B$4*(1-$E$3)-$E$4)/$B$4),"",$B$4*(1-A57)-($B$4*(1-$E$3)-$E$4))</f>
      </c>
      <c r="C57" s="555">
        <f>IF(B57="","",$E$6/B57)</f>
      </c>
      <c r="D57" s="76">
        <f>IF(B57="","",$E$6)</f>
      </c>
      <c r="E57" s="458">
        <f>IF(B57="","",C57/B57)</f>
      </c>
      <c r="F57" s="458">
        <f>IF(ISNUMBER(E57),E57*$B$3/'币价'!$B$12,"")</f>
      </c>
      <c r="G57" s="569">
        <f>IF(B57="","",E57*$B$4)</f>
      </c>
      <c r="H57" s="572">
        <f>IF(B57="","",G57*$B$3)</f>
      </c>
      <c r="I57" s="569">
        <f>IF(B57="","",C57-C56)</f>
      </c>
      <c r="J57" s="569">
        <f>IF(B57="","",K57-K56)</f>
      </c>
      <c r="K57" s="571">
        <f>IF(B57="","不可达",$K$21+$E$6/($E$4-MAX(0,(A57-$E$3)*$B$4)/(1-$E$7-$B$8))-$E$5)</f>
      </c>
    </row>
    <row r="58">
      <c r="A58" s="126" t="n">
        <v>0.9600000000000001</v>
      </c>
      <c r="B58" s="65">
        <f>IF(OR($E$4-MAX(0,(A58-$E$3)*$B$4)/(1-$E$7-$B$8)&lt;=0,A58&gt;=1-($B$4*(1-$E$3)-$E$4)/$B$4),"",$B$4*(1-A58)-($B$4*(1-$E$3)-$E$4))</f>
      </c>
      <c r="C58" s="555">
        <f>IF(B58="","",$E$6/B58)</f>
      </c>
      <c r="D58" s="76">
        <f>IF(B58="","",$E$6)</f>
      </c>
      <c r="E58" s="458">
        <f>IF(B58="","",C58/B58)</f>
      </c>
      <c r="F58" s="458">
        <f>IF(ISNUMBER(E58),E58*$B$3/'币价'!$B$12,"")</f>
      </c>
      <c r="G58" s="569">
        <f>IF(B58="","",E58*$B$4)</f>
      </c>
      <c r="H58" s="572">
        <f>IF(B58="","",G58*$B$3)</f>
      </c>
      <c r="I58" s="569">
        <f>IF(B58="","",C58-C57)</f>
      </c>
      <c r="J58" s="569">
        <f>IF(B58="","",K58-K57)</f>
      </c>
      <c r="K58" s="571">
        <f>IF(B58="","不可达",$K$21+$E$6/($E$4-MAX(0,(A58-$E$3)*$B$4)/(1-$E$7-$B$8))-$E$5)</f>
      </c>
    </row>
    <row r="59">
      <c r="A59" s="126" t="n">
        <v>0.9650000000000001</v>
      </c>
      <c r="B59" s="65">
        <f>IF(OR($E$4-MAX(0,(A59-$E$3)*$B$4)/(1-$E$7-$B$8)&lt;=0,A59&gt;=1-($B$4*(1-$E$3)-$E$4)/$B$4),"",$B$4*(1-A59)-($B$4*(1-$E$3)-$E$4))</f>
      </c>
      <c r="C59" s="555">
        <f>IF(B59="","",$E$6/B59)</f>
      </c>
      <c r="D59" s="76">
        <f>IF(B59="","",$E$6)</f>
      </c>
      <c r="E59" s="458">
        <f>IF(B59="","",C59/B59)</f>
      </c>
      <c r="F59" s="458">
        <f>IF(ISNUMBER(E59),E59*$B$3/'币价'!$B$12,"")</f>
      </c>
      <c r="G59" s="569">
        <f>IF(B59="","",E59*$B$4)</f>
      </c>
      <c r="H59" s="572">
        <f>IF(B59="","",G59*$B$3)</f>
      </c>
      <c r="I59" s="569">
        <f>IF(B59="","",C59-C58)</f>
      </c>
      <c r="J59" s="569">
        <f>IF(B59="","",K59-K58)</f>
      </c>
      <c r="K59" s="571">
        <f>IF(B59="","不可达",$K$21+$E$6/($E$4-MAX(0,(A59-$E$3)*$B$4)/(1-$E$7-$B$8))-$E$5)</f>
      </c>
    </row>
    <row r="60">
      <c r="A60" s="126" t="n">
        <v>0.9700000000000001</v>
      </c>
      <c r="B60" s="65">
        <f>IF(OR($E$4-MAX(0,(A60-$E$3)*$B$4)/(1-$E$7-$B$8)&lt;=0,A60&gt;=1-($B$4*(1-$E$3)-$E$4)/$B$4),"",$B$4*(1-A60)-($B$4*(1-$E$3)-$E$4))</f>
      </c>
      <c r="C60" s="555">
        <f>IF(B60="","",$E$6/B60)</f>
      </c>
      <c r="D60" s="76">
        <f>IF(B60="","",$E$6)</f>
      </c>
      <c r="E60" s="458">
        <f>IF(B60="","",C60/B60)</f>
      </c>
      <c r="F60" s="458">
        <f>IF(ISNUMBER(E60),E60*$B$3/'币价'!$B$12,"")</f>
      </c>
      <c r="G60" s="569">
        <f>IF(B60="","",E60*$B$4)</f>
      </c>
      <c r="H60" s="572">
        <f>IF(B60="","",G60*$B$3)</f>
      </c>
      <c r="I60" s="569">
        <f>IF(B60="","",C60-C59)</f>
      </c>
      <c r="J60" s="569">
        <f>IF(B60="","",K60-K59)</f>
      </c>
      <c r="K60" s="571">
        <f>IF(B60="","不可达",$K$21+$E$6/($E$4-MAX(0,(A60-$E$3)*$B$4)/(1-$E$7-$B$8))-$E$5)</f>
      </c>
    </row>
    <row r="61">
      <c r="A61" s="126" t="n">
        <v>0.9750000000000001</v>
      </c>
      <c r="B61" s="65">
        <f>IF(OR($E$4-MAX(0,(A61-$E$3)*$B$4)/(1-$E$7-$B$8)&lt;=0,A61&gt;=1-($B$4*(1-$E$3)-$E$4)/$B$4),"",$B$4*(1-A61)-($B$4*(1-$E$3)-$E$4))</f>
      </c>
      <c r="C61" s="555">
        <f>IF(B61="","",$E$6/B61)</f>
      </c>
      <c r="D61" s="76">
        <f>IF(B61="","",$E$6)</f>
      </c>
      <c r="E61" s="458">
        <f>IF(B61="","",C61/B61)</f>
      </c>
      <c r="F61" s="458">
        <f>IF(ISNUMBER(E61),E61*$B$3/'币价'!$B$12,"")</f>
      </c>
      <c r="G61" s="569">
        <f>IF(B61="","",E61*$B$4)</f>
      </c>
      <c r="H61" s="572">
        <f>IF(B61="","",G61*$B$3)</f>
      </c>
      <c r="I61" s="569">
        <f>IF(B61="","",C61-C60)</f>
      </c>
      <c r="J61" s="569">
        <f>IF(B61="","",K61-K60)</f>
      </c>
      <c r="K61" s="571">
        <f>IF(B61="","不可达",$K$21+$E$6/($E$4-MAX(0,(A61-$E$3)*$B$4)/(1-$E$7-$B$8))-$E$5)</f>
      </c>
    </row>
    <row r="62">
      <c r="A62" s="126" t="n">
        <v>0.98</v>
      </c>
      <c r="B62" s="65">
        <f>IF(OR($E$4-MAX(0,(A62-$E$3)*$B$4)/(1-$E$7-$B$8)&lt;=0,A62&gt;=1-($B$4*(1-$E$3)-$E$4)/$B$4),"",$B$4*(1-A62)-($B$4*(1-$E$3)-$E$4))</f>
      </c>
      <c r="C62" s="555">
        <f>IF(B62="","",$E$6/B62)</f>
      </c>
      <c r="D62" s="76">
        <f>IF(B62="","",$E$6)</f>
      </c>
      <c r="E62" s="458">
        <f>IF(B62="","",C62/B62)</f>
      </c>
      <c r="F62" s="458">
        <f>IF(ISNUMBER(E62),E62*$B$3/'币价'!$B$12,"")</f>
      </c>
      <c r="G62" s="569">
        <f>IF(B62="","",E62*$B$4)</f>
      </c>
      <c r="H62" s="572">
        <f>IF(B62="","",G62*$B$3)</f>
      </c>
      <c r="I62" s="569">
        <f>IF(B62="","",C62-C61)</f>
      </c>
      <c r="J62" s="569">
        <f>IF(B62="","",K62-K61)</f>
      </c>
      <c r="K62" s="571">
        <f>IF(B62="","不可达",$K$21+$E$6/($E$4-MAX(0,(A62-$E$3)*$B$4)/(1-$E$7-$B$8))-$E$5)</f>
      </c>
    </row>
    <row r="63">
      <c r="A63" s="126" t="n">
        <v>0.9850000000000001</v>
      </c>
      <c r="B63" s="65">
        <f>IF(OR($E$4-MAX(0,(A63-$E$3)*$B$4)/(1-$E$7-$B$8)&lt;=0,A63&gt;=1-($B$4*(1-$E$3)-$E$4)/$B$4),"",$B$4*(1-A63)-($B$4*(1-$E$3)-$E$4))</f>
      </c>
      <c r="C63" s="555">
        <f>IF(B63="","",$E$6/B63)</f>
      </c>
      <c r="D63" s="76">
        <f>IF(B63="","",$E$6)</f>
      </c>
      <c r="E63" s="458">
        <f>IF(B63="","",C63/B63)</f>
      </c>
      <c r="F63" s="458">
        <f>IF(ISNUMBER(E63),E63*$B$3/'币价'!$B$12,"")</f>
      </c>
      <c r="G63" s="569">
        <f>IF(B63="","",E63*$B$4)</f>
      </c>
      <c r="H63" s="572">
        <f>IF(B63="","",G63*$B$3)</f>
      </c>
      <c r="I63" s="569">
        <f>IF(B63="","",C63-C62)</f>
      </c>
      <c r="J63" s="569">
        <f>IF(B63="","",K63-K62)</f>
      </c>
      <c r="K63" s="571">
        <f>IF(B63="","不可达",$K$21+$E$6/($E$4-MAX(0,(A63-$E$3)*$B$4)/(1-$E$7-$B$8))-$E$5)</f>
      </c>
    </row>
    <row r="64">
      <c r="A64" s="126" t="n">
        <v>0.99</v>
      </c>
      <c r="B64" s="65">
        <f>IF(OR($E$4-MAX(0,(A64-$E$3)*$B$4)/(1-$E$7-$B$8)&lt;=0,A64&gt;=1-($B$4*(1-$E$3)-$E$4)/$B$4),"",$B$4*(1-A64)-($B$4*(1-$E$3)-$E$4))</f>
      </c>
      <c r="C64" s="555">
        <f>IF(B64="","",$E$6/B64)</f>
      </c>
      <c r="D64" s="76">
        <f>IF(B64="","",$E$6)</f>
      </c>
      <c r="E64" s="458">
        <f>IF(B64="","",C64/B64)</f>
      </c>
      <c r="F64" s="458">
        <f>IF(ISNUMBER(E64),E64*$B$3/'币价'!$B$12,"")</f>
      </c>
      <c r="G64" s="569">
        <f>IF(B64="","",E64*$B$4)</f>
      </c>
      <c r="H64" s="572">
        <f>IF(B64="","",G64*$B$3)</f>
      </c>
      <c r="I64" s="569">
        <f>IF(B64="","",C64-C63)</f>
      </c>
      <c r="J64" s="569">
        <f>IF(B64="","",K64-K63)</f>
      </c>
      <c r="K64" s="571">
        <f>IF(B64="","不可达",$K$21+$E$6/($E$4-MAX(0,(A64-$E$3)*$B$4)/(1-$E$7-$B$8))-$E$5)</f>
      </c>
    </row>
    <row r="65">
      <c r="A65" s="126" t="n">
        <v>0.9950000000000001</v>
      </c>
      <c r="B65" s="65">
        <f>IF(OR($E$4-MAX(0,(A65-$E$3)*$B$4)/(1-$E$7-$B$8)&lt;=0,A65&gt;=1-($B$4*(1-$E$3)-$E$4)/$B$4),"",$B$4*(1-A65)-($B$4*(1-$E$3)-$E$4))</f>
      </c>
      <c r="C65" s="555">
        <f>IF(B65="","",$E$6/B65)</f>
      </c>
      <c r="D65" s="76">
        <f>IF(B65="","",$E$6)</f>
      </c>
      <c r="E65" s="458">
        <f>IF(B65="","",C65/B65)</f>
      </c>
      <c r="F65" s="458">
        <f>IF(ISNUMBER(E65),E65*$B$3/'币价'!$B$12,"")</f>
      </c>
      <c r="G65" s="569">
        <f>IF(B65="","",E65*$B$4)</f>
      </c>
      <c r="H65" s="572">
        <f>IF(B65="","",G65*$B$3)</f>
      </c>
      <c r="I65" s="569">
        <f>IF(B65="","",C65-C64)</f>
      </c>
      <c r="J65" s="569">
        <f>IF(B65="","",K65-K64)</f>
      </c>
      <c r="K65" s="571">
        <f>IF(B65="","不可达",$K$21+$E$6/($E$4-MAX(0,(A65-$E$3)*$B$4)/(1-$E$7-$B$8))-$E$5)</f>
      </c>
    </row>
    <row r="66">
      <c r="A66" s="170" t="n">
        <v>1</v>
      </c>
      <c r="B66" s="171">
        <f>IF(OR($E$4-MAX(0,(A66-$E$3)*$B$4)/(1-$E$7-$B$8)&lt;=0,A66&gt;=1-($B$4*(1-$E$3)-$E$4)/$B$4),"",$B$4*(1-A66)-($B$4*(1-$E$3)-$E$4))</f>
      </c>
      <c r="C66" s="574"/>
      <c r="D66" s="173"/>
      <c r="E66" s="174"/>
      <c r="F66" s="326">
        <f>IF(ISNUMBER(E66),E66*$B$3/'币价'!$B$12,"")</f>
      </c>
      <c r="G66" s="574"/>
      <c r="H66" s="171"/>
      <c r="I66" s="574"/>
      <c r="J66" s="575">
        <f>IF(B66="","",K66-K65)</f>
      </c>
      <c r="K66" s="576">
        <f>IF(B66="","不可达",$K$21+$E$6/($E$4-MAX(0,(A66-$E$3)*$B$4)/(1-$E$7-$B$8))-$E$5)</f>
      </c>
    </row>
    <row r="67">
      <c r="A67"/>
      <c r="B67" s="65"/>
      <c r="C67" s="17"/>
      <c r="D67" s="76"/>
      <c r="E67" s="82"/>
      <c r="F67" s="17"/>
      <c r="G67" s="92"/>
      <c r="H67" s="149"/>
      <c r="I67" s="149"/>
      <c r="J67" s="149"/>
    </row>
    <row r="68">
      <c r="A68"/>
      <c r="B68" s="65"/>
      <c r="C68" s="17"/>
      <c r="D68" s="76"/>
      <c r="E68" s="82"/>
      <c r="F68" s="17"/>
      <c r="G68" s="92"/>
      <c r="H68" s="149"/>
      <c r="I68" s="149"/>
      <c r="J68" s="149"/>
    </row>
    <row r="69">
      <c r="A69"/>
      <c r="B69" s="65"/>
      <c r="C69" s="17"/>
      <c r="D69" s="76"/>
      <c r="E69" s="82"/>
      <c r="F69" s="17"/>
      <c r="G69" s="92"/>
      <c r="H69" s="149"/>
      <c r="I69" s="149"/>
      <c r="J69" s="149"/>
    </row>
    <row r="70">
      <c r="A70"/>
      <c r="B70" s="65"/>
      <c r="C70" s="17"/>
      <c r="D70" s="76"/>
      <c r="E70" s="82"/>
      <c r="F70" s="17"/>
      <c r="G70" s="92"/>
      <c r="H70" s="149"/>
      <c r="I70" s="149"/>
      <c r="J70" s="149"/>
    </row>
    <row r="71">
      <c r="A71" s="121" t="str">
        <v>外盘回落参考 · 从毕业控筹率回落至 0%</v>
      </c>
      <c r="B71" s="131"/>
      <c r="C71" s="135"/>
      <c r="D71" s="139"/>
      <c r="E71" s="143"/>
      <c r="F71" s="135"/>
      <c r="G71" s="147"/>
      <c r="H71" s="154"/>
      <c r="I71" s="154"/>
      <c r="J71" s="154"/>
    </row>
    <row r="72">
      <c r="A72" s="111" t="str">
        <v>控筹率</v>
      </c>
      <c r="B72" s="130" t="str">
        <v>pooled token</v>
      </c>
      <c r="C72" s="134" t="str">
        <v>pooled ETH</v>
      </c>
      <c r="D72" s="138" t="str">
        <v>k</v>
      </c>
      <c r="E72" s="444" t="str">
        <v>价格 / ETH</v>
      </c>
      <c r="F72" s="444" t="str">
        <v>价格 / USDT</v>
      </c>
      <c r="G72" s="516" t="str">
        <v>市值 / ETH</v>
      </c>
      <c r="H72" s="519" t="str">
        <v>市值 / USD</v>
      </c>
      <c r="I72" s="520" t="str">
        <v>较毕业点回撤</v>
      </c>
      <c r="J72" s="152"/>
      <c r="K72"/>
    </row>
    <row r="73">
      <c r="A73" s="126">
        <f>$E$3</f>
      </c>
      <c r="B73" s="65">
        <f>$B$4*(1-A73)</f>
      </c>
      <c r="C73" s="17">
        <f>$E$6/B73</f>
      </c>
      <c r="D73" s="76">
        <f>$E$6</f>
      </c>
      <c r="E73" s="458">
        <f>C73/B73</f>
      </c>
      <c r="F73" s="458">
        <f>IF(ISNUMBER(E73),E73*$B$3/'币价'!$B$12,"")</f>
      </c>
      <c r="G73" s="466">
        <f>E73*$B$4</f>
      </c>
      <c r="H73" s="472">
        <f>G73*$B$3</f>
      </c>
      <c r="I73" s="476">
        <f>1-G73/$G$73</f>
      </c>
      <c r="J73" s="149"/>
      <c r="K73"/>
    </row>
    <row r="74">
      <c r="A74" s="126" t="n">
        <v>0.7</v>
      </c>
      <c r="B74" s="65">
        <f>$B$4-($B$4*(1-$E$3)-$E$4)-A74*$B$4</f>
      </c>
      <c r="C74" s="555">
        <f>$E$6/B74</f>
      </c>
      <c r="D74" s="76">
        <f>$E$6</f>
      </c>
      <c r="E74" s="458">
        <f>C74/B74</f>
      </c>
      <c r="F74" s="458">
        <f>IF(ISNUMBER(E74),E74*$B$3/'币价'!$B$12,"")</f>
      </c>
      <c r="G74" s="569">
        <f>E74*$B$4</f>
      </c>
      <c r="H74" s="572">
        <f>G74*$B$3</f>
      </c>
      <c r="I74" s="569">
        <f>1-G74/$G$73</f>
      </c>
      <c r="J74" s="555"/>
      <c r="K74" s="555"/>
    </row>
    <row r="75">
      <c r="A75" s="126" t="n">
        <v>0.6</v>
      </c>
      <c r="B75" s="65">
        <f>$B$4-($B$4*(1-$E$3)-$E$4)-A75*$B$4</f>
      </c>
      <c r="C75" s="555">
        <f>$E$6/B75</f>
      </c>
      <c r="D75" s="76">
        <f>$E$6</f>
      </c>
      <c r="E75" s="458">
        <f>C75/B75</f>
      </c>
      <c r="F75" s="458">
        <f>IF(ISNUMBER(E75),E75*$B$3/'币价'!$B$12,"")</f>
      </c>
      <c r="G75" s="569">
        <f>E75*$B$4</f>
      </c>
      <c r="H75" s="572">
        <f>G75*$B$3</f>
      </c>
      <c r="I75" s="569">
        <f>1-G75/$G$73</f>
      </c>
      <c r="J75" s="555"/>
      <c r="K75" s="555"/>
    </row>
    <row r="76">
      <c r="A76" s="126" t="n">
        <v>0.5</v>
      </c>
      <c r="B76" s="65">
        <f>$B$4-($B$4*(1-$E$3)-$E$4)-A76*$B$4</f>
      </c>
      <c r="C76" s="555">
        <f>$E$6/B76</f>
      </c>
      <c r="D76" s="76">
        <f>$E$6</f>
      </c>
      <c r="E76" s="458">
        <f>C76/B76</f>
      </c>
      <c r="F76" s="458">
        <f>IF(ISNUMBER(E76),E76*$B$3/'币价'!$B$12,"")</f>
      </c>
      <c r="G76" s="569">
        <f>E76*$B$4</f>
      </c>
      <c r="H76" s="572">
        <f>G76*$B$3</f>
      </c>
      <c r="I76" s="569">
        <f>1-G76/$G$73</f>
      </c>
      <c r="J76" s="555"/>
      <c r="K76" s="555"/>
    </row>
    <row r="77">
      <c r="A77" s="126" t="n">
        <v>0.4</v>
      </c>
      <c r="B77" s="65">
        <f>$B$4-($B$4*(1-$E$3)-$E$4)-A77*$B$4</f>
      </c>
      <c r="C77" s="555">
        <f>$E$6/B77</f>
      </c>
      <c r="D77" s="76">
        <f>$E$6</f>
      </c>
      <c r="E77" s="458">
        <f>C77/B77</f>
      </c>
      <c r="F77" s="458">
        <f>IF(ISNUMBER(E77),E77*$B$3/'币价'!$B$12,"")</f>
      </c>
      <c r="G77" s="569">
        <f>E77*$B$4</f>
      </c>
      <c r="H77" s="572">
        <f>G77*$B$3</f>
      </c>
      <c r="I77" s="569">
        <f>1-G77/$G$73</f>
      </c>
      <c r="J77" s="555"/>
      <c r="K77" s="555"/>
    </row>
    <row r="78">
      <c r="A78" s="126" t="n">
        <v>0.3</v>
      </c>
      <c r="B78" s="65">
        <f>$B$4-($B$4*(1-$E$3)-$E$4)-A78*$B$4</f>
      </c>
      <c r="C78" s="555">
        <f>$E$6/B78</f>
      </c>
      <c r="D78" s="76">
        <f>$E$6</f>
      </c>
      <c r="E78" s="458">
        <f>C78/B78</f>
      </c>
      <c r="F78" s="458">
        <f>IF(ISNUMBER(E78),E78*$B$3/'币价'!$B$12,"")</f>
      </c>
      <c r="G78" s="569">
        <f>E78*$B$4</f>
      </c>
      <c r="H78" s="572">
        <f>G78*$B$3</f>
      </c>
      <c r="I78" s="569">
        <f>1-G78/$G$73</f>
      </c>
      <c r="J78" s="555"/>
      <c r="K78" s="555"/>
    </row>
    <row r="79">
      <c r="A79" s="126" t="n">
        <v>0.2</v>
      </c>
      <c r="B79" s="65">
        <f>$B$4-($B$4*(1-$E$3)-$E$4)-A79*$B$4</f>
      </c>
      <c r="C79" s="555">
        <f>$E$6/B79</f>
      </c>
      <c r="D79" s="76">
        <f>$E$6</f>
      </c>
      <c r="E79" s="458">
        <f>C79/B79</f>
      </c>
      <c r="F79" s="458">
        <f>IF(ISNUMBER(E79),E79*$B$3/'币价'!$B$12,"")</f>
      </c>
      <c r="G79" s="569">
        <f>E79*$B$4</f>
      </c>
      <c r="H79" s="572">
        <f>G79*$B$3</f>
      </c>
      <c r="I79" s="569">
        <f>1-G79/$G$73</f>
      </c>
      <c r="J79" s="555"/>
      <c r="K79" s="555"/>
    </row>
    <row r="80">
      <c r="A80" s="126" t="n">
        <v>0.1</v>
      </c>
      <c r="B80" s="65">
        <f>$B$4-($B$4*(1-$E$3)-$E$4)-A80*$B$4</f>
      </c>
      <c r="C80" s="555">
        <f>$E$6/B80</f>
      </c>
      <c r="D80" s="76">
        <f>$E$6</f>
      </c>
      <c r="E80" s="458">
        <f>C80/B80</f>
      </c>
      <c r="F80" s="458">
        <f>IF(ISNUMBER(E80),E80*$B$3/'币价'!$B$12,"")</f>
      </c>
      <c r="G80" s="569">
        <f>E80*$B$4</f>
      </c>
      <c r="H80" s="572">
        <f>G80*$B$3</f>
      </c>
      <c r="I80" s="569">
        <f>1-G80/$G$73</f>
      </c>
      <c r="J80" s="555"/>
      <c r="K80" s="555"/>
    </row>
    <row r="81">
      <c r="A81" s="128" t="n">
        <v>0</v>
      </c>
      <c r="B81" s="132">
        <f>$B$4-($B$4*(1-$E$3)-$E$4)-A81*$B$4</f>
      </c>
      <c r="C81" s="577">
        <f>$E$6/B81</f>
      </c>
      <c r="D81" s="140">
        <f>$E$6</f>
      </c>
      <c r="E81" s="531">
        <f>C81/B81</f>
      </c>
      <c r="F81" s="531">
        <f>IF(ISNUMBER(E81),E81*$B$3/'币价'!$B$12,"")</f>
      </c>
      <c r="G81" s="578">
        <f>E81*$B$4</f>
      </c>
      <c r="H81" s="579">
        <f>G81*$B$3</f>
      </c>
      <c r="I81" s="578">
        <f>1-G81/$G$73</f>
      </c>
      <c r="J81" s="578" t="str">
        <v>沉没成本</v>
      </c>
      <c r="K81" s="578" t="n">
        <v>1.2</v>
      </c>
    </row>
    <row r="82">
      <c r="B82" s="65">
        <f>$B$4-($B$4*(1-$E$3)-$E$4)-A82*$B$4</f>
      </c>
      <c r="C82" s="555"/>
      <c r="G82" s="555"/>
      <c r="H82" s="65"/>
      <c r="I82" s="555"/>
      <c r="J82" s="555"/>
      <c r="K82" s="555"/>
    </row>
    <row r="83">
      <c r="A83" s="179" t="str">
        <v>证据与口径 / SOURCES</v>
      </c>
      <c r="B83" s="179"/>
      <c r="C83" s="179"/>
      <c r="D83" s="179"/>
      <c r="E83" s="179"/>
      <c r="F83" s="179"/>
      <c r="G83" s="179"/>
      <c r="H83" s="179"/>
      <c r="I83" s="179"/>
      <c r="J83" s="179"/>
    </row>
    <row r="84" ht="30" customHeight="1">
      <c r="A84" s="187" t="str">
        <v>官方 V2 文档</v>
      </c>
      <c r="B84" s="185" t="str">
        <v>https://docs.ponsfamily.com/v2</v>
      </c>
      <c r="C84" s="183"/>
      <c r="D84" s="187" t="str">
        <v>Factory</v>
      </c>
      <c r="E84" s="186" t="str">
        <v>address 0x7ed598bcef8bd9edd8c97a195c6d13f40801ec7e</v>
      </c>
      <c r="F84" s="183"/>
      <c r="G84" s="183"/>
      <c r="H84" s="183"/>
      <c r="I84" s="183"/>
      <c r="J84" s="183"/>
    </row>
    <row r="85" ht="30" customHeight="1">
      <c r="A85" s="187" t="str">
        <v>官方合约源码</v>
      </c>
      <c r="B85" s="185" t="str">
        <v>https://github.com/ponsdotdev/ponsfamily/tree/main/contractsV2/src/v2</v>
      </c>
      <c r="C85" s="183"/>
      <c r="D85" s="187" t="str">
        <v>实币买入</v>
      </c>
      <c r="E85" s="186" t="str">
        <v>gross 0.5 ETH / fee 0.005 / net 0.495</v>
      </c>
      <c r="F85" s="183"/>
      <c r="G85" s="183"/>
      <c r="H85" s="183"/>
      <c r="I85" s="183"/>
      <c r="J85" s="183"/>
    </row>
    <row r="86" ht="30" customHeight="1">
      <c r="A86" s="187" t="str">
        <v>实币验证 TIME</v>
      </c>
      <c r="B86" s="185" t="str">
        <v>https://www.ponsfamily.com/launchpad/0x177c73569bB399AD42235067172ceB9c5c7fEd49</v>
      </c>
      <c r="C86" s="183"/>
      <c r="D86" s="187" t="str">
        <v>实币输出</v>
      </c>
      <c r="E86" s="186" t="str">
        <v>227,586,206.896551724 TOKEN · 与曲线公式一致</v>
      </c>
      <c r="F86" s="183"/>
      <c r="G86" s="183"/>
      <c r="H86" s="183"/>
      <c r="I86" s="183"/>
      <c r="J86" s="183"/>
    </row>
    <row r="87" ht="30" customHeight="1">
      <c r="A87" s="187" t="str">
        <v>Launch Tx</v>
      </c>
      <c r="B87" s="186" t="str">
        <v>tx 0x849e7774fefd74c09e7ec67fea785367dd0ca2e5612099f5084bf08c65839c2f</v>
      </c>
      <c r="C87" s="183"/>
      <c r="D87" s="187" t="str">
        <v>说明</v>
      </c>
      <c r="E87" s="186" t="str">
        <v>曲线表为理论值；默认滑点为 0，洗筹损耗 = 目标+1%对应 FDV ×（外盘费率 + Creator Tax）× 2，单位为 Quote</v>
      </c>
      <c r="F87" s="183"/>
      <c r="G87" s="183"/>
      <c r="H87" s="183"/>
      <c r="I87" s="183"/>
      <c r="J87" s="183"/>
    </row>
  </sheetData>
  <mergeCells>
    <mergeCell ref="A83:J83"/>
    <mergeCell ref="B84:C84"/>
    <mergeCell ref="E84:J84"/>
    <mergeCell ref="B85:C85"/>
    <mergeCell ref="E85:J85"/>
    <mergeCell ref="B86:C86"/>
    <mergeCell ref="E86:J86"/>
    <mergeCell ref="B87:C87"/>
    <mergeCell ref="E87:J87"/>
  </mergeCells>
  <pageMargins left="0.7" right="0.7" top="0.75" bottom="0.75" header="0.3" footer="0.3"/>
  <legacyDrawing r:id="R4a422ff181ab4594"/>
</worksheet>
</file>

<file path=xl/worksheets/sheet12.xml><?xml version="1.0" encoding="utf-8"?>
<worksheet xmlns="http://schemas.openxmlformats.org/spreadsheetml/2006/main">
  <sheetViews>
    <sheetView showGridLines="0" workbookViewId="0">
      <pane ySplit="10" topLeftCell="A11" activePane="bottomLeft" state="frozen"/>
    </sheetView>
  </sheetViews>
  <sheetFormatPr defaultRowHeight="15"/>
  <cols>
    <col min="1" max="1" width="22" hidden="0" customWidth="1"/>
    <col min="2" max="2" width="30" hidden="0" customWidth="1"/>
    <col min="3" max="3" width="45" hidden="0" customWidth="1"/>
    <col min="4" max="4" width="10" hidden="0" customWidth="1"/>
    <col min="5" max="5" width="19" hidden="0" customWidth="1"/>
    <col min="6" max="6" width="19" hidden="0" customWidth="1"/>
    <col min="7" max="7" width="17" hidden="0" customWidth="1"/>
    <col min="8" max="8" width="19" hidden="0" customWidth="1"/>
    <col min="9" max="9" width="20" hidden="0" customWidth="1"/>
    <col min="10" max="10" width="20" hidden="0" customWidth="1"/>
    <col min="11" max="11" width="22" hidden="0" customWidth="1"/>
    <col min="12" max="12" width="14" hidden="0" customWidth="1"/>
  </cols>
  <sheetData>
    <row r="1" ht="34" customHeight="1">
      <c r="A1" s="284" t="str">
        <v>Pons V2 股票 / ETF Quote 参数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</row>
    <row r="3">
      <c r="A3" s="194" t="str">
        <v>股票 / ETF Quote</v>
      </c>
      <c r="B3" s="196" t="n">
        <v>53</v>
      </c>
      <c r="C3" s="195"/>
      <c r="D3" s="195"/>
      <c r="E3" s="195"/>
      <c r="F3" s="195"/>
      <c r="G3" s="195"/>
      <c r="H3" s="195"/>
      <c r="I3" s="195"/>
      <c r="J3" s="195"/>
      <c r="K3" s="195"/>
      <c r="L3" s="195"/>
    </row>
    <row r="4">
      <c r="A4" s="194" t="str">
        <v>Meme total supply</v>
      </c>
      <c r="B4" s="196" t="n">
        <v>1000000000</v>
      </c>
      <c r="C4" s="195"/>
      <c r="D4" s="195"/>
      <c r="E4" s="195"/>
      <c r="F4" s="195"/>
      <c r="G4" s="195"/>
      <c r="H4" s="195"/>
      <c r="I4" s="195"/>
      <c r="J4" s="195"/>
      <c r="K4" s="195"/>
      <c r="L4" s="195"/>
    </row>
    <row r="5">
      <c r="A5" s="194" t="str">
        <v>链上核验 Block</v>
      </c>
      <c r="B5" s="196" t="n">
        <v>54430299</v>
      </c>
      <c r="C5" s="195"/>
      <c r="D5" s="195"/>
      <c r="E5" s="195"/>
      <c r="F5" s="195"/>
      <c r="G5" s="195"/>
      <c r="H5" s="195"/>
      <c r="I5" s="195"/>
      <c r="J5" s="195"/>
      <c r="K5" s="195"/>
      <c r="L5" s="195"/>
    </row>
    <row r="6">
      <c r="A6" s="194" t="str">
        <v>Pons V2 Factory</v>
      </c>
      <c r="B6" s="254" t="str">
        <v>​0x7eD598BcEf8bd9Edd8C97A195C6d13f40801EC7e</v>
      </c>
      <c r="C6" s="254"/>
      <c r="D6" s="254"/>
      <c r="E6" s="254"/>
      <c r="F6" s="254"/>
      <c r="G6" s="254"/>
      <c r="H6" s="254"/>
      <c r="I6" s="254"/>
      <c r="J6" s="254"/>
      <c r="K6" s="254"/>
      <c r="L6" s="254"/>
    </row>
    <row r="7">
      <c r="A7" s="194" t="str">
        <v>官方合约源码</v>
      </c>
      <c r="B7" s="254" t="str">
        <v>https://github.com/ponsdotdev/ponsfamily/blob/main/contractsV2/src/v2/PonsV2LaunchFactory.sol</v>
      </c>
      <c r="C7" s="254"/>
      <c r="D7" s="254"/>
      <c r="E7" s="254"/>
      <c r="F7" s="254"/>
      <c r="G7" s="254"/>
      <c r="H7" s="254"/>
      <c r="I7" s="254"/>
      <c r="J7" s="254"/>
      <c r="K7" s="254"/>
      <c r="L7" s="254"/>
    </row>
    <row r="8">
      <c r="A8" s="194" t="str">
        <v>新增 13 Quote 交易</v>
      </c>
      <c r="B8" s="254" t="str">
        <v>https://rh-scan.com/tx/0xb4aaf027b105aba6268762cdb68dc7fc363b8432d344ee6900536cf36f44183f</v>
      </c>
      <c r="C8" s="254"/>
      <c r="D8" s="254"/>
      <c r="E8" s="254"/>
      <c r="F8" s="254"/>
      <c r="G8" s="254"/>
      <c r="H8" s="254"/>
      <c r="I8" s="254"/>
      <c r="J8" s="254"/>
      <c r="K8" s="254"/>
      <c r="L8" s="254"/>
    </row>
    <row r="9">
      <c r="A9" s="194" t="str">
        <v>未纳入股票类模型</v>
      </c>
      <c r="B9" s="286" t="str">
        <v>USDG、cbBTC（均为 approvedPairTokens，但不是股票 / ETF）</v>
      </c>
      <c r="C9" s="286"/>
      <c r="D9" s="286"/>
      <c r="E9" s="286"/>
      <c r="F9" s="286"/>
      <c r="G9" s="286"/>
      <c r="H9" s="286"/>
      <c r="I9" s="286"/>
      <c r="J9" s="286"/>
      <c r="K9" s="286"/>
      <c r="L9" s="286"/>
    </row>
    <row r="10">
      <c r="A10" s="291" t="str">
        <v>Symbol</v>
      </c>
      <c r="B10" s="291" t="str">
        <v>名称</v>
      </c>
      <c r="C10" s="291" t="str">
        <v>Quote 合约</v>
      </c>
      <c r="D10" s="291" t="str">
        <v>Decimals</v>
      </c>
      <c r="E10" s="291" t="str">
        <v>phantom Quote</v>
      </c>
      <c r="F10" s="291" t="str">
        <v>毕业门槛</v>
      </c>
      <c r="G10" s="291" t="str">
        <v>门槛 / phantom</v>
      </c>
      <c r="H10" s="291" t="str">
        <v>V4 初始 Quote</v>
      </c>
      <c r="I10" s="291" t="str">
        <v>V4 初始 Meme</v>
      </c>
      <c r="J10" s="291" t="str">
        <v>Locker Meme</v>
      </c>
      <c r="K10" s="291" t="str">
        <v>最大总供应量控筹率</v>
      </c>
      <c r="L10" s="291" t="str">
        <v>当前状态</v>
      </c>
    </row>
    <row r="11" ht="20" customHeight="1">
      <c r="A11" s="245" t="str">
        <v>AAPL</v>
      </c>
      <c r="B11" s="245" t="str">
        <v>Apple</v>
      </c>
      <c r="C11" s="263" t="str">
        <v>​0xaF3D76f1834A1d425780943C99Ea8A608f8a93f9</v>
      </c>
      <c r="D11" s="230" t="n">
        <v>18</v>
      </c>
      <c r="E11" s="231" t="n">
        <v>9.68</v>
      </c>
      <c r="F11" s="231" t="n">
        <v>24.2</v>
      </c>
      <c r="G11" s="232">
        <f>F11/E11</f>
      </c>
      <c r="H11" s="233">
        <f>F11</f>
      </c>
      <c r="I11" s="233">
        <f>$B$4*E11*F11/(E11+F11)^2</f>
      </c>
      <c r="J11" s="233">
        <f>$B$4*E11^2/(E11+F11)^2</f>
      </c>
      <c r="K11" s="234">
        <f>1-J11/$B$4</f>
      </c>
      <c r="L11" s="248" t="str">
        <v>Approved</v>
      </c>
    </row>
    <row r="12" ht="20" customHeight="1">
      <c r="A12" s="246" t="str">
        <v>AMC</v>
      </c>
      <c r="B12" s="246" t="str">
        <v>AMC Entertainment</v>
      </c>
      <c r="C12" s="264" t="str">
        <v>​0x05a3d1cd21d0c88145e82600e62e7e496e0f222b</v>
      </c>
      <c r="D12" s="235" t="n">
        <v>18</v>
      </c>
      <c r="E12" s="236" t="n">
        <v>1536.0258736059484</v>
      </c>
      <c r="F12" s="236" t="n">
        <v>3840.0646840148715</v>
      </c>
      <c r="G12" s="237">
        <f>F12/E12</f>
      </c>
      <c r="H12" s="238">
        <f>F12</f>
      </c>
      <c r="I12" s="238">
        <f>$B$4*E12*F12/(E12+F12)^2</f>
      </c>
      <c r="J12" s="238">
        <f>$B$4*E12^2/(E12+F12)^2</f>
      </c>
      <c r="K12" s="239">
        <f>1-J12/$B$4</f>
      </c>
      <c r="L12" s="249" t="str">
        <v>Approved</v>
      </c>
    </row>
    <row r="13" ht="20" customHeight="1">
      <c r="A13" s="246" t="str">
        <v>AMD</v>
      </c>
      <c r="B13" s="246" t="str">
        <v>Advanced Micro Devices</v>
      </c>
      <c r="C13" s="264" t="str">
        <v>​0x86923f96303D656E4aa86D9d42D1e57ad2023fdC</v>
      </c>
      <c r="D13" s="235" t="n">
        <v>18</v>
      </c>
      <c r="E13" s="236" t="n">
        <v>6.66620183638</v>
      </c>
      <c r="F13" s="236" t="n">
        <v>16.66550459095</v>
      </c>
      <c r="G13" s="237">
        <f>F13/E13</f>
      </c>
      <c r="H13" s="238">
        <f>F13</f>
      </c>
      <c r="I13" s="238">
        <f>$B$4*E13*F13/(E13+F13)^2</f>
      </c>
      <c r="J13" s="238">
        <f>$B$4*E13^2/(E13+F13)^2</f>
      </c>
      <c r="K13" s="239">
        <f>1-J13/$B$4</f>
      </c>
      <c r="L13" s="249" t="str">
        <v>Approved</v>
      </c>
    </row>
    <row r="14" ht="20" customHeight="1">
      <c r="A14" s="246" t="str">
        <v>AMZN</v>
      </c>
      <c r="B14" s="246" t="str">
        <v>Amazon</v>
      </c>
      <c r="C14" s="264" t="str">
        <v>​0x12f190a9F9d7D37a250758b26824B97CE941bF54</v>
      </c>
      <c r="D14" s="235" t="n">
        <v>18</v>
      </c>
      <c r="E14" s="236" t="n">
        <v>11.73211643685</v>
      </c>
      <c r="F14" s="236" t="n">
        <v>29.330291092125</v>
      </c>
      <c r="G14" s="237">
        <f>F14/E14</f>
      </c>
      <c r="H14" s="238">
        <f>F14</f>
      </c>
      <c r="I14" s="238">
        <f>$B$4*E14*F14/(E14+F14)^2</f>
      </c>
      <c r="J14" s="238">
        <f>$B$4*E14^2/(E14+F14)^2</f>
      </c>
      <c r="K14" s="239">
        <f>1-J14/$B$4</f>
      </c>
      <c r="L14" s="249" t="str">
        <v>Approved</v>
      </c>
    </row>
    <row r="15" ht="20" customHeight="1">
      <c r="A15" s="246" t="str">
        <v>BABA</v>
      </c>
      <c r="B15" s="246" t="str">
        <v>Alibaba</v>
      </c>
      <c r="C15" s="264" t="str">
        <v>​0xad25ac6c84d497db898fa1e8387bf6af3532a1c4</v>
      </c>
      <c r="D15" s="235" t="n">
        <v>18</v>
      </c>
      <c r="E15" s="236" t="n">
        <v>36.51387062566278</v>
      </c>
      <c r="F15" s="236" t="n">
        <v>91.28467656415695</v>
      </c>
      <c r="G15" s="237">
        <f>F15/E15</f>
      </c>
      <c r="H15" s="238">
        <f>F15</f>
      </c>
      <c r="I15" s="238">
        <f>$B$4*E15*F15/(E15+F15)^2</f>
      </c>
      <c r="J15" s="238">
        <f>$B$4*E15^2/(E15+F15)^2</f>
      </c>
      <c r="K15" s="239">
        <f>1-J15/$B$4</f>
      </c>
      <c r="L15" s="249" t="str">
        <v>Approved</v>
      </c>
    </row>
    <row r="16" ht="20" customHeight="1">
      <c r="A16" s="246" t="str">
        <v>BB</v>
      </c>
      <c r="B16" s="246" t="str">
        <v>BlackBerry</v>
      </c>
      <c r="C16" s="264" t="str">
        <v>​0x48E39E56aCdbA37b09020C0b734A613C9a2f100A</v>
      </c>
      <c r="D16" s="235" t="n">
        <v>18</v>
      </c>
      <c r="E16" s="236" t="n">
        <v>503.824570024</v>
      </c>
      <c r="F16" s="236" t="n">
        <v>1259.56142506</v>
      </c>
      <c r="G16" s="237">
        <f>F16/E16</f>
      </c>
      <c r="H16" s="238">
        <f>F16</f>
      </c>
      <c r="I16" s="238">
        <f>$B$4*E16*F16/(E16+F16)^2</f>
      </c>
      <c r="J16" s="238">
        <f>$B$4*E16^2/(E16+F16)^2</f>
      </c>
      <c r="K16" s="239">
        <f>1-J16/$B$4</f>
      </c>
      <c r="L16" s="249" t="str">
        <v>Approved</v>
      </c>
    </row>
    <row r="17" ht="20" customHeight="1">
      <c r="A17" s="246" t="str">
        <v>BE</v>
      </c>
      <c r="B17" s="246" t="str">
        <v>Bloom Energy</v>
      </c>
      <c r="C17" s="264" t="str">
        <v>​0x822cc93ffd030293e9842c30bbd678f530701867</v>
      </c>
      <c r="D17" s="235" t="n">
        <v>18</v>
      </c>
      <c r="E17" s="236" t="n">
        <v>16.82031182576837</v>
      </c>
      <c r="F17" s="236" t="n">
        <v>42.05077956442092</v>
      </c>
      <c r="G17" s="237">
        <f>F17/E17</f>
      </c>
      <c r="H17" s="238">
        <f>F17</f>
      </c>
      <c r="I17" s="238">
        <f>$B$4*E17*F17/(E17+F17)^2</f>
      </c>
      <c r="J17" s="238">
        <f>$B$4*E17^2/(E17+F17)^2</f>
      </c>
      <c r="K17" s="239">
        <f>1-J17/$B$4</f>
      </c>
      <c r="L17" s="249" t="str">
        <v>Approved</v>
      </c>
    </row>
    <row r="18" ht="20" customHeight="1">
      <c r="A18" s="246" t="str">
        <v>BULL</v>
      </c>
      <c r="B18" s="246" t="str">
        <v>Webull</v>
      </c>
      <c r="C18" s="264" t="str">
        <v>​0xcef9027c7d6985b85f0ba431125073529a947a68</v>
      </c>
      <c r="D18" s="235" t="n">
        <v>18</v>
      </c>
      <c r="E18" s="236" t="n">
        <v>421.8386523736601</v>
      </c>
      <c r="F18" s="236" t="n">
        <v>1054.5966309341502</v>
      </c>
      <c r="G18" s="237">
        <f>F18/E18</f>
      </c>
      <c r="H18" s="238">
        <f>F18</f>
      </c>
      <c r="I18" s="238">
        <f>$B$4*E18*F18/(E18+F18)^2</f>
      </c>
      <c r="J18" s="238">
        <f>$B$4*E18^2/(E18+F18)^2</f>
      </c>
      <c r="K18" s="239">
        <f>1-J18/$B$4</f>
      </c>
      <c r="L18" s="249" t="str">
        <v>Approved</v>
      </c>
    </row>
    <row r="19" ht="20" customHeight="1">
      <c r="A19" s="246" t="str">
        <v>COIN</v>
      </c>
      <c r="B19" s="246" t="str">
        <v>Coinbase</v>
      </c>
      <c r="C19" s="264" t="str">
        <v>​0x6330D8C3178a418788dF01a47479c0ce7CCF450b</v>
      </c>
      <c r="D19" s="235" t="n">
        <v>18</v>
      </c>
      <c r="E19" s="236" t="n">
        <v>20.98826938136</v>
      </c>
      <c r="F19" s="236" t="n">
        <v>52.4706734534</v>
      </c>
      <c r="G19" s="237">
        <f>F19/E19</f>
      </c>
      <c r="H19" s="238">
        <f>F19</f>
      </c>
      <c r="I19" s="238">
        <f>$B$4*E19*F19/(E19+F19)^2</f>
      </c>
      <c r="J19" s="238">
        <f>$B$4*E19^2/(E19+F19)^2</f>
      </c>
      <c r="K19" s="239">
        <f>1-J19/$B$4</f>
      </c>
      <c r="L19" s="249" t="str">
        <v>Approved</v>
      </c>
    </row>
    <row r="20" ht="20" customHeight="1">
      <c r="A20" s="246" t="str">
        <v>COST</v>
      </c>
      <c r="B20" s="246" t="str">
        <v>Costco</v>
      </c>
      <c r="C20" s="264" t="str">
        <v>​0x4EA005168D7F09a7A0Ba9D1DEf21a479950E44C2</v>
      </c>
      <c r="D20" s="235" t="n">
        <v>18</v>
      </c>
      <c r="E20" s="236" t="n">
        <v>3.388162372132</v>
      </c>
      <c r="F20" s="236" t="n">
        <v>8.47040593033</v>
      </c>
      <c r="G20" s="237">
        <f>F20/E20</f>
      </c>
      <c r="H20" s="238">
        <f>F20</f>
      </c>
      <c r="I20" s="238">
        <f>$B$4*E20*F20/(E20+F20)^2</f>
      </c>
      <c r="J20" s="238">
        <f>$B$4*E20^2/(E20+F20)^2</f>
      </c>
      <c r="K20" s="239">
        <f>1-J20/$B$4</f>
      </c>
      <c r="L20" s="249" t="str">
        <v>Approved</v>
      </c>
    </row>
    <row r="21" ht="20" customHeight="1">
      <c r="A21" s="246" t="str">
        <v>CRCL</v>
      </c>
      <c r="B21" s="246" t="str">
        <v>Circle Internet Group</v>
      </c>
      <c r="C21" s="264" t="str">
        <v>​0xdF0992E440dD0be65BD8439b609d6D4366bf1CB5</v>
      </c>
      <c r="D21" s="235" t="n">
        <v>18</v>
      </c>
      <c r="E21" s="236" t="n">
        <v>47.9606680584</v>
      </c>
      <c r="F21" s="236" t="n">
        <v>119.901670146</v>
      </c>
      <c r="G21" s="237">
        <f>F21/E21</f>
      </c>
      <c r="H21" s="238">
        <f>F21</f>
      </c>
      <c r="I21" s="238">
        <f>$B$4*E21*F21/(E21+F21)^2</f>
      </c>
      <c r="J21" s="238">
        <f>$B$4*E21^2/(E21+F21)^2</f>
      </c>
      <c r="K21" s="239">
        <f>1-J21/$B$4</f>
      </c>
      <c r="L21" s="249" t="str">
        <v>Approved</v>
      </c>
    </row>
    <row r="22" ht="20" customHeight="1">
      <c r="A22" s="246" t="str">
        <v>DELL</v>
      </c>
      <c r="B22" s="246" t="str">
        <v>Dell Technologies</v>
      </c>
      <c r="C22" s="264" t="str">
        <v>​0x941AE714EC6D8130c7B75d67160Ca08f1e7d11Dd</v>
      </c>
      <c r="D22" s="235" t="n">
        <v>18</v>
      </c>
      <c r="E22" s="236" t="n">
        <v>9.52812988236</v>
      </c>
      <c r="F22" s="236" t="n">
        <v>23.8203247059</v>
      </c>
      <c r="G22" s="237">
        <f>F22/E22</f>
      </c>
      <c r="H22" s="238">
        <f>F22</f>
      </c>
      <c r="I22" s="238">
        <f>$B$4*E22*F22/(E22+F22)^2</f>
      </c>
      <c r="J22" s="238">
        <f>$B$4*E22^2/(E22+F22)^2</f>
      </c>
      <c r="K22" s="239">
        <f>1-J22/$B$4</f>
      </c>
      <c r="L22" s="249" t="str">
        <v>Approved</v>
      </c>
    </row>
    <row r="23" ht="20" customHeight="1">
      <c r="A23" s="246" t="str">
        <v>DJT</v>
      </c>
      <c r="B23" s="246" t="str">
        <v>Trump Media &amp; Technology Group</v>
      </c>
      <c r="C23" s="264" t="str">
        <v>​0x1D11f0496982706C5e14A514D4E79F2e6BdE4516</v>
      </c>
      <c r="D23" s="235" t="n">
        <v>18</v>
      </c>
      <c r="E23" s="236" t="n">
        <v>366.8648806576</v>
      </c>
      <c r="F23" s="236" t="n">
        <v>917.162201644</v>
      </c>
      <c r="G23" s="237">
        <f>F23/E23</f>
      </c>
      <c r="H23" s="238">
        <f>F23</f>
      </c>
      <c r="I23" s="238">
        <f>$B$4*E23*F23/(E23+F23)^2</f>
      </c>
      <c r="J23" s="238">
        <f>$B$4*E23^2/(E23+F23)^2</f>
      </c>
      <c r="K23" s="239">
        <f>1-J23/$B$4</f>
      </c>
      <c r="L23" s="249" t="str">
        <v>Approved</v>
      </c>
    </row>
    <row r="24" ht="20" customHeight="1">
      <c r="A24" s="246" t="str">
        <v>F</v>
      </c>
      <c r="B24" s="246" t="str">
        <v>Ford Motor</v>
      </c>
      <c r="C24" s="264" t="str">
        <v>​0x25c288e6d899b9bc30160965ad9644c67e73be0c</v>
      </c>
      <c r="D24" s="235" t="n">
        <v>18</v>
      </c>
      <c r="E24" s="236" t="n">
        <v>284.56677685950416</v>
      </c>
      <c r="F24" s="236" t="n">
        <v>711.4169421487604</v>
      </c>
      <c r="G24" s="237">
        <f>F24/E24</f>
      </c>
      <c r="H24" s="238">
        <f>F24</f>
      </c>
      <c r="I24" s="238">
        <f>$B$4*E24*F24/(E24+F24)^2</f>
      </c>
      <c r="J24" s="238">
        <f>$B$4*E24^2/(E24+F24)^2</f>
      </c>
      <c r="K24" s="239">
        <f>1-J24/$B$4</f>
      </c>
      <c r="L24" s="249" t="str">
        <v>Approved</v>
      </c>
    </row>
    <row r="25" ht="20" customHeight="1">
      <c r="A25" s="246" t="str">
        <v>FIG</v>
      </c>
      <c r="B25" s="246" t="str">
        <v>Figma</v>
      </c>
      <c r="C25" s="264" t="str">
        <v>​0x41F4267525a8AFf329540eF24fD83d9044758B33</v>
      </c>
      <c r="D25" s="235" t="n">
        <v>18</v>
      </c>
      <c r="E25" s="236" t="n">
        <v>156.2667703072</v>
      </c>
      <c r="F25" s="236" t="n">
        <v>390.666925768</v>
      </c>
      <c r="G25" s="237">
        <f>F25/E25</f>
      </c>
      <c r="H25" s="238">
        <f>F25</f>
      </c>
      <c r="I25" s="238">
        <f>$B$4*E25*F25/(E25+F25)^2</f>
      </c>
      <c r="J25" s="238">
        <f>$B$4*E25^2/(E25+F25)^2</f>
      </c>
      <c r="K25" s="239">
        <f>1-J25/$B$4</f>
      </c>
      <c r="L25" s="249" t="str">
        <v>Approved</v>
      </c>
    </row>
    <row r="26" ht="20" customHeight="1">
      <c r="A26" s="246" t="str">
        <v>GLD</v>
      </c>
      <c r="B26" s="246" t="str">
        <v>SPDR Gold Shares</v>
      </c>
      <c r="C26" s="264" t="str">
        <v>​0xC9a981FEE1F9DEc688bb123ccDeCc63D0deBFC4e</v>
      </c>
      <c r="D26" s="235" t="n">
        <v>18</v>
      </c>
      <c r="E26" s="236" t="n">
        <v>9.97623877984</v>
      </c>
      <c r="F26" s="236" t="n">
        <v>24.9405969496</v>
      </c>
      <c r="G26" s="237">
        <f>F26/E26</f>
      </c>
      <c r="H26" s="238">
        <f>F26</f>
      </c>
      <c r="I26" s="238">
        <f>$B$4*E26*F26/(E26+F26)^2</f>
      </c>
      <c r="J26" s="238">
        <f>$B$4*E26^2/(E26+F26)^2</f>
      </c>
      <c r="K26" s="239">
        <f>1-J26/$B$4</f>
      </c>
      <c r="L26" s="249" t="str">
        <v>Approved</v>
      </c>
    </row>
    <row r="27" ht="20" customHeight="1">
      <c r="A27" s="246" t="str">
        <v>GME</v>
      </c>
      <c r="B27" s="246" t="str">
        <v>GameStop</v>
      </c>
      <c r="C27" s="264" t="str">
        <v>​0x1b0E319c6A659F002271B69dB8A7df2F911c153E</v>
      </c>
      <c r="D27" s="235" t="n">
        <v>18</v>
      </c>
      <c r="E27" s="236" t="n">
        <v>147.6</v>
      </c>
      <c r="F27" s="236" t="n">
        <v>369</v>
      </c>
      <c r="G27" s="237">
        <f>F27/E27</f>
      </c>
      <c r="H27" s="238">
        <f>F27</f>
      </c>
      <c r="I27" s="238">
        <f>$B$4*E27*F27/(E27+F27)^2</f>
      </c>
      <c r="J27" s="238">
        <f>$B$4*E27^2/(E27+F27)^2</f>
      </c>
      <c r="K27" s="239">
        <f>1-J27/$B$4</f>
      </c>
      <c r="L27" s="249" t="str">
        <v>Approved</v>
      </c>
    </row>
    <row r="28" ht="20" customHeight="1">
      <c r="A28" s="246" t="str">
        <v>GOOGL</v>
      </c>
      <c r="B28" s="246" t="str">
        <v>Alphabet Class A</v>
      </c>
      <c r="C28" s="264" t="str">
        <v>​0x2e0847E8910a9732eB3fb1bb4b70a580ADAD4FE3</v>
      </c>
      <c r="D28" s="235" t="n">
        <v>18</v>
      </c>
      <c r="E28" s="236" t="n">
        <v>9.68</v>
      </c>
      <c r="F28" s="236" t="n">
        <v>24.2</v>
      </c>
      <c r="G28" s="237">
        <f>F28/E28</f>
      </c>
      <c r="H28" s="238">
        <f>F28</f>
      </c>
      <c r="I28" s="238">
        <f>$B$4*E28*F28/(E28+F28)^2</f>
      </c>
      <c r="J28" s="238">
        <f>$B$4*E28^2/(E28+F28)^2</f>
      </c>
      <c r="K28" s="239">
        <f>1-J28/$B$4</f>
      </c>
      <c r="L28" s="249" t="str">
        <v>Approved</v>
      </c>
    </row>
    <row r="29" ht="20" customHeight="1">
      <c r="A29" s="246" t="str">
        <v>HIMS</v>
      </c>
      <c r="B29" s="246" t="str">
        <v>Hims &amp; Hers Health</v>
      </c>
      <c r="C29" s="264" t="str">
        <v>​0xCceE82fE024c36fA15E1005edE3E9e4787e23D09</v>
      </c>
      <c r="D29" s="235" t="n">
        <v>18</v>
      </c>
      <c r="E29" s="236" t="n">
        <v>141.9568016616</v>
      </c>
      <c r="F29" s="236" t="n">
        <v>354.892004154</v>
      </c>
      <c r="G29" s="237">
        <f>F29/E29</f>
      </c>
      <c r="H29" s="238">
        <f>F29</f>
      </c>
      <c r="I29" s="238">
        <f>$B$4*E29*F29/(E29+F29)^2</f>
      </c>
      <c r="J29" s="238">
        <f>$B$4*E29^2/(E29+F29)^2</f>
      </c>
      <c r="K29" s="239">
        <f>1-J29/$B$4</f>
      </c>
      <c r="L29" s="249" t="str">
        <v>Approved</v>
      </c>
    </row>
    <row r="30" ht="20" customHeight="1">
      <c r="A30" s="246" t="str">
        <v>IBM</v>
      </c>
      <c r="B30" s="246" t="str">
        <v>IBM</v>
      </c>
      <c r="C30" s="264" t="str">
        <v>​0x980dcf6766fa79f5cf0c4aadb3ab477ff15a9619</v>
      </c>
      <c r="D30" s="235" t="n">
        <v>18</v>
      </c>
      <c r="E30" s="236" t="n">
        <v>17.55644614404079</v>
      </c>
      <c r="F30" s="236" t="n">
        <v>43.89111536010198</v>
      </c>
      <c r="G30" s="237">
        <f>F30/E30</f>
      </c>
      <c r="H30" s="238">
        <f>F30</f>
      </c>
      <c r="I30" s="238">
        <f>$B$4*E30*F30/(E30+F30)^2</f>
      </c>
      <c r="J30" s="238">
        <f>$B$4*E30^2/(E30+F30)^2</f>
      </c>
      <c r="K30" s="239">
        <f>1-J30/$B$4</f>
      </c>
      <c r="L30" s="249" t="str">
        <v>Approved</v>
      </c>
    </row>
    <row r="31" ht="20" customHeight="1">
      <c r="A31" s="246" t="str">
        <v>INDA</v>
      </c>
      <c r="B31" s="246" t="str">
        <v>iShares MSCI India ETF</v>
      </c>
      <c r="C31" s="264" t="str">
        <v>​0xacef2e09adb47ad6abebad9ff06689e60615c2b6</v>
      </c>
      <c r="D31" s="235" t="n">
        <v>18</v>
      </c>
      <c r="E31" s="236" t="n">
        <v>82.69607925547884</v>
      </c>
      <c r="F31" s="236" t="n">
        <v>206.7401981386971</v>
      </c>
      <c r="G31" s="237">
        <f>F31/E31</f>
      </c>
      <c r="H31" s="238">
        <f>F31</f>
      </c>
      <c r="I31" s="238">
        <f>$B$4*E31*F31/(E31+F31)^2</f>
      </c>
      <c r="J31" s="238">
        <f>$B$4*E31^2/(E31+F31)^2</f>
      </c>
      <c r="K31" s="239">
        <f>1-J31/$B$4</f>
      </c>
      <c r="L31" s="249" t="str">
        <v>Approved</v>
      </c>
    </row>
    <row r="32" ht="20" customHeight="1">
      <c r="A32" s="246" t="str">
        <v>JNJ</v>
      </c>
      <c r="B32" s="246" t="str">
        <v>Johnson &amp; Johnson</v>
      </c>
      <c r="C32" s="264" t="str">
        <v>​0x03DfbBE0AC4E7bCDaFd08eD41A400326B77D8c80</v>
      </c>
      <c r="D32" s="235" t="n">
        <v>18</v>
      </c>
      <c r="E32" s="236" t="n">
        <v>14.60973075108</v>
      </c>
      <c r="F32" s="236" t="n">
        <v>36.5243268777</v>
      </c>
      <c r="G32" s="237">
        <f>F32/E32</f>
      </c>
      <c r="H32" s="238">
        <f>F32</f>
      </c>
      <c r="I32" s="238">
        <f>$B$4*E32*F32/(E32+F32)^2</f>
      </c>
      <c r="J32" s="238">
        <f>$B$4*E32^2/(E32+F32)^2</f>
      </c>
      <c r="K32" s="239">
        <f>1-J32/$B$4</f>
      </c>
      <c r="L32" s="249" t="str">
        <v>Approved</v>
      </c>
    </row>
    <row r="33" ht="20" customHeight="1">
      <c r="A33" s="246" t="str">
        <v>LLY</v>
      </c>
      <c r="B33" s="246" t="str">
        <v>Eli Lilly</v>
      </c>
      <c r="C33" s="264" t="str">
        <v>​0x8005d266423c7ea827372c9c864491e5786600ea</v>
      </c>
      <c r="D33" s="235" t="n">
        <v>18</v>
      </c>
      <c r="E33" s="236" t="n">
        <v>3.490909655172</v>
      </c>
      <c r="F33" s="236" t="n">
        <v>8.72727413793</v>
      </c>
      <c r="G33" s="237">
        <f>F33/E33</f>
      </c>
      <c r="H33" s="238">
        <f>F33</f>
      </c>
      <c r="I33" s="238">
        <f>$B$4*E33*F33/(E33+F33)^2</f>
      </c>
      <c r="J33" s="238">
        <f>$B$4*E33^2/(E33+F33)^2</f>
      </c>
      <c r="K33" s="239">
        <f>1-J33/$B$4</f>
      </c>
      <c r="L33" s="249" t="str">
        <v>Approved</v>
      </c>
    </row>
    <row r="34" ht="20" customHeight="1">
      <c r="A34" s="246" t="str">
        <v>LULU</v>
      </c>
      <c r="B34" s="246" t="str">
        <v>Lululemon Athletica</v>
      </c>
      <c r="C34" s="264" t="str">
        <v>​0x4e62068525Ab11FE768e29dfD00ef909B9803016</v>
      </c>
      <c r="D34" s="235" t="n">
        <v>18</v>
      </c>
      <c r="E34" s="236" t="n">
        <v>33.48666611144</v>
      </c>
      <c r="F34" s="236" t="n">
        <v>83.7166652786</v>
      </c>
      <c r="G34" s="237">
        <f>F34/E34</f>
      </c>
      <c r="H34" s="238">
        <f>F34</f>
      </c>
      <c r="I34" s="238">
        <f>$B$4*E34*F34/(E34+F34)^2</f>
      </c>
      <c r="J34" s="238">
        <f>$B$4*E34^2/(E34+F34)^2</f>
      </c>
      <c r="K34" s="239">
        <f>1-J34/$B$4</f>
      </c>
      <c r="L34" s="249" t="str">
        <v>Approved</v>
      </c>
    </row>
    <row r="35" ht="20" customHeight="1">
      <c r="A35" s="246" t="str">
        <v>META</v>
      </c>
      <c r="B35" s="246" t="str">
        <v>Meta Platforms</v>
      </c>
      <c r="C35" s="264" t="str">
        <v>​0xc0D6457C16Cc70d6790Dd43521C899C87ce02f35</v>
      </c>
      <c r="D35" s="235" t="n">
        <v>18</v>
      </c>
      <c r="E35" s="236" t="n">
        <v>5.42715804396</v>
      </c>
      <c r="F35" s="236" t="n">
        <v>13.5678951099</v>
      </c>
      <c r="G35" s="237">
        <f>F35/E35</f>
      </c>
      <c r="H35" s="238">
        <f>F35</f>
      </c>
      <c r="I35" s="238">
        <f>$B$4*E35*F35/(E35+F35)^2</f>
      </c>
      <c r="J35" s="238">
        <f>$B$4*E35^2/(E35+F35)^2</f>
      </c>
      <c r="K35" s="239">
        <f>1-J35/$B$4</f>
      </c>
      <c r="L35" s="249" t="str">
        <v>Approved</v>
      </c>
    </row>
    <row r="36" ht="20" customHeight="1">
      <c r="A36" s="246" t="str">
        <v>MRNA</v>
      </c>
      <c r="B36" s="246" t="str">
        <v>Moderna</v>
      </c>
      <c r="C36" s="264" t="str">
        <v>​0x43B07D15cE533bEc5476d70C22a78a1B2B662155</v>
      </c>
      <c r="D36" s="235" t="n">
        <v>18</v>
      </c>
      <c r="E36" s="236" t="n">
        <v>26.66099065048</v>
      </c>
      <c r="F36" s="236" t="n">
        <v>66.6524766262</v>
      </c>
      <c r="G36" s="237">
        <f>F36/E36</f>
      </c>
      <c r="H36" s="238">
        <f>F36</f>
      </c>
      <c r="I36" s="238">
        <f>$B$4*E36*F36/(E36+F36)^2</f>
      </c>
      <c r="J36" s="238">
        <f>$B$4*E36^2/(E36+F36)^2</f>
      </c>
      <c r="K36" s="239">
        <f>1-J36/$B$4</f>
      </c>
      <c r="L36" s="249" t="str">
        <v>Approved</v>
      </c>
    </row>
    <row r="37" ht="20" customHeight="1">
      <c r="A37" s="246" t="str">
        <v>MRVL</v>
      </c>
      <c r="B37" s="246" t="str">
        <v>Marvell Technology</v>
      </c>
      <c r="C37" s="264" t="str">
        <v>​0x62fd0668e10D8B72339BE2DCF7643001688ff13B</v>
      </c>
      <c r="D37" s="235" t="n">
        <v>18</v>
      </c>
      <c r="E37" s="236" t="n">
        <v>19.47280123984</v>
      </c>
      <c r="F37" s="236" t="n">
        <v>48.6820030996</v>
      </c>
      <c r="G37" s="237">
        <f>F37/E37</f>
      </c>
      <c r="H37" s="238">
        <f>F37</f>
      </c>
      <c r="I37" s="238">
        <f>$B$4*E37*F37/(E37+F37)^2</f>
      </c>
      <c r="J37" s="238">
        <f>$B$4*E37^2/(E37+F37)^2</f>
      </c>
      <c r="K37" s="239">
        <f>1-J37/$B$4</f>
      </c>
      <c r="L37" s="249" t="str">
        <v>Approved</v>
      </c>
    </row>
    <row r="38" ht="20" customHeight="1">
      <c r="A38" s="246" t="str">
        <v>MSFT</v>
      </c>
      <c r="B38" s="246" t="str">
        <v>Microsoft</v>
      </c>
      <c r="C38" s="264" t="str">
        <v>​0xe93237C50D904957Cf27E7B1133b510C669c2e74</v>
      </c>
      <c r="D38" s="235" t="n">
        <v>18</v>
      </c>
      <c r="E38" s="236" t="n">
        <v>6.43145576708</v>
      </c>
      <c r="F38" s="236" t="n">
        <v>16.0786394177</v>
      </c>
      <c r="G38" s="237">
        <f>F38/E38</f>
      </c>
      <c r="H38" s="238">
        <f>F38</f>
      </c>
      <c r="I38" s="238">
        <f>$B$4*E38*F38/(E38+F38)^2</f>
      </c>
      <c r="J38" s="238">
        <f>$B$4*E38^2/(E38+F38)^2</f>
      </c>
      <c r="K38" s="239">
        <f>1-J38/$B$4</f>
      </c>
      <c r="L38" s="249" t="str">
        <v>Approved</v>
      </c>
    </row>
    <row r="39" ht="20" customHeight="1">
      <c r="A39" s="246" t="str">
        <v>MSTR</v>
      </c>
      <c r="B39" s="246" t="str">
        <v>Strategy</v>
      </c>
      <c r="C39" s="264" t="str">
        <v>​0xec262a75e413fAfD0dF80480274532C79D42da09</v>
      </c>
      <c r="D39" s="235" t="n">
        <v>18</v>
      </c>
      <c r="E39" s="236" t="n">
        <v>31.99209095404</v>
      </c>
      <c r="F39" s="236" t="n">
        <v>79.9802273851</v>
      </c>
      <c r="G39" s="237">
        <f>F39/E39</f>
      </c>
      <c r="H39" s="238">
        <f>F39</f>
      </c>
      <c r="I39" s="238">
        <f>$B$4*E39*F39/(E39+F39)^2</f>
      </c>
      <c r="J39" s="238">
        <f>$B$4*E39^2/(E39+F39)^2</f>
      </c>
      <c r="K39" s="239">
        <f>1-J39/$B$4</f>
      </c>
      <c r="L39" s="249" t="str">
        <v>Approved</v>
      </c>
    </row>
    <row r="40" ht="20" customHeight="1">
      <c r="A40" s="246" t="str">
        <v>MU</v>
      </c>
      <c r="B40" s="246" t="str">
        <v>Micron Technology</v>
      </c>
      <c r="C40" s="264" t="str">
        <v>​0xfF080c8ce2E5feadaCa0Da81314Ae59D232d4afD</v>
      </c>
      <c r="D40" s="235" t="n">
        <v>18</v>
      </c>
      <c r="E40" s="236" t="n">
        <v>3.671383856716</v>
      </c>
      <c r="F40" s="236" t="n">
        <v>9.17845964179</v>
      </c>
      <c r="G40" s="237">
        <f>F40/E40</f>
      </c>
      <c r="H40" s="238">
        <f>F40</f>
      </c>
      <c r="I40" s="238">
        <f>$B$4*E40*F40/(E40+F40)^2</f>
      </c>
      <c r="J40" s="238">
        <f>$B$4*E40^2/(E40+F40)^2</f>
      </c>
      <c r="K40" s="239">
        <f>1-J40/$B$4</f>
      </c>
      <c r="L40" s="249" t="str">
        <v>Approved</v>
      </c>
    </row>
    <row r="41" ht="20" customHeight="1">
      <c r="A41" s="246" t="str">
        <v>NFLX</v>
      </c>
      <c r="B41" s="246" t="str">
        <v>Netflix</v>
      </c>
      <c r="C41" s="264" t="str">
        <v>​0xe0444ef8bf4ed74f74fd73686e2ddf4c1c5591e8</v>
      </c>
      <c r="D41" s="235" t="n">
        <v>18</v>
      </c>
      <c r="E41" s="236" t="n">
        <v>52.12121854304636</v>
      </c>
      <c r="F41" s="236" t="n">
        <v>130.3030463576159</v>
      </c>
      <c r="G41" s="237">
        <f>F41/E41</f>
      </c>
      <c r="H41" s="238">
        <f>F41</f>
      </c>
      <c r="I41" s="238">
        <f>$B$4*E41*F41/(E41+F41)^2</f>
      </c>
      <c r="J41" s="238">
        <f>$B$4*E41^2/(E41+F41)^2</f>
      </c>
      <c r="K41" s="239">
        <f>1-J41/$B$4</f>
      </c>
      <c r="L41" s="249" t="str">
        <v>Approved</v>
      </c>
    </row>
    <row r="42" ht="20" customHeight="1">
      <c r="A42" s="246" t="str">
        <v>NU</v>
      </c>
      <c r="B42" s="246" t="str">
        <v>Nu</v>
      </c>
      <c r="C42" s="264" t="str">
        <v>​0x408c14038a04f7bd235329e26d2bf569ee20e250</v>
      </c>
      <c r="D42" s="235" t="n">
        <v>18</v>
      </c>
      <c r="E42" s="236" t="n">
        <v>267.0054668820678</v>
      </c>
      <c r="F42" s="236" t="n">
        <v>667.5136672051697</v>
      </c>
      <c r="G42" s="237">
        <f>F42/E42</f>
      </c>
      <c r="H42" s="238">
        <f>F42</f>
      </c>
      <c r="I42" s="238">
        <f>$B$4*E42*F42/(E42+F42)^2</f>
      </c>
      <c r="J42" s="238">
        <f>$B$4*E42^2/(E42+F42)^2</f>
      </c>
      <c r="K42" s="239">
        <f>1-J42/$B$4</f>
      </c>
      <c r="L42" s="249" t="str">
        <v>Approved</v>
      </c>
    </row>
    <row r="43" ht="20" customHeight="1">
      <c r="A43" s="246" t="str">
        <v>NVDA</v>
      </c>
      <c r="B43" s="246" t="str">
        <v>NVIDIA</v>
      </c>
      <c r="C43" s="264" t="str">
        <v>​0xd0601CE157Db5bdC3162BbaC2a2C8aF5320D9EEC</v>
      </c>
      <c r="D43" s="235" t="n">
        <v>18</v>
      </c>
      <c r="E43" s="236" t="n">
        <v>16.64</v>
      </c>
      <c r="F43" s="236" t="n">
        <v>41.6</v>
      </c>
      <c r="G43" s="237">
        <f>F43/E43</f>
      </c>
      <c r="H43" s="238">
        <f>F43</f>
      </c>
      <c r="I43" s="238">
        <f>$B$4*E43*F43/(E43+F43)^2</f>
      </c>
      <c r="J43" s="238">
        <f>$B$4*E43^2/(E43+F43)^2</f>
      </c>
      <c r="K43" s="239">
        <f>1-J43/$B$4</f>
      </c>
      <c r="L43" s="249" t="str">
        <v>Approved</v>
      </c>
    </row>
    <row r="44" ht="20" customHeight="1">
      <c r="A44" s="246" t="str">
        <v>PFE</v>
      </c>
      <c r="B44" s="246" t="str">
        <v>Pfizer</v>
      </c>
      <c r="C44" s="264" t="str">
        <v>​0x7066A64c24e4206CD62E83bf198c1E7EB361F51e</v>
      </c>
      <c r="D44" s="235" t="n">
        <v>18</v>
      </c>
      <c r="E44" s="236" t="n">
        <v>138.5507925568</v>
      </c>
      <c r="F44" s="236" t="n">
        <v>346.376981392</v>
      </c>
      <c r="G44" s="237">
        <f>F44/E44</f>
      </c>
      <c r="H44" s="238">
        <f>F44</f>
      </c>
      <c r="I44" s="238">
        <f>$B$4*E44*F44/(E44+F44)^2</f>
      </c>
      <c r="J44" s="238">
        <f>$B$4*E44^2/(E44+F44)^2</f>
      </c>
      <c r="K44" s="239">
        <f>1-J44/$B$4</f>
      </c>
      <c r="L44" s="249" t="str">
        <v>Approved</v>
      </c>
    </row>
    <row r="45" ht="20" customHeight="1">
      <c r="A45" s="246" t="str">
        <v>PLTR</v>
      </c>
      <c r="B45" s="246" t="str">
        <v>Palantir Technologies</v>
      </c>
      <c r="C45" s="264" t="str">
        <v>​0x894E1EC2D74FFE5AEF8Dc8A9e84686acCB964F2A</v>
      </c>
      <c r="D45" s="235" t="n">
        <v>18</v>
      </c>
      <c r="E45" s="236" t="n">
        <v>18.82605010536</v>
      </c>
      <c r="F45" s="236" t="n">
        <v>47.0651252634</v>
      </c>
      <c r="G45" s="237">
        <f>F45/E45</f>
      </c>
      <c r="H45" s="238">
        <f>F45</f>
      </c>
      <c r="I45" s="238">
        <f>$B$4*E45*F45/(E45+F45)^2</f>
      </c>
      <c r="J45" s="238">
        <f>$B$4*E45^2/(E45+F45)^2</f>
      </c>
      <c r="K45" s="239">
        <f>1-J45/$B$4</f>
      </c>
      <c r="L45" s="249" t="str">
        <v>Approved</v>
      </c>
    </row>
    <row r="46" ht="20" customHeight="1">
      <c r="A46" s="246" t="str">
        <v>QQQ</v>
      </c>
      <c r="B46" s="246" t="str">
        <v>Invesco QQQ</v>
      </c>
      <c r="C46" s="264" t="str">
        <v>​0xD5f3879160bc7c32ebb4dC785F8a4F505888de68</v>
      </c>
      <c r="D46" s="235" t="n">
        <v>18</v>
      </c>
      <c r="E46" s="236" t="n">
        <v>4.45858995028</v>
      </c>
      <c r="F46" s="236" t="n">
        <v>11.1464748757</v>
      </c>
      <c r="G46" s="237">
        <f>F46/E46</f>
      </c>
      <c r="H46" s="238">
        <f>F46</f>
      </c>
      <c r="I46" s="238">
        <f>$B$4*E46*F46/(E46+F46)^2</f>
      </c>
      <c r="J46" s="238">
        <f>$B$4*E46^2/(E46+F46)^2</f>
      </c>
      <c r="K46" s="239">
        <f>1-J46/$B$4</f>
      </c>
      <c r="L46" s="249" t="str">
        <v>Approved</v>
      </c>
    </row>
    <row r="47" ht="20" customHeight="1">
      <c r="A47" s="246" t="str">
        <v>RBLX</v>
      </c>
      <c r="B47" s="246" t="str">
        <v>Roblox</v>
      </c>
      <c r="C47" s="264" t="str">
        <v>​0xF0C4BF4C582cb3836e98394b1d4e7B7281101bE8</v>
      </c>
      <c r="D47" s="235" t="n">
        <v>18</v>
      </c>
      <c r="E47" s="236" t="n">
        <v>99.568605852</v>
      </c>
      <c r="F47" s="236" t="n">
        <v>248.92151463</v>
      </c>
      <c r="G47" s="237">
        <f>F47/E47</f>
      </c>
      <c r="H47" s="238">
        <f>F47</f>
      </c>
      <c r="I47" s="238">
        <f>$B$4*E47*F47/(E47+F47)^2</f>
      </c>
      <c r="J47" s="238">
        <f>$B$4*E47^2/(E47+F47)^2</f>
      </c>
      <c r="K47" s="239">
        <f>1-J47/$B$4</f>
      </c>
      <c r="L47" s="249" t="str">
        <v>Approved</v>
      </c>
    </row>
    <row r="48" ht="20" customHeight="1">
      <c r="A48" s="246" t="str">
        <v>RDDT</v>
      </c>
      <c r="B48" s="246" t="str">
        <v>Reddit</v>
      </c>
      <c r="C48" s="264" t="str">
        <v>​0x05b37Fb53A299a1b874A619e1c4C404D52C36F4C</v>
      </c>
      <c r="D48" s="235" t="n">
        <v>18</v>
      </c>
      <c r="E48" s="236" t="n">
        <v>16.93886097152</v>
      </c>
      <c r="F48" s="236" t="n">
        <v>42.3471524288</v>
      </c>
      <c r="G48" s="237">
        <f>F48/E48</f>
      </c>
      <c r="H48" s="238">
        <f>F48</f>
      </c>
      <c r="I48" s="238">
        <f>$B$4*E48*F48/(E48+F48)^2</f>
      </c>
      <c r="J48" s="238">
        <f>$B$4*E48^2/(E48+F48)^2</f>
      </c>
      <c r="K48" s="239">
        <f>1-J48/$B$4</f>
      </c>
      <c r="L48" s="249" t="str">
        <v>Approved</v>
      </c>
    </row>
    <row r="49" ht="20" customHeight="1">
      <c r="A49" s="246" t="str">
        <v>RIVN</v>
      </c>
      <c r="B49" s="246" t="str">
        <v>Rivian Automotive</v>
      </c>
      <c r="C49" s="264" t="str">
        <v>​0xB1BF26c1D20ff267A4f93550d1E0d06ac40a114B</v>
      </c>
      <c r="D49" s="235" t="n">
        <v>18</v>
      </c>
      <c r="E49" s="236" t="n">
        <v>257.5748878924</v>
      </c>
      <c r="F49" s="236" t="n">
        <v>643.937219731</v>
      </c>
      <c r="G49" s="237">
        <f>F49/E49</f>
      </c>
      <c r="H49" s="238">
        <f>F49</f>
      </c>
      <c r="I49" s="238">
        <f>$B$4*E49*F49/(E49+F49)^2</f>
      </c>
      <c r="J49" s="238">
        <f>$B$4*E49^2/(E49+F49)^2</f>
      </c>
      <c r="K49" s="239">
        <f>1-J49/$B$4</f>
      </c>
      <c r="L49" s="249" t="str">
        <v>Approved</v>
      </c>
    </row>
    <row r="50" ht="20" customHeight="1">
      <c r="A50" s="246" t="str">
        <v>SGOV</v>
      </c>
      <c r="B50" s="246" t="str">
        <v>iShares 0-3 Month Treasury Bond</v>
      </c>
      <c r="C50" s="264" t="str">
        <v>​0x92fd66527192e3e61d4ddd13322aa222de86f9b5</v>
      </c>
      <c r="D50" s="235" t="n">
        <v>18</v>
      </c>
      <c r="E50" s="236" t="n">
        <v>41.12662340247641</v>
      </c>
      <c r="F50" s="236" t="n">
        <v>102.81655850619103</v>
      </c>
      <c r="G50" s="237">
        <f>F50/E50</f>
      </c>
      <c r="H50" s="238">
        <f>F50</f>
      </c>
      <c r="I50" s="238">
        <f>$B$4*E50*F50/(E50+F50)^2</f>
      </c>
      <c r="J50" s="238">
        <f>$B$4*E50^2/(E50+F50)^2</f>
      </c>
      <c r="K50" s="239">
        <f>1-J50/$B$4</f>
      </c>
      <c r="L50" s="249" t="str">
        <v>Approved</v>
      </c>
    </row>
    <row r="51" ht="20" customHeight="1">
      <c r="A51" s="246" t="str">
        <v>SHOP</v>
      </c>
      <c r="B51" s="246" t="str">
        <v>Shopify</v>
      </c>
      <c r="C51" s="264" t="str">
        <v>​0xf53f66751b1eff985311b693531e3290f600c410</v>
      </c>
      <c r="D51" s="235" t="n">
        <v>18</v>
      </c>
      <c r="E51" s="236" t="n">
        <v>28.03575519066359</v>
      </c>
      <c r="F51" s="236" t="n">
        <v>70.08938797665897</v>
      </c>
      <c r="G51" s="237">
        <f>F51/E51</f>
      </c>
      <c r="H51" s="238">
        <f>F51</f>
      </c>
      <c r="I51" s="238">
        <f>$B$4*E51*F51/(E51+F51)^2</f>
      </c>
      <c r="J51" s="238">
        <f>$B$4*E51^2/(E51+F51)^2</f>
      </c>
      <c r="K51" s="239">
        <f>1-J51/$B$4</f>
      </c>
      <c r="L51" s="249" t="str">
        <v>Approved</v>
      </c>
    </row>
    <row r="52" ht="20" customHeight="1">
      <c r="A52" s="246" t="str">
        <v>SKHY</v>
      </c>
      <c r="B52" s="246" t="str">
        <v>SK hynix</v>
      </c>
      <c r="C52" s="264" t="str">
        <v>​0x84CAb63bc87912E71ad199ff14A0bA45de68FeF8</v>
      </c>
      <c r="D52" s="235" t="n">
        <v>18</v>
      </c>
      <c r="E52" s="236" t="n">
        <v>25.18631173032</v>
      </c>
      <c r="F52" s="236" t="n">
        <v>62.9657793258</v>
      </c>
      <c r="G52" s="237">
        <f>F52/E52</f>
      </c>
      <c r="H52" s="238">
        <f>F52</f>
      </c>
      <c r="I52" s="238">
        <f>$B$4*E52*F52/(E52+F52)^2</f>
      </c>
      <c r="J52" s="238">
        <f>$B$4*E52^2/(E52+F52)^2</f>
      </c>
      <c r="K52" s="239">
        <f>1-J52/$B$4</f>
      </c>
      <c r="L52" s="249" t="str">
        <v>Approved</v>
      </c>
    </row>
    <row r="53" ht="20" customHeight="1">
      <c r="A53" s="246" t="str">
        <v>SLV</v>
      </c>
      <c r="B53" s="246" t="str">
        <v>iShares Silver Trust</v>
      </c>
      <c r="C53" s="264" t="str">
        <v>​0x411efb0e7f985935daec3d4c3ebaea0d0ad7d89f</v>
      </c>
      <c r="D53" s="235" t="n">
        <v>18</v>
      </c>
      <c r="E53" s="236" t="n">
        <v>69.11859484777517</v>
      </c>
      <c r="F53" s="236" t="n">
        <v>172.79648711943796</v>
      </c>
      <c r="G53" s="237">
        <f>F53/E53</f>
      </c>
      <c r="H53" s="238">
        <f>F53</f>
      </c>
      <c r="I53" s="238">
        <f>$B$4*E53*F53/(E53+F53)^2</f>
      </c>
      <c r="J53" s="238">
        <f>$B$4*E53^2/(E53+F53)^2</f>
      </c>
      <c r="K53" s="239">
        <f>1-J53/$B$4</f>
      </c>
      <c r="L53" s="249" t="str">
        <v>Approved</v>
      </c>
    </row>
    <row r="54" ht="20" customHeight="1">
      <c r="A54" s="246" t="str">
        <v>SNAP</v>
      </c>
      <c r="B54" s="246" t="str">
        <v>Snap</v>
      </c>
      <c r="C54" s="264" t="str">
        <v>​0xF6589F11Bc40b669e584073F428B05562F568733</v>
      </c>
      <c r="D54" s="235" t="n">
        <v>18</v>
      </c>
      <c r="E54" s="236" t="n">
        <v>719.274418604</v>
      </c>
      <c r="F54" s="236" t="n">
        <v>1798.18604651</v>
      </c>
      <c r="G54" s="237">
        <f>F54/E54</f>
      </c>
      <c r="H54" s="238">
        <f>F54</f>
      </c>
      <c r="I54" s="238">
        <f>$B$4*E54*F54/(E54+F54)^2</f>
      </c>
      <c r="J54" s="238">
        <f>$B$4*E54^2/(E54+F54)^2</f>
      </c>
      <c r="K54" s="239">
        <f>1-J54/$B$4</f>
      </c>
      <c r="L54" s="249" t="str">
        <v>Approved</v>
      </c>
    </row>
    <row r="55" ht="20" customHeight="1">
      <c r="A55" s="246" t="str">
        <v>SNDK</v>
      </c>
      <c r="B55" s="246" t="str">
        <v>SanDisk</v>
      </c>
      <c r="C55" s="264" t="str">
        <v>​0xB90A19fF0Af67f7779afF50A882A9CfF42446400</v>
      </c>
      <c r="D55" s="235" t="n">
        <v>18</v>
      </c>
      <c r="E55" s="236" t="n">
        <v>2.652177326252</v>
      </c>
      <c r="F55" s="236" t="n">
        <v>6.63044331563</v>
      </c>
      <c r="G55" s="237">
        <f>F55/E55</f>
      </c>
      <c r="H55" s="238">
        <f>F55</f>
      </c>
      <c r="I55" s="238">
        <f>$B$4*E55*F55/(E55+F55)^2</f>
      </c>
      <c r="J55" s="238">
        <f>$B$4*E55^2/(E55+F55)^2</f>
      </c>
      <c r="K55" s="239">
        <f>1-J55/$B$4</f>
      </c>
      <c r="L55" s="249" t="str">
        <v>Approved</v>
      </c>
    </row>
    <row r="56" ht="20" customHeight="1">
      <c r="A56" s="246" t="str">
        <v>SPCX</v>
      </c>
      <c r="B56" s="246" t="str">
        <v>SpaceX Class A</v>
      </c>
      <c r="C56" s="264" t="str">
        <v>​0x4a0E65A3EcceC6dBe60AE065F2e7bb85Fae35eEa</v>
      </c>
      <c r="D56" s="235" t="n">
        <v>18</v>
      </c>
      <c r="E56" s="236" t="n">
        <v>28.88</v>
      </c>
      <c r="F56" s="236" t="n">
        <v>72.2</v>
      </c>
      <c r="G56" s="237">
        <f>F56/E56</f>
      </c>
      <c r="H56" s="238">
        <f>F56</f>
      </c>
      <c r="I56" s="238">
        <f>$B$4*E56*F56/(E56+F56)^2</f>
      </c>
      <c r="J56" s="238">
        <f>$B$4*E56^2/(E56+F56)^2</f>
      </c>
      <c r="K56" s="239">
        <f>1-J56/$B$4</f>
      </c>
      <c r="L56" s="249" t="str">
        <v>Approved</v>
      </c>
    </row>
    <row r="57" ht="20" customHeight="1">
      <c r="A57" s="246" t="str">
        <v>SPY</v>
      </c>
      <c r="B57" s="246" t="str">
        <v>SPDR S&amp;P 500 ETF</v>
      </c>
      <c r="C57" s="264" t="str">
        <v>​0x117cc2133c37B721F49dE2A7a74833232B3B4C0C</v>
      </c>
      <c r="D57" s="235" t="n">
        <v>18</v>
      </c>
      <c r="E57" s="236" t="n">
        <v>4.36</v>
      </c>
      <c r="F57" s="236" t="n">
        <v>10.9</v>
      </c>
      <c r="G57" s="237">
        <f>F57/E57</f>
      </c>
      <c r="H57" s="238">
        <f>F57</f>
      </c>
      <c r="I57" s="238">
        <f>$B$4*E57*F57/(E57+F57)^2</f>
      </c>
      <c r="J57" s="238">
        <f>$B$4*E57^2/(E57+F57)^2</f>
      </c>
      <c r="K57" s="239">
        <f>1-J57/$B$4</f>
      </c>
      <c r="L57" s="249" t="str">
        <v>Approved</v>
      </c>
    </row>
    <row r="58" ht="20" customHeight="1">
      <c r="A58" s="246" t="str">
        <v>TSLA</v>
      </c>
      <c r="B58" s="246" t="str">
        <v>Tesla</v>
      </c>
      <c r="C58" s="264" t="str">
        <v>​0x322F0929c4625eD5bAd873c95208D54E1c003b2d</v>
      </c>
      <c r="D58" s="235" t="n">
        <v>18</v>
      </c>
      <c r="E58" s="236" t="n">
        <v>10.4</v>
      </c>
      <c r="F58" s="236" t="n">
        <v>26</v>
      </c>
      <c r="G58" s="237">
        <f>F58/E58</f>
      </c>
      <c r="H58" s="238">
        <f>F58</f>
      </c>
      <c r="I58" s="238">
        <f>$B$4*E58*F58/(E58+F58)^2</f>
      </c>
      <c r="J58" s="238">
        <f>$B$4*E58^2/(E58+F58)^2</f>
      </c>
      <c r="K58" s="239">
        <f>1-J58/$B$4</f>
      </c>
      <c r="L58" s="249" t="str">
        <v>Approved</v>
      </c>
    </row>
    <row r="59" ht="20" customHeight="1">
      <c r="A59" s="246" t="str">
        <v>TSM</v>
      </c>
      <c r="B59" s="246" t="str">
        <v>Taiwan Semiconductor Manufacturing</v>
      </c>
      <c r="C59" s="264" t="str">
        <v>​0x58FfE4a942d3885bAa22D7520691F611EF09e7AA</v>
      </c>
      <c r="D59" s="235" t="n">
        <v>18</v>
      </c>
      <c r="E59" s="236" t="n">
        <v>9.78129275364</v>
      </c>
      <c r="F59" s="236" t="n">
        <v>24.4532318841</v>
      </c>
      <c r="G59" s="237">
        <f>F59/E59</f>
      </c>
      <c r="H59" s="238">
        <f>F59</f>
      </c>
      <c r="I59" s="238">
        <f>$B$4*E59*F59/(E59+F59)^2</f>
      </c>
      <c r="J59" s="238">
        <f>$B$4*E59^2/(E59+F59)^2</f>
      </c>
      <c r="K59" s="239">
        <f>1-J59/$B$4</f>
      </c>
      <c r="L59" s="249" t="str">
        <v>Approved</v>
      </c>
    </row>
    <row r="60" ht="20" customHeight="1">
      <c r="A60" s="246" t="str">
        <v>TTWO</v>
      </c>
      <c r="B60" s="246" t="str">
        <v>Take-Two Interactive</v>
      </c>
      <c r="C60" s="264" t="str">
        <v>​0x5e81213613b6B86EaB4c6c50d718d34359459786</v>
      </c>
      <c r="D60" s="235" t="n">
        <v>18</v>
      </c>
      <c r="E60" s="236" t="n">
        <v>10.6556027528</v>
      </c>
      <c r="F60" s="236" t="n">
        <v>26.639006882</v>
      </c>
      <c r="G60" s="237">
        <f>F60/E60</f>
      </c>
      <c r="H60" s="238">
        <f>F60</f>
      </c>
      <c r="I60" s="238">
        <f>$B$4*E60*F60/(E60+F60)^2</f>
      </c>
      <c r="J60" s="238">
        <f>$B$4*E60^2/(E60+F60)^2</f>
      </c>
      <c r="K60" s="239">
        <f>1-J60/$B$4</f>
      </c>
      <c r="L60" s="249" t="str">
        <v>Approved</v>
      </c>
    </row>
    <row r="61" ht="20" customHeight="1">
      <c r="A61" s="246" t="str">
        <v>UPS</v>
      </c>
      <c r="B61" s="246" t="str">
        <v>UPS</v>
      </c>
      <c r="C61" s="264" t="str">
        <v>​0xf23250dac154d05bb671cb0d0ebef3c635c79ce2</v>
      </c>
      <c r="D61" s="235" t="n">
        <v>18</v>
      </c>
      <c r="E61" s="236" t="n">
        <v>40.12341813944455</v>
      </c>
      <c r="F61" s="236" t="n">
        <v>100.30854534861137</v>
      </c>
      <c r="G61" s="237">
        <f>F61/E61</f>
      </c>
      <c r="H61" s="238">
        <f>F61</f>
      </c>
      <c r="I61" s="238">
        <f>$B$4*E61*F61/(E61+F61)^2</f>
      </c>
      <c r="J61" s="238">
        <f>$B$4*E61^2/(E61+F61)^2</f>
      </c>
      <c r="K61" s="239">
        <f>1-J61/$B$4</f>
      </c>
      <c r="L61" s="249" t="str">
        <v>Approved</v>
      </c>
    </row>
    <row r="62" ht="20" customHeight="1">
      <c r="A62" s="246" t="str">
        <v>USO</v>
      </c>
      <c r="B62" s="246" t="str">
        <v>United States Oil Fund</v>
      </c>
      <c r="C62" s="264" t="str">
        <v>​0xa30FA36Db767ad9eD3f7a60fC79526fB4d56D344</v>
      </c>
      <c r="D62" s="235" t="n">
        <v>18</v>
      </c>
      <c r="E62" s="236" t="n">
        <v>28.71954042552</v>
      </c>
      <c r="F62" s="236" t="n">
        <v>71.7988510638</v>
      </c>
      <c r="G62" s="237">
        <f>F62/E62</f>
      </c>
      <c r="H62" s="238">
        <f>F62</f>
      </c>
      <c r="I62" s="238">
        <f>$B$4*E62*F62/(E62+F62)^2</f>
      </c>
      <c r="J62" s="238">
        <f>$B$4*E62^2/(E62+F62)^2</f>
      </c>
      <c r="K62" s="239">
        <f>1-J62/$B$4</f>
      </c>
      <c r="L62" s="249" t="str">
        <v>Approved</v>
      </c>
    </row>
    <row r="63" ht="20" customHeight="1">
      <c r="A63" s="247" t="str">
        <v>WYFI</v>
      </c>
      <c r="B63" s="247" t="str">
        <v>WhiteFiber</v>
      </c>
      <c r="C63" s="265" t="str">
        <v>​0x9e7ABD3C9139D14E4c86DcE0e455AAB7A0C2FB3E</v>
      </c>
      <c r="D63" s="240" t="n">
        <v>18</v>
      </c>
      <c r="E63" s="241" t="n">
        <v>231.39744</v>
      </c>
      <c r="F63" s="241" t="n">
        <v>578.4936</v>
      </c>
      <c r="G63" s="242">
        <f>F63/E63</f>
      </c>
      <c r="H63" s="243">
        <f>F63</f>
      </c>
      <c r="I63" s="243">
        <f>$B$4*E63*F63/(E63+F63)^2</f>
      </c>
      <c r="J63" s="243">
        <f>$B$4*E63^2/(E63+F63)^2</f>
      </c>
      <c r="K63" s="244">
        <f>1-J63/$B$4</f>
      </c>
      <c r="L63" s="250" t="str">
        <v>Approved</v>
      </c>
    </row>
  </sheetData>
  <mergeCells>
    <mergeCell ref="A1:L1"/>
    <mergeCell ref="B7:L7"/>
    <mergeCell ref="B8:L8"/>
    <mergeCell ref="B9:L9"/>
  </mergeCells>
  <pageMargins left="0.7" right="0.7" top="0.75" bottom="0.75" header="0.3" footer="0.3"/>
</worksheet>
</file>