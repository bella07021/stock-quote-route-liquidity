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fb0e021d4a48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892c8bf8208a4b45"/>
    <x:sheet xmlns:r="http://schemas.openxmlformats.org/officeDocument/2006/relationships" name="Quote参数" sheetId="2" r:id="R3ee82a1f16f54f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af25761ed747c8" /><Relationship Type="http://schemas.openxmlformats.org/officeDocument/2006/relationships/theme" Target="/xl/theme/theme1.xml" Id="R148c561e5a3d4c67" /><Relationship Type="http://schemas.openxmlformats.org/officeDocument/2006/relationships/sharedStrings" Target="/xl/sharedStrings.xml" Id="Rc2672162cfdc4a21" /><Relationship Type="http://schemas.openxmlformats.org/officeDocument/2006/relationships/worksheet" Target="/xl/worksheets/sheet1.xml" Id="R892c8bf8208a4b45" /><Relationship Type="http://schemas.openxmlformats.org/officeDocument/2006/relationships/worksheet" Target="/xl/worksheets/sheet2.xml" Id="R3ee82a1f16f54f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9" hidden="0" customWidth="1"/>
    <x:col min="4" max="4" width="22" hidden="0" customWidth="1"/>
    <x:col min="5" max="5" width="10" hidden="0" customWidth="1"/>
    <x:col min="6" max="6" width="29" hidden="0" customWidth="1"/>
    <x:col min="7" max="7" width="22" hidden="0" customWidth="1"/>
    <x:col min="8" max="8" width="10" hidden="0" customWidth="1"/>
    <x:col min="9" max="9" width="28" hidden="0" customWidth="1"/>
    <x:col min="10" max="10" width="20" hidden="0" customWidth="1"/>
    <x:col min="11" max="11" width="12" hidden="0" customWidth="1"/>
    <x:col min="12" max="12" width="19" hidden="0" customWidth="1"/>
  </x:cols>
  <x:sheetData>
    <x:row r="2" ht="28" customHeight="1">
      <x:c r="C2" s="39" t="str">
        <x:v>发射平台控筹模型</x:v>
      </x:c>
      <x:c r="D2" s="39"/>
      <x:c r="E2" s="39"/>
      <x:c r="F2" s="39"/>
      <x:c r="G2" s="39"/>
      <x:c r="H2" s="39"/>
      <x:c r="I2" s="39"/>
      <x:c r="J2" s="39"/>
      <x:c r="K2" s="39"/>
      <x:c r="L2" s="39"/>
    </x:row>
    <x:row r="3" ht="24" customHeight="1">
      <x:c r="C3" s="41" t="str">
        <x:v>蓝色格可编辑。Quote 与原生币 Gas 分开准备；总折算价值包含 Gas。</x:v>
      </x:c>
      <x:c r="D3" s="41"/>
      <x:c r="E3" s="41"/>
      <x:c r="F3" s="41"/>
      <x:c r="G3" s="41"/>
      <x:c r="H3" s="41"/>
      <x:c r="I3" s="41"/>
      <x:c r="J3" s="41"/>
      <x:c r="K3" s="41"/>
      <x:c r="L3" s="41"/>
    </x:row>
    <x:row r="4" ht="6" customHeight="1"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C5" s="14" t="str">
        <x:v>一、可编辑参数</x:v>
      </x:c>
      <x:c r="D5" s="14"/>
      <x:c r="E5" s="14"/>
      <x:c r="F5" s="14"/>
      <x:c r="G5" s="14"/>
      <x:c r="H5" s="14"/>
      <x:c r="I5" s="14"/>
      <x:c r="J5" s="14"/>
      <x:c r="K5" s="14"/>
      <x:c r="L5" s="14"/>
    </x:row>
    <x:row r="6" ht="20" customHeight="1">
      <x:c r="C6" s="3" t="str">
        <x:v>交易参数</x:v>
      </x:c>
      <x:c r="D6" s="3"/>
      <x:c r="E6" s="3"/>
      <x:c r="F6" s="3" t="str">
        <x:v>地址与 Gas</x:v>
      </x:c>
      <x:c r="G6" s="3"/>
      <x:c r="H6" s="3"/>
      <x:c r="I6" s="3" t="str">
        <x:v>平台设置</x:v>
      </x:c>
      <x:c r="J6" s="3"/>
      <x:c r="K6" s="3"/>
      <x:c r="L6" s="3"/>
    </x:row>
    <x:row r="7" ht="20" customHeight="1">
      <x:c r="C7" s="49" t="str">
        <x:v>平台 / Quote</x:v>
      </x:c>
      <x:c r="D7" s="67" t="str">
        <x:v>Pons V2 / USDG</x:v>
      </x:c>
      <x:c r="E7" s="67"/>
      <x:c r="F7" s="49" t="str">
        <x:v>内盘套数</x:v>
      </x:c>
      <x:c r="G7" s="50" t="n">
        <x:v>2</x:v>
      </x:c>
      <x:c r="H7" s="49"/>
      <x:c r="I7" s="49" t="str">
        <x:v>买入税率（Flap）</x:v>
      </x:c>
      <x:c r="J7" s="55" t="n">
        <x:f>VLOOKUP($D$7,'Quote参数'!$C$14:$AL$23,25,FALSE)</x:f>
        <x:v>0</x:v>
      </x:c>
      <x:c r="K7" s="49"/>
      <x:c r="L7" s="49"/>
    </x:row>
    <x:row r="8" ht="20" customHeight="1">
      <x:c r="C8" s="49" t="str">
        <x:v>目标控筹率</x:v>
      </x:c>
      <x:c r="D8" s="55" t="n">
        <x:v>0.9</x:v>
      </x:c>
      <x:c r="E8" s="49"/>
      <x:c r="F8" s="49" t="str">
        <x:v>内盘地址 / 套</x:v>
      </x:c>
      <x:c r="G8" s="50" t="n">
        <x:v>20</x:v>
      </x:c>
      <x:c r="H8" s="49"/>
      <x:c r="I8" s="49" t="str">
        <x:v>卖出税率（Flap）</x:v>
      </x:c>
      <x:c r="J8" s="55" t="n">
        <x:f>VLOOKUP($D$7,'Quote参数'!$C$14:$AL$23,26,FALSE)</x:f>
        <x:v>0</x:v>
      </x:c>
      <x:c r="K8" s="49"/>
      <x:c r="L8" s="49"/>
    </x:row>
    <x:row r="9" ht="20" customHeight="1">
      <x:c r="C9" s="49" t="str">
        <x:v>手动价格 / USDT</x:v>
      </x:c>
      <x:c r="D9" s="50"/>
      <x:c r="E9" s="49"/>
      <x:c r="F9" s="49" t="str">
        <x:v>外盘地址数</x:v>
      </x:c>
      <x:c r="G9" s="50" t="n">
        <x:v>30</x:v>
      </x:c>
      <x:c r="H9" s="49"/>
      <x:c r="I9" s="49" t="str">
        <x:v>Creator Tax（Pons）</x:v>
      </x:c>
      <x:c r="J9" s="55" t="n">
        <x:f>VLOOKUP($D$7,'Quote参数'!$C$14:$AL$23,27,FALSE)</x:f>
        <x:v>0</x:v>
      </x:c>
      <x:c r="K9" s="49"/>
      <x:c r="L9" s="49"/>
    </x:row>
    <x:row r="10" ht="20" customHeight="1">
      <x:c r="C10" s="49" t="str">
        <x:v>Creator fee recipient（Pons）</x:v>
      </x:c>
      <x:c r="D10" s="50" t="str"/>
      <x:c r="E10" s="49"/>
      <x:c r="F10" s="49" t="str">
        <x:v>Holder 地址数</x:v>
      </x:c>
      <x:c r="G10" s="50" t="n">
        <x:v>150</x:v>
      </x:c>
      <x:c r="H10" s="49"/>
      <x:c r="I10" s="49" t="str">
        <x:v>预算控筹缓冲（固定）</x:v>
      </x:c>
      <x:c r="J10" s="56" t="n">
        <x:f>1%</x:f>
        <x:v>0.01</x:v>
      </x:c>
      <x:c r="K10" s="49"/>
      <x:c r="L10" s="49"/>
    </x:row>
    <x:row r="11" ht="20" customHeight="1">
      <x:c r="C11" s="49" t="str">
        <x:v>Buyback（Pons）</x:v>
      </x:c>
      <x:c r="D11" s="50" t="str">
        <x:v>否</x:v>
      </x:c>
      <x:c r="E11" s="49"/>
      <x:c r="F11" s="49" t="str">
        <x:v>单地址 Gas</x:v>
      </x:c>
      <x:c r="G11" s="54" t="n">
        <x:f>VLOOKUP($D$7,'Quote参数'!$C$14:$AL$23,33,FALSE)</x:f>
        <x:v>0.005</x:v>
      </x:c>
      <x:c r="H11" s="49"/>
      <x:c r="I11" s="49"/>
      <x:c r="J11" s="49"/>
      <x:c r="K11" s="49"/>
      <x:c r="L11" s="49"/>
    </x:row>
    <x:row r="12" ht="20" customHeight="1">
      <x:c r="C12" s="49" t="str">
        <x:v>Snipe 豁免（Pons）</x:v>
      </x:c>
      <x:c r="D12" s="50" t="str">
        <x:v>是</x:v>
      </x:c>
      <x:c r="E12" s="49"/>
      <x:c r="F12" s="49" t="str">
        <x:v>资金预留 / Quote</x:v>
      </x:c>
      <x:c r="G12" s="64" t="n">
        <x:f>IF(AND(ISNUMBER($D$55),$D$55&gt;0),ROUNDUP($G$56/$D$55,0),"")</x:f>
        <x:v>9998</x:v>
      </x:c>
      <x:c r="H12" s="49"/>
      <x:c r="I12" s="49" t="str">
        <x:v>洗筹基础费率</x:v>
      </x:c>
      <x:c r="J12" s="55" t="n">
        <x:f>VLOOKUP($D$7,'Quote参数'!$C$14:$AL$23,20,FALSE)</x:f>
        <x:v>0.01</x:v>
      </x:c>
      <x:c r="K12" s="49"/>
      <x:c r="L12" s="49"/>
    </x:row>
    <x:row r="13" ht="24" customHeight="1">
      <x:c r="C13" s="41" t="str">
        <x:v>预留 = 10,000 USDT ÷ 有效 Quote 价格向上取整。手动价格同时调整预留与折算价值；清空后恢复每日价。</x:v>
      </x:c>
      <x:c r="D13" s="41"/>
      <x:c r="E13" s="41"/>
      <x:c r="F13" s="41"/>
      <x:c r="G13" s="41"/>
      <x:c r="H13" s="41"/>
      <x:c r="I13" s="41"/>
      <x:c r="J13" s="41"/>
      <x:c r="K13" s="41"/>
      <x:c r="L13" s="41"/>
    </x:row>
    <x:row r="14" ht="6" customHeight="1">
      <x:c r="C14" s="3"/>
      <x:c r="D14" s="3"/>
      <x:c r="E14" s="3"/>
      <x:c r="F14" s="3"/>
      <x:c r="G14" s="3"/>
      <x:c r="H14" s="3"/>
      <x:c r="I14" s="3"/>
      <x:c r="J14" s="3"/>
      <x:c r="K14" s="3"/>
      <x:c r="L14" s="3"/>
    </x:row>
    <x:row r="15" ht="6" customHeight="1">
      <x:c r="C15" s="3"/>
      <x:c r="D15" s="3"/>
      <x:c r="E15" s="3"/>
      <x:c r="F15" s="3"/>
      <x:c r="G15" s="3"/>
      <x:c r="H15" s="3"/>
      <x:c r="I15" s="3"/>
      <x:c r="J15" s="3"/>
      <x:c r="K15" s="3"/>
      <x:c r="L15" s="3"/>
    </x:row>
    <x:row r="16" ht="6" customHeight="1"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 ht="24" customHeight="1">
      <x:c r="C17" s="14" t="str">
        <x:v>二、测算结果</x:v>
      </x:c>
      <x:c r="D17" s="14"/>
      <x:c r="E17" s="14"/>
      <x:c r="F17" s="14"/>
      <x:c r="G17" s="14"/>
      <x:c r="H17" s="14"/>
      <x:c r="I17" s="14"/>
      <x:c r="J17" s="14"/>
      <x:c r="K17" s="14"/>
      <x:c r="L17" s="14"/>
    </x:row>
    <x:row r="18" ht="30" customHeight="1">
      <x:c r="C18" s="3" t="str">
        <x:v>建议 Quote 资金</x:v>
      </x:c>
      <x:c r="D18" s="53" t="n">
        <x:f>IF(AND(LEFT($D$51,2)="可达",ISNUMBER($D$22),ISNUMBER($D$23),ISNUMBER($D$25),ISNUMBER($D$26)),SUM($D$22:$D$23,$D$25:$D$26),"")</x:f>
        <x:v>262305.9848022362</x:v>
      </x:c>
      <x:c r="E18" s="48" t="str">
        <x:f>VLOOKUP($D$7,'Quote参数'!$C$14:$AL$23,3,FALSE)</x:f>
        <x:v>USDG</x:v>
      </x:c>
      <x:c r="F18" s="3" t="str">
        <x:v>原生币 Gas 储备</x:v>
      </x:c>
      <x:c r="G18" s="53" t="n">
        <x:f>D53*MAX(0,G11)+IF(H18="BNB",1,IF(H18="ETH",0.5,IF(H18="SOL",5,0)))</x:f>
        <x:v>1.6</x:v>
      </x:c>
      <x:c r="H18" s="48" t="str">
        <x:f>VLOOKUP($D$7,'Quote参数'!$C$14:$AL$23,4,FALSE)</x:f>
        <x:v>ETH</x:v>
      </x:c>
      <x:c r="I18" s="3" t="str">
        <x:v>总折算 / USDT</x:v>
      </x:c>
      <x:c r="J18" s="62" t="n">
        <x:f>IF(AND(ISNUMBER(D19),ISNUMBER(G19)),SUM(D19,G19),"")</x:f>
        <x:v>266731.637273721</x:v>
      </x:c>
      <x:c r="K18" s="48" t="str">
        <x:v>USDT</x:v>
      </x:c>
      <x:c r="L18" s="48"/>
    </x:row>
    <x:row r="19" ht="20" customHeight="1">
      <x:c r="C19" s="3" t="str">
        <x:v>Quote 折算 / USDT</x:v>
      </x:c>
      <x:c r="D19" s="63" t="n">
        <x:f>IF(ISNUMBER(D18),IF(D18=0,0,IF(D55&gt;0,D18*D55,"")),"")</x:f>
        <x:v>262367.1163403435</x:v>
      </x:c>
      <x:c r="E19" s="3" t="str">
        <x:v>USDT</x:v>
      </x:c>
      <x:c r="F19" s="3" t="str">
        <x:v>Gas 折算 / USDT</x:v>
      </x:c>
      <x:c r="G19" s="63" t="n">
        <x:f>IF(G18=0,0,IF(AND(ISNUMBER(J44),J44&gt;0),G18*J44,""))</x:f>
        <x:v>4364.520933377477</x:v>
      </x:c>
      <x:c r="H19" s="3" t="str">
        <x:v>USDT</x:v>
      </x:c>
      <x:c r="I19" s="3"/>
      <x:c r="J19" s="3"/>
      <x:c r="K19" s="3"/>
      <x:c r="L19" s="3"/>
    </x:row>
    <x:row r="20" ht="6" customHeight="1"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 ht="24" customHeight="1">
      <x:c r="C21" s="43" t="str">
        <x:v>Quote 资金构成</x:v>
      </x:c>
      <x:c r="D21" s="43"/>
      <x:c r="E21" s="43"/>
      <x:c r="F21" s="43"/>
      <x:c r="G21" s="3"/>
      <x:c r="H21" s="3"/>
      <x:c r="I21" s="43" t="str">
        <x:v>手续费</x:v>
      </x:c>
      <x:c r="J21" s="43"/>
      <x:c r="K21" s="43"/>
      <x:c r="L21" s="43"/>
    </x:row>
    <x:row r="22" ht="20" customHeight="1">
      <x:c r="C22" s="3" t="str">
        <x:f>"预算 "&amp;TEXT($D$52,"0%")&amp;" 理论资金"</x:f>
        <x:v>预算 91% 理论资金</x:v>
      </x:c>
      <x:c r="D22" s="65" t="n">
        <x:f>IF($D$51&lt;&gt;"可达","",$J$41+IF($G$40="pons",($G$50/$J$51-$G$49)/(1-$G$42-$J$48),IF($G$40="four-stock",($G$50/$J$50-$G$49)/(1-$G$42),($G$50/$J$50-$G$49)*(1+$G$42))))</x:f>
        <x:v>199310.17491993104</x:v>
      </x:c>
      <x:c r="E22" s="3" t="str">
        <x:f>VLOOKUP($D$7,'Quote参数'!$C$14:$AL$23,3,FALSE)</x:f>
        <x:v>USDG</x:v>
      </x:c>
      <x:c r="F22" s="3"/>
      <x:c r="G22" s="3"/>
      <x:c r="H22" s="3"/>
      <x:c r="I22" s="3" t="str">
        <x:v>内盘</x:v>
      </x:c>
      <x:c r="J22" s="3"/>
      <x:c r="K22" s="3"/>
      <x:c r="L22" s="3"/>
    </x:row>
    <x:row r="23" ht="20" customHeight="1">
      <x:c r="C23" s="3" t="str">
        <x:v>额外内盘资金</x:v>
      </x:c>
      <x:c r="D23" s="65" t="n">
        <x:f>IF($D$51="可达",$J$41*MAX(0,$G$7-1),"")</x:f>
        <x:v>8171.717171717171</x:v>
      </x:c>
      <x:c r="E23" s="3" t="str">
        <x:f>VLOOKUP($D$7,'Quote参数'!$C$14:$AL$23,3,FALSE)</x:f>
        <x:v>USDG</x:v>
      </x:c>
      <x:c r="F23" s="3"/>
      <x:c r="G23" s="3"/>
      <x:c r="H23" s="3"/>
      <x:c r="I23" s="3" t="str">
        <x:v>基础手续费</x:v>
      </x:c>
      <x:c r="J23" s="57" t="n">
        <x:f>G41</x:f>
        <x:v>0.01</x:v>
      </x:c>
      <x:c r="K23" s="3"/>
      <x:c r="L23" s="3"/>
    </x:row>
    <x:row r="24" hidden="1" customHeight="1">
      <x:c r="C24" s="3"/>
      <x:c r="D24" s="90"/>
      <x:c r="E24" s="3" t="str">
        <x:f>VLOOKUP($D$7,'Quote参数'!$C$14:$AL$23,3,FALSE)</x:f>
        <x:v>USDG</x:v>
      </x:c>
      <x:c r="F24" s="3"/>
      <x:c r="G24" s="3"/>
      <x:c r="H24" s="3"/>
      <x:c r="I24" s="3" t="str">
        <x:v>买入含税费率</x:v>
      </x:c>
      <x:c r="J24" s="57" t="n">
        <x:f>G41+J46+J48</x:f>
        <x:v>0.01</x:v>
      </x:c>
      <x:c r="K24" s="3"/>
      <x:c r="L24" s="3"/>
    </x:row>
    <x:row r="25" ht="20" customHeight="1">
      <x:c r="C25" s="3" t="str">
        <x:v>资金预留</x:v>
      </x:c>
      <x:c r="D25" s="65" t="n">
        <x:f>IF($D$51="可达",$G$12,"")</x:f>
        <x:v>9998</x:v>
      </x:c>
      <x:c r="E25" s="3" t="str">
        <x:f>VLOOKUP($D$7,'Quote参数'!$C$14:$AL$23,3,FALSE)</x:f>
        <x:v>USDG</x:v>
      </x:c>
      <x:c r="F25" s="3"/>
      <x:c r="G25" s="3"/>
      <x:c r="H25" s="3"/>
      <x:c r="I25" s="3" t="str">
        <x:v>卖出含税费率</x:v>
      </x:c>
      <x:c r="J25" s="57" t="n">
        <x:f>G41+J47+J48</x:f>
        <x:v>0.01</x:v>
      </x:c>
      <x:c r="K25" s="3"/>
      <x:c r="L25" s="3"/>
    </x:row>
    <x:row r="26" ht="28" customHeight="1">
      <x:c r="C26" s="49" t="str">
        <x:v>恢复目标控筹预留</x:v>
      </x:c>
      <x:c r="D26" s="65" t="n">
        <x:f>IF($D$51&lt;&gt;"可达","",IF(AND($J$55&gt;0,$J$56&gt;0),MAX(0,($G$50/$J$55-$G$50/$J$56)*(IF($G$40="pons",1/(1-$G$42-$J$48),IF($G$40="four-stock",1/(1-$G$42),1+$G$42)))),""))</x:f>
        <x:v>44826.09271058801</x:v>
      </x:c>
      <x:c r="E26" s="3" t="str">
        <x:f>VLOOKUP($D$7,'Quote参数'!$C$14:$AL$23,3,FALSE)</x:f>
        <x:v>USDG</x:v>
      </x:c>
      <x:c r="F26" s="3"/>
      <x:c r="G26" s="3"/>
      <x:c r="H26" s="3"/>
      <x:c r="I26" s="3"/>
      <x:c r="J26" s="3"/>
      <x:c r="K26" s="3"/>
      <x:c r="L26" s="3"/>
    </x:row>
    <x:row r="27" ht="20" customHeight="1">
      <x:c r="C27" s="3" t="str">
        <x:v>洗后控筹率（估算）</x:v>
      </x:c>
      <x:c r="D27" s="59" t="n">
        <x:f>D8*J54</x:f>
        <x:v>0.88209</x:v>
      </x:c>
      <x:c r="E27" s="3"/>
      <x:c r="F27" s="3"/>
      <x:c r="G27" s="3"/>
      <x:c r="H27" s="3"/>
      <x:c r="I27" s="3" t="str">
        <x:v>外盘</x:v>
      </x:c>
      <x:c r="J27" s="3"/>
      <x:c r="K27" s="3"/>
      <x:c r="L27" s="3"/>
    </x:row>
    <x:row r="28" ht="20" customHeight="1">
      <x:c r="C28" s="3" t="str">
        <x:v>原目标控筹率</x:v>
      </x:c>
      <x:c r="D28" s="57" t="n">
        <x:f>D8</x:f>
        <x:v>0.9</x:v>
      </x:c>
      <x:c r="E28" s="3"/>
      <x:c r="F28" s="3"/>
      <x:c r="G28" s="3"/>
      <x:c r="H28" s="3"/>
      <x:c r="I28" s="3" t="str">
        <x:v>基础手续费</x:v>
      </x:c>
      <x:c r="J28" s="57" t="n">
        <x:f>G42</x:f>
        <x:v>0.01</x:v>
      </x:c>
      <x:c r="K28" s="3"/>
      <x:c r="L28" s="3"/>
    </x:row>
    <x:row r="29" ht="20" customHeight="1">
      <x:c r="C29" s="3" t="str">
        <x:v>洗筹双边总费率</x:v>
      </x:c>
      <x:c r="D29" s="57" t="n">
        <x:f>MAX(0,$J$12)*2+$J$46+$J$47+$J$48*2</x:f>
        <x:v>0.02</x:v>
      </x:c>
      <x:c r="E29" s="3"/>
      <x:c r="F29" s="3"/>
      <x:c r="G29" s="3"/>
      <x:c r="H29" s="3"/>
      <x:c r="I29" s="3" t="str">
        <x:v>买入含税费率</x:v>
      </x:c>
      <x:c r="J29" s="57" t="n">
        <x:f>G42+J46+J48</x:f>
        <x:v>0.01</x:v>
      </x:c>
      <x:c r="K29" s="3"/>
      <x:c r="L29" s="3"/>
    </x:row>
    <x:row r="30" ht="20" customHeight="1">
      <x:c r="C30"/>
      <x:c r="D30"/>
      <x:c r="E30"/>
      <x:c r="F30"/>
      <x:c r="G30"/>
      <x:c r="H30"/>
      <x:c r="I30" s="3" t="str">
        <x:v>卖出含税费率</x:v>
      </x:c>
      <x:c r="J30" s="57" t="n">
        <x:f>G42+J47+J48</x:f>
        <x:v>0.01</x:v>
      </x:c>
      <x:c r="K30" s="3"/>
      <x:c r="L30" s="3"/>
    </x:row>
    <x:row r="31" ht="20" hidden="1" customHeight="1">
      <x:c r="C31"/>
      <x:c r="D31"/>
      <x:c r="E31"/>
      <x:c r="F31"/>
      <x:c r="G31"/>
      <x:c r="H31"/>
      <x:c r="I31" s="3"/>
      <x:c r="J31" s="3"/>
      <x:c r="K31" s="3"/>
      <x:c r="L31" s="3"/>
    </x:row>
    <x:row r="32" ht="20" hidden="1" customHeight="1">
      <x:c r="C32"/>
      <x:c r="D32"/>
      <x:c r="E32"/>
      <x:c r="F32"/>
      <x:c r="G32"/>
      <x:c r="H32"/>
      <x:c r="I32" s="3"/>
      <x:c r="J32" s="3"/>
      <x:c r="K32" s="3"/>
      <x:c r="L32" s="3"/>
    </x:row>
    <x:row r="33" ht="20" hidden="1" customHeight="1">
      <x:c r="C33"/>
      <x:c r="D33"/>
      <x:c r="E33"/>
      <x:c r="F33"/>
      <x:c r="G33"/>
      <x:c r="H33"/>
      <x:c r="I33" s="3"/>
      <x:c r="J33" s="3"/>
      <x:c r="K33" s="3"/>
      <x:c r="L33" s="3"/>
    </x:row>
    <x:row r="34" ht="20" hidden="1" customHeight="1">
      <x:c r="C34"/>
      <x:c r="D34"/>
      <x:c r="E34"/>
      <x:c r="F34"/>
      <x:c r="G34"/>
      <x:c r="H34"/>
      <x:c r="I34" s="3"/>
      <x:c r="J34" s="3"/>
      <x:c r="K34" s="3"/>
      <x:c r="L34" s="3"/>
    </x:row>
    <x:row r="35" ht="20" hidden="1" customHeight="1">
      <x:c r="C35"/>
      <x:c r="D35"/>
      <x:c r="E35"/>
      <x:c r="F35"/>
      <x:c r="G35"/>
      <x:c r="H35"/>
      <x:c r="I35" s="3"/>
      <x:c r="J35" s="3"/>
      <x:c r="K35" s="3"/>
      <x:c r="L35" s="3"/>
    </x:row>
    <x:row r="36" ht="32" customHeight="1">
      <x:c r="C36" s="41" t="str">
        <x:v>外盘一卖一买使用卖出所得 Quote 回买；手续费仅降低洗后持币，不另列资金。洗后若低于目标，再按外盘曲线差额及买入费预留恢复所需 Quote；未模拟成交量、滑点与价格冲击。</x:v>
      </x:c>
      <x:c r="D36" s="41"/>
      <x:c r="E36" s="41"/>
      <x:c r="F36" s="41"/>
      <x:c r="G36" s="41"/>
      <x:c r="H36" s="41"/>
      <x:c r="I36" s="41"/>
      <x:c r="J36" s="41"/>
      <x:c r="K36" s="41"/>
      <x:c r="L36" s="41"/>
    </x:row>
    <x:row r="37" ht="20" customHeight="1">
      <x:c r="C37" s="3" t="str">
        <x:v>沉没成本（模型参考，不重复计入预算）</x:v>
      </x:c>
      <x:c r="D37" s="3"/>
      <x:c r="E37" s="3"/>
      <x:c r="F37" s="3"/>
      <x:c r="G37" s="65" t="n">
        <x:f>IF($G$40="four-stock",E126,VLOOKUP($D$7,'Quote参数'!$C$14:$AL$23,23,FALSE))</x:f>
        <x:v>1797.7777777777778</x:v>
      </x:c>
      <x:c r="H37" s="3" t="str">
        <x:f>VLOOKUP($D$7,'Quote参数'!$C$14:$AL$23,3,FALSE)</x:f>
        <x:v>USDG</x:v>
      </x:c>
      <x:c r="I37" s="3"/>
      <x:c r="J37" s="3"/>
      <x:c r="K37" s="3"/>
      <x:c r="L37" s="3"/>
    </x:row>
    <x:row r="38" ht="6" customHeight="1"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 ht="24" customHeight="1">
      <x:c r="C39" s="14" t="str">
        <x:v>三、模型信息与计算口径（默认折叠，点左侧 + 展开）</x:v>
      </x:c>
      <x:c r="D39" s="14"/>
      <x:c r="E39" s="14"/>
      <x:c r="F39" s="14"/>
      <x:c r="G39" s="14"/>
      <x:c r="H39" s="14"/>
      <x:c r="I39" s="14"/>
      <x:c r="J39" s="14"/>
      <x:c r="K39" s="14"/>
      <x:c r="L39" s="14"/>
    </x:row>
    <x:row r="40" ht="30" hidden="1" customHeight="1">
      <x:c r="C40" s="49"/>
      <x:c r="D40" s="49"/>
      <x:c r="E40" s="49"/>
      <x:c r="F40" s="49" t="str">
        <x:v>模型类型</x:v>
      </x:c>
      <x:c r="G40" s="49" t="str">
        <x:f>VLOOKUP($D$7,'Quote参数'!$C$14:$AL$23,10,FALSE)</x:f>
        <x:v>pons</x:v>
      </x:c>
      <x:c r="H40" s="49"/>
      <x:c r="I40" s="49"/>
      <x:c r="J40" s="49"/>
      <x:c r="K40" s="49"/>
      <x:c r="L40" s="49"/>
    </x:row>
    <x:row r="41" ht="30" hidden="1" customHeight="1">
      <x:c r="C41" s="49"/>
      <x:c r="D41" s="49"/>
      <x:c r="E41" s="49"/>
      <x:c r="F41" s="49" t="str">
        <x:v>内盘基础费</x:v>
      </x:c>
      <x:c r="G41" s="58" t="n">
        <x:f>VLOOKUP($D$7,'Quote参数'!$C$14:$AL$23,19,FALSE)</x:f>
        <x:v>0.01</x:v>
      </x:c>
      <x:c r="H41" s="49"/>
      <x:c r="I41" s="49" t="str">
        <x:v>一套内盘打满</x:v>
      </x:c>
      <x:c r="J41" s="49" t="n">
        <x:f>IF($G$40="pons",$G$49/(1-$G$41-$J$48),IF(OR($G$40="flap",$G$40="four-stock"),$G$53*(1+$G$41+$J$46),$G$52))</x:f>
        <x:v>8171.717171717171</x:v>
      </x:c>
      <x:c r="K41" s="49"/>
      <x:c r="L41" s="49"/>
    </x:row>
    <x:row r="42" ht="30" hidden="1" customHeight="1">
      <x:c r="C42" s="49"/>
      <x:c r="D42" s="49"/>
      <x:c r="E42" s="49"/>
      <x:c r="F42" s="49" t="str">
        <x:v>外盘基础费</x:v>
      </x:c>
      <x:c r="G42" s="58" t="n">
        <x:f>VLOOKUP($D$7,'Quote参数'!$C$14:$AL$23,20,FALSE)</x:f>
        <x:v>0.01</x:v>
      </x:c>
      <x:c r="H42" s="49"/>
      <x:c r="I42" s="49"/>
      <x:c r="J42" s="49"/>
      <x:c r="K42" s="49"/>
      <x:c r="L42" s="49"/>
    </x:row>
    <x:row r="43" ht="30" hidden="1" customHeight="1">
      <x:c r="C43" s="49"/>
      <x:c r="D43" s="49"/>
      <x:c r="E43" s="49"/>
      <x:c r="F43" s="49" t="str">
        <x:v>毕业控筹率</x:v>
      </x:c>
      <x:c r="G43" s="58" t="n">
        <x:f>VLOOKUP($D$7,'Quote参数'!$C$14:$AL$23,15,FALSE)</x:f>
        <x:v>0.7142857142857143</x:v>
      </x:c>
      <x:c r="H43" s="49"/>
      <x:c r="I43" s="49" t="str">
        <x:v>模型键</x:v>
      </x:c>
      <x:c r="J43" s="49" t="str">
        <x:f>VLOOKUP($D$7,'Quote参数'!$C$14:$AL$23,2,FALSE)</x:f>
        <x:v>ponsv2-usdg</x:v>
      </x:c>
      <x:c r="K43" s="49"/>
      <x:c r="L43" s="49"/>
    </x:row>
    <x:row r="44" ht="30" hidden="1" customHeight="1">
      <x:c r="C44" s="49"/>
      <x:c r="D44" s="49"/>
      <x:c r="E44" s="49"/>
      <x:c r="F44" s="49" t="str">
        <x:v>内盘初始 TOKEN</x:v>
      </x:c>
      <x:c r="G44" s="49" t="n">
        <x:f>VLOOKUP($D$7,'Quote参数'!$C$14:$AL$23,12,FALSE)</x:f>
        <x:v>1000000000</x:v>
      </x:c>
      <x:c r="H44" s="49"/>
      <x:c r="I44" s="49" t="str">
        <x:v>原生币价格 / USDT</x:v>
      </x:c>
      <x:c r="J44" s="49" t="n">
        <x:f>IF(VLOOKUP($D$7,'Quote参数'!$C$14:$AL$23,3,FALSE)=VLOOKUP($D$7,'Quote参数'!$C$14:$AL$23,4,FALSE),$D$55,VLOOKUP($D$7,'Quote参数'!$C$14:$AL$23,7,FALSE))</x:f>
        <x:v>2727.8255833609232</x:v>
      </x:c>
      <x:c r="K44" s="49"/>
      <x:c r="L44" s="49"/>
    </x:row>
    <x:row r="45" ht="30" hidden="1" customHeight="1">
      <x:c r="C45" s="49" t="str">
        <x:v>总供应量</x:v>
      </x:c>
      <x:c r="D45" s="49" t="n">
        <x:f>VLOOKUP($D$7,'Quote参数'!$C$14:$AL$23,11,FALSE)</x:f>
        <x:v>1000000000</x:v>
      </x:c>
      <x:c r="E45" s="49"/>
      <x:c r="F45" s="49" t="str">
        <x:v>内盘初始 Quote</x:v>
      </x:c>
      <x:c r="G45" s="49" t="n">
        <x:f>VLOOKUP($D$7,'Quote参数'!$C$14:$AL$23,13,FALSE)</x:f>
        <x:v>3236</x:v>
      </x:c>
      <x:c r="H45" s="49"/>
      <x:c r="I45" s="49" t="str">
        <x:v>税率上限</x:v>
      </x:c>
      <x:c r="J45" s="49" t="n">
        <x:f>VLOOKUP($D$7,'Quote参数'!$C$14:$AL$23,32,FALSE)</x:f>
        <x:v>0.1</x:v>
      </x:c>
      <x:c r="K45" s="49"/>
      <x:c r="L45" s="49"/>
    </x:row>
    <x:row r="46" ht="30" hidden="1" customHeight="1">
      <x:c r="C46" s="49"/>
      <x:c r="D46" s="49"/>
      <x:c r="E46" s="49"/>
      <x:c r="F46" s="49" t="str">
        <x:v>内盘 K</x:v>
      </x:c>
      <x:c r="G46" s="49" t="n">
        <x:f>VLOOKUP($D$7,'Quote参数'!$C$14:$AL$23,14,FALSE)</x:f>
        <x:v>3236000000000</x:v>
      </x:c>
      <x:c r="H46" s="49"/>
      <x:c r="I46" s="49" t="str">
        <x:v>使用买入税</x:v>
      </x:c>
      <x:c r="J46" s="58" t="n">
        <x:f>IF(OR($G$40="flap",$G$40="four-stock"),MIN($J$45,MAX(0,$J$7)),0)</x:f>
        <x:v>0</x:v>
      </x:c>
      <x:c r="K46" s="49"/>
      <x:c r="L46" s="49"/>
    </x:row>
    <x:row r="47" ht="30" hidden="1" customHeight="1">
      <x:c r="C47" s="49"/>
      <x:c r="D47" s="49"/>
      <x:c r="E47" s="49"/>
      <x:c r="F47" s="49"/>
      <x:c r="G47" s="49"/>
      <x:c r="H47" s="49"/>
      <x:c r="I47" s="49" t="str">
        <x:v>使用卖出税</x:v>
      </x:c>
      <x:c r="J47" s="58" t="n">
        <x:f>IF(OR($G$40="flap",$G$40="four-stock"),MIN($J$45,MAX(0,$J$8)),0)</x:f>
        <x:v>0</x:v>
      </x:c>
      <x:c r="K47" s="49"/>
      <x:c r="L47" s="49"/>
    </x:row>
    <x:row r="48" ht="30" hidden="1" customHeight="1">
      <x:c r="C48" s="49"/>
      <x:c r="D48" s="49"/>
      <x:c r="E48" s="49"/>
      <x:c r="F48" s="49" t="str">
        <x:v>外盘初始 TOKEN</x:v>
      </x:c>
      <x:c r="G48" s="49" t="n">
        <x:f>VLOOKUP($D$7,'Quote参数'!$C$14:$AL$23,16,FALSE)</x:f>
        <x:v>204081632.65306124</x:v>
      </x:c>
      <x:c r="H48" s="49"/>
      <x:c r="I48" s="49" t="str">
        <x:v>使用 Creator Tax</x:v>
      </x:c>
      <x:c r="J48" s="58" t="n">
        <x:f>IF($G$40="pons",MIN($J$45,MAX(0,$J$9)),0)</x:f>
        <x:v>0</x:v>
      </x:c>
      <x:c r="K48" s="49"/>
      <x:c r="L48" s="49"/>
    </x:row>
    <x:row r="49" ht="30" hidden="1" customHeight="1">
      <x:c r="C49" s="49"/>
      <x:c r="D49" s="49"/>
      <x:c r="E49" s="49"/>
      <x:c r="F49" s="49" t="str">
        <x:v>外盘初始 Quote</x:v>
      </x:c>
      <x:c r="G49" s="49" t="n">
        <x:f>VLOOKUP($D$7,'Quote参数'!$C$14:$AL$23,17,FALSE)</x:f>
        <x:v>8090</x:v>
      </x:c>
      <x:c r="H49" s="49"/>
      <x:c r="I49" s="49"/>
      <x:c r="J49" s="49"/>
      <x:c r="K49" s="49"/>
      <x:c r="L49" s="49"/>
    </x:row>
    <x:row r="50" ht="30" hidden="1" customHeight="1">
      <x:c r="C50" s="49"/>
      <x:c r="D50" s="49"/>
      <x:c r="E50" s="49"/>
      <x:c r="F50" s="49" t="str">
        <x:v>外盘 K</x:v>
      </x:c>
      <x:c r="G50" s="49" t="n">
        <x:f>VLOOKUP($D$7,'Quote参数'!$C$14:$AL$23,18,FALSE)</x:f>
        <x:v>1651020408163.2654</x:v>
      </x:c>
      <x:c r="H50" s="49"/>
      <x:c r="I50" s="49" t="str">
        <x:v>预算外盘 TOKEN</x:v>
      </x:c>
      <x:c r="J50" s="49" t="n">
        <x:f>IF(OR($G$40="flap",$G$40="four-stock"),$G$48-($D$52-$G$43)*$D$45/(1-$J$46),IF($G$40="pons",$D$45*(1-$D$52)-$G$51,IF(ABS($D$52-$G$43)&lt;0.000001,$G$48,$D$45*(1-$D$52))))</x:f>
        <x:v>8367346.93877548</x:v>
      </x:c>
      <x:c r="K50" s="49"/>
      <x:c r="L50" s="49"/>
    </x:row>
    <x:row r="51" ht="30" hidden="1" customHeight="1">
      <x:c r="C51" s="49" t="str">
        <x:v>目标是否可达</x:v>
      </x:c>
      <x:c r="D51" s="49" t="str">
        <x:f>IF(OR($G$7&lt;1,$G$8&lt;0,$G$9&lt;0,$G$10&lt;0,$G$11&lt;0,$D$8&lt;$G$43),"参数无效",IF(OR($D$52&gt;=$D$54,$J$50&lt;=0,AND($G$40="pons",$J$51&lt;=0)),"不可达",IF(NOT(ISNUMBER($G$12)),"缺少 Quote 价格","可达")))</x:f>
        <x:v>可达</x:v>
      </x:c>
      <x:c r="E51" s="49"/>
      <x:c r="F51" s="49" t="str">
        <x:v>永久锁仓 TOKEN</x:v>
      </x:c>
      <x:c r="G51" s="49" t="n">
        <x:f>VLOOKUP($D$7,'Quote参数'!$C$14:$AL$23,22,FALSE)</x:f>
        <x:v>81632653.06122449</x:v>
      </x:c>
      <x:c r="H51" s="49"/>
      <x:c r="I51" s="49" t="str">
        <x:v>预算交换 TOKEN</x:v>
      </x:c>
      <x:c r="J51" s="49" t="n">
        <x:f>$G$48-MAX(0,($D$52-$G$43)*$D$45)</x:f>
        <x:v>8367346.93877551</x:v>
      </x:c>
      <x:c r="K51" s="49"/>
      <x:c r="L51" s="49"/>
    </x:row>
    <x:row r="52" ht="30" hidden="1" customHeight="1">
      <x:c r="C52" s="49" t="str">
        <x:v>预算控筹率</x:v>
      </x:c>
      <x:c r="D52" s="58" t="n">
        <x:f>IF($G$40="four-stock",$D$8+MAX(0,$J$10),$D$8+1%)</x:f>
        <x:v>0.91</x:v>
      </x:c>
      <x:c r="E52" s="49"/>
      <x:c r="F52" s="49" t="str">
        <x:v>一套内盘原值</x:v>
      </x:c>
      <x:c r="G52" s="49" t="n">
        <x:f>VLOOKUP($D$7,'Quote参数'!$C$14:$AL$23,21,FALSE)</x:f>
        <x:v>8171.717171717171</x:v>
      </x:c>
      <x:c r="H52" s="49"/>
      <x:c r="I52" s="49" t="str">
        <x:v>预算 FDV / Quote</x:v>
      </x:c>
      <x:c r="J52" s="49" t="n">
        <x:f>IF($D$51="可达",$G$50/$J$50^2*$D$45,"")</x:f>
        <x:v>23581796.549672987</x:v>
      </x:c>
      <x:c r="K52" s="49"/>
      <x:c r="L52" s="49"/>
    </x:row>
    <x:row r="53" ht="30" hidden="1" customHeight="1">
      <x:c r="C53" s="49" t="str">
        <x:v>地址总数</x:v>
      </x:c>
      <x:c r="D53" s="49" t="n">
        <x:f>MAX(0,$G$7)*MAX(0,$G$8)+MAX(0,$G$9)+MAX(0,$G$10)</x:f>
        <x:v>220</x:v>
      </x:c>
      <x:c r="E53" s="49"/>
      <x:c r="F53" s="49" t="str">
        <x:v>内盘募集 Quote</x:v>
      </x:c>
      <x:c r="G53" s="49" t="n">
        <x:f>VLOOKUP($D$7,'Quote参数'!$C$14:$AL$23,24,FALSE)</x:f>
        <x:v>8090</x:v>
      </x:c>
      <x:c r="H53" s="49"/>
      <x:c r="I53" s="49"/>
      <x:c r="J53" s="49"/>
      <x:c r="K53" s="49"/>
      <x:c r="L53" s="49"/>
    </x:row>
    <x:row r="54" ht="30" hidden="1" customHeight="1">
      <x:c r="C54" s="49" t="str">
        <x:v>当前控筹上限</x:v>
      </x:c>
      <x:c r="D54" s="58" t="n">
        <x:f>IF($G$40="pons",1-$G$51/$D$45,IF(OR($G$40="flap",$G$40="four-stock"),$G$43+(1-$J$46)*$G$48/$D$45,1))</x:f>
        <x:v>0.9183673469387755</x:v>
      </x:c>
      <x:c r="E54" s="49"/>
      <x:c r="F54" s="49" t="str">
        <x:v>价格采用方式</x:v>
      </x:c>
      <x:c r="G54" s="49" t="str">
        <x:f>IF(AND(ISNUMBER($D$9),$D$9&gt;0),"手动覆盖","每日行情")</x:f>
        <x:v>每日行情</x:v>
      </x:c>
      <x:c r="H54" s="49"/>
      <x:c r="I54" s="49" t="str">
        <x:v>洗后持仓保留比例</x:v>
      </x:c>
      <x:c r="J54" s="58" t="n">
        <x:f>MAX(0,1-$J$29)*MAX(0,1-$J$30)</x:f>
        <x:v>0.9801</x:v>
      </x:c>
      <x:c r="K54" s="49"/>
      <x:c r="L54" s="49"/>
    </x:row>
    <x:row r="55" ht="30" hidden="1" customHeight="1">
      <x:c r="C55" s="49" t="str">
        <x:v>有效价格 / USDT</x:v>
      </x:c>
      <x:c r="D55" s="60" t="n">
        <x:f>IF(AND(ISNUMBER($D$9),$D$9&gt;0),$D$9,IF(AND(ISNUMBER(VLOOKUP($D$7,'Quote参数'!$C$14:$AL$23,6,FALSE)),VLOOKUP($D$7,'Quote参数'!$C$14:$AL$23,6,FALSE)&gt;0),VLOOKUP($D$7,'Quote参数'!$C$14:$AL$23,6,FALSE),""))</x:f>
        <x:v>1.0002330543016522</x:v>
      </x:c>
      <x:c r="E55" s="49"/>
      <x:c r="F55" s="49" t="str">
        <x:v>价格来源</x:v>
      </x:c>
      <x:c r="G55" s="49" t="str">
        <x:f>VLOOKUP($D$7,'Quote参数'!$C$14:$AL$23,9,FALSE)</x:f>
        <x:v>https://api.coingecko.com/api/v3/simple/price?ids=tether,ethereum,binancecoin,solana,hyperliquid,aster-2&amp;vs_currencies=usd</x:v>
      </x:c>
      <x:c r="H55" s="49"/>
      <x:c r="I55" s="49" t="str">
        <x:v>目标外盘 TOKEN</x:v>
      </x:c>
      <x:c r="J55" s="49" t="n">
        <x:f>IF($G$40="pons",$G$48-($D$8-$G$43)*$D$45,IF(OR($G$40="flap",$G$40="four-stock"),$G$48-($D$8-$G$43)*$D$45/(1-$J$46),IF(ABS($D$8-$G$43)&lt;0.000001,$G$48,$D$45*(1-$D$8))))</x:f>
        <x:v>18367346.93877551</x:v>
      </x:c>
      <x:c r="K55" s="49"/>
      <x:c r="L55" s="49"/>
    </x:row>
    <x:row r="56" ht="30" hidden="1" customHeight="1">
      <x:c r="C56" s="49" t="str">
        <x:v>价格时间 / UTC</x:v>
      </x:c>
      <x:c r="D56" s="61" t="n">
        <x:f>VLOOKUP($D$7,'Quote参数'!$C$14:$AL$23,8,FALSE)</x:f>
        <x:v>46287.270008506945</x:v>
      </x:c>
      <x:c r="E56" s="49"/>
      <x:c r="F56" s="49" t="str">
        <x:v>预留预算 / USDT</x:v>
      </x:c>
      <x:c r="G56" s="49" t="n">
        <x:f>'Quote参数'!$D$10</x:f>
        <x:v>10000</x:v>
      </x:c>
      <x:c r="H56" s="49"/>
      <x:c r="I56" s="49" t="str">
        <x:v>洗后外盘 TOKEN</x:v>
      </x:c>
      <x:c r="J56" s="49" t="n">
        <x:f>IF($G$40="pons",$G$48-($D$27-$G$43)*$D$45,IF(OR($G$40="flap",$G$40="four-stock"),$G$48-($D$27-$G$43)*$D$45/(1-$J$46),IF(ABS($D$27-$G$43)&lt;0.000001,$G$48,$D$45*(1-$D$27))))</x:f>
        <x:v>36277346.93877551</x:v>
      </x:c>
      <x:c r="K56" s="49"/>
      <x:c r="L56" s="49"/>
    </x:row>
    <x:row r="57" ht="24" customHeight="1">
      <x:c r="C57" s="14" t="str">
        <x:v>内盘曲线</x:v>
      </x:c>
      <x:c r="D57" s="14"/>
      <x:c r="E57" s="14"/>
      <x:c r="F57" s="14"/>
      <x:c r="G57" s="14"/>
      <x:c r="H57" s="14"/>
      <x:c r="I57" s="14"/>
      <x:c r="J57" s="14"/>
      <x:c r="K57" s="14"/>
      <x:c r="L57" s="14"/>
    </x:row>
    <x:row r="58" ht="32" customHeight="1">
      <x:c r="C58" s="68" t="str">
        <x:v>控筹率</x:v>
      </x:c>
      <x:c r="D58" s="68" t="str">
        <x:v>Pool TOKEN</x:v>
      </x:c>
      <x:c r="E58" s="68" t="str">
        <x:v>Pool Quote</x:v>
      </x:c>
      <x:c r="F58" s="68" t="str">
        <x:v>价格 / Quote</x:v>
      </x:c>
      <x:c r="G58" s="68" t="str">
        <x:v>价格 / USDT</x:v>
      </x:c>
      <x:c r="H58" s="68" t="str">
        <x:v>市值 / Quote</x:v>
      </x:c>
      <x:c r="I58" s="68" t="str">
        <x:v>市值 / USDT</x:v>
      </x:c>
      <x:c r="J58" s="68" t="str">
        <x:v>所需 Quote</x:v>
      </x:c>
      <x:c r="K58" s="68" t="str">
        <x:v>含费所需 Quote</x:v>
      </x:c>
      <x:c r="L58" s="68" t="str">
        <x:v>理论累计 Quote</x:v>
      </x:c>
    </x:row>
    <x:row r="59" ht="20" customHeight="1">
      <x:c r="C59" s="72" t="n">
        <x:f>0</x:f>
        <x:v>0</x:v>
      </x:c>
      <x:c r="D59" s="75" t="n">
        <x:f>$G$44-C59*$D$45</x:f>
        <x:v>1000000000</x:v>
      </x:c>
      <x:c r="E59" s="81" t="n">
        <x:f>$G$46/D59</x:f>
        <x:v>3236</x:v>
      </x:c>
      <x:c r="F59" s="78" t="n">
        <x:f>IF(AND(ISNUMBER(D59),D59&gt;0,ISNUMBER(E59)),E59/D59,"")</x:f>
        <x:v>0.000003236</x:v>
      </x:c>
      <x:c r="G59" s="78" t="n">
        <x:f>IF(AND(ISNUMBER(F59),ISNUMBER($D$55)),F59*$D$55,"")</x:f>
        <x:v>0.0000032367541637201465</x:v>
      </x:c>
      <x:c r="H59" s="81" t="n">
        <x:f>IF(ISNUMBER(F59),F59*$D$45,"")</x:f>
        <x:v>3236</x:v>
      </x:c>
      <x:c r="I59" s="75" t="n">
        <x:f>IF(AND(ISNUMBER(H59),ISNUMBER($D$55)),H59*$D$55,"")</x:f>
        <x:v>3236.7541637201466</x:v>
      </x:c>
      <x:c r="J59" s="81" t="n">
        <x:f>0</x:f>
        <x:v>0</x:v>
      </x:c>
      <x:c r="K59" s="81" t="n">
        <x:f>IF($G$40="pons",J59/(1-$G$41-$J$48),J59*(1+$G$41+IF($G$40="four-stock",$J$46,0)))</x:f>
        <x:v>0</x:v>
      </x:c>
      <x:c r="L59" s="87" t="n">
        <x:f>SUM($K$59:K59)</x:f>
        <x:v>0</x:v>
      </x:c>
    </x:row>
    <x:row r="60" ht="20" customHeight="1">
      <x:c r="C60" s="73" t="n">
        <x:f>0.1</x:f>
        <x:v>0.1</x:v>
      </x:c>
      <x:c r="D60" s="76" t="n">
        <x:f>$G$44-C60*$D$45</x:f>
        <x:v>900000000</x:v>
      </x:c>
      <x:c r="E60" s="82" t="n">
        <x:f>$G$46/D60</x:f>
        <x:v>3595.5555555555557</x:v>
      </x:c>
      <x:c r="F60" s="79" t="n">
        <x:f>IF(AND(ISNUMBER(D60),D60&gt;0,ISNUMBER(E60)),E60/D60,"")</x:f>
        <x:v>0.000003995061728395062</x:v>
      </x:c>
      <x:c r="G60" s="79" t="n">
        <x:f>IF(AND(ISNUMBER(F60),ISNUMBER($D$55)),F60*$D$55,"")</x:f>
        <x:v>0.000003995992794716231</x:v>
      </x:c>
      <x:c r="H60" s="82" t="n">
        <x:f>IF(ISNUMBER(F60),F60*$D$45,"")</x:f>
        <x:v>3995.0617283950623</x:v>
      </x:c>
      <x:c r="I60" s="76" t="n">
        <x:f>IF(AND(ISNUMBER(H60),ISNUMBER($D$55)),H60*$D$55,"")</x:f>
        <x:v>3995.992794716231</x:v>
      </x:c>
      <x:c r="J60" s="82" t="n">
        <x:f>E60-E59</x:f>
        <x:v>359.55555555555566</x:v>
      </x:c>
      <x:c r="K60" s="82" t="n">
        <x:f>IF($G$40="pons",J60/(1-$G$41-$J$48),J60*(1+$G$41+IF($G$40="four-stock",$J$46,0)))</x:f>
        <x:v>363.18742985409665</x:v>
      </x:c>
      <x:c r="L60" s="88" t="n">
        <x:f>SUM($K$59:K60)</x:f>
        <x:v>363.18742985409665</x:v>
      </x:c>
    </x:row>
    <x:row r="61" ht="20" customHeight="1">
      <x:c r="C61" s="73" t="n">
        <x:f>0.2</x:f>
        <x:v>0.2</x:v>
      </x:c>
      <x:c r="D61" s="76" t="n">
        <x:f>$G$44-C61*$D$45</x:f>
        <x:v>800000000</x:v>
      </x:c>
      <x:c r="E61" s="82" t="n">
        <x:f>$G$46/D61</x:f>
        <x:v>4045</x:v>
      </x:c>
      <x:c r="F61" s="79" t="n">
        <x:f>IF(AND(ISNUMBER(D61),D61&gt;0,ISNUMBER(E61)),E61/D61,"")</x:f>
        <x:v>0.00000505625</x:v>
      </x:c>
      <x:c r="G61" s="79" t="n">
        <x:f>IF(AND(ISNUMBER(F61),ISNUMBER($D$55)),F61*$D$55,"")</x:f>
        <x:v>0.000005057428380812729</x:v>
      </x:c>
      <x:c r="H61" s="82" t="n">
        <x:f>IF(ISNUMBER(F61),F61*$D$45,"")</x:f>
        <x:v>5056.25</x:v>
      </x:c>
      <x:c r="I61" s="76" t="n">
        <x:f>IF(AND(ISNUMBER(H61),ISNUMBER($D$55)),H61*$D$55,"")</x:f>
        <x:v>5057.428380812729</x:v>
      </x:c>
      <x:c r="J61" s="82" t="n">
        <x:f>E61-E60</x:f>
        <x:v>449.44444444444434</x:v>
      </x:c>
      <x:c r="K61" s="82" t="n">
        <x:f>IF($G$40="pons",J61/(1-$G$41-$J$48),J61*(1+$G$41+IF($G$40="four-stock",$J$46,0)))</x:f>
        <x:v>453.98428731762056</x:v>
      </x:c>
      <x:c r="L61" s="88" t="n">
        <x:f>SUM($K$59:K61)</x:f>
        <x:v>817.1717171717172</x:v>
      </x:c>
    </x:row>
    <x:row r="62" ht="20" customHeight="1">
      <x:c r="C62" s="73" t="n">
        <x:f>0.3</x:f>
        <x:v>0.3</x:v>
      </x:c>
      <x:c r="D62" s="76" t="n">
        <x:f>$G$44-C62*$D$45</x:f>
        <x:v>700000000</x:v>
      </x:c>
      <x:c r="E62" s="82" t="n">
        <x:f>$G$46/D62</x:f>
        <x:v>4622.857142857143</x:v>
      </x:c>
      <x:c r="F62" s="79" t="n">
        <x:f>IF(AND(ISNUMBER(D62),D62&gt;0,ISNUMBER(E62)),E62/D62,"")</x:f>
        <x:v>0.000006604081632653062</x:v>
      </x:c>
      <x:c r="G62" s="79" t="n">
        <x:f>IF(AND(ISNUMBER(F62),ISNUMBER($D$55)),F62*$D$55,"")</x:f>
        <x:v>0.000006605620742286014</x:v>
      </x:c>
      <x:c r="H62" s="82" t="n">
        <x:f>IF(ISNUMBER(F62),F62*$D$45,"")</x:f>
        <x:v>6604.081632653062</x:v>
      </x:c>
      <x:c r="I62" s="76" t="n">
        <x:f>IF(AND(ISNUMBER(H62),ISNUMBER($D$55)),H62*$D$55,"")</x:f>
        <x:v>6605.620742286014</x:v>
      </x:c>
      <x:c r="J62" s="82" t="n">
        <x:f>E62-E61</x:f>
        <x:v>577.8571428571431</x:v>
      </x:c>
      <x:c r="K62" s="82" t="n">
        <x:f>IF($G$40="pons",J62/(1-$G$41-$J$48),J62*(1+$G$41+IF($G$40="four-stock",$J$46,0)))</x:f>
        <x:v>583.6940836940839</x:v>
      </x:c>
      <x:c r="L62" s="88" t="n">
        <x:f>SUM($K$59:K62)</x:f>
        <x:v>1400.8658008658012</x:v>
      </x:c>
    </x:row>
    <x:row r="63" ht="20" customHeight="1">
      <x:c r="C63" s="73" t="n">
        <x:f>0.4</x:f>
        <x:v>0.4</x:v>
      </x:c>
      <x:c r="D63" s="76" t="n">
        <x:f>$G$44-C63*$D$45</x:f>
        <x:v>600000000</x:v>
      </x:c>
      <x:c r="E63" s="82" t="n">
        <x:f>$G$46/D63</x:f>
        <x:v>5393.333333333333</x:v>
      </x:c>
      <x:c r="F63" s="79" t="n">
        <x:f>IF(AND(ISNUMBER(D63),D63&gt;0,ISNUMBER(E63)),E63/D63,"")</x:f>
        <x:v>0.000008988888888888889</x:v>
      </x:c>
      <x:c r="G63" s="79" t="n">
        <x:f>IF(AND(ISNUMBER(F63),ISNUMBER($D$55)),F63*$D$55,"")</x:f>
        <x:v>0.000008990983788111519</x:v>
      </x:c>
      <x:c r="H63" s="82" t="n">
        <x:f>IF(ISNUMBER(F63),F63*$D$45,"")</x:f>
        <x:v>8988.888888888889</x:v>
      </x:c>
      <x:c r="I63" s="76" t="n">
        <x:f>IF(AND(ISNUMBER(H63),ISNUMBER($D$55)),H63*$D$55,"")</x:f>
        <x:v>8990.983788111518</x:v>
      </x:c>
      <x:c r="J63" s="82" t="n">
        <x:f>E63-E62</x:f>
        <x:v>770.4761904761899</x:v>
      </x:c>
      <x:c r="K63" s="82" t="n">
        <x:f>IF($G$40="pons",J63/(1-$G$41-$J$48),J63*(1+$G$41+IF($G$40="four-stock",$J$46,0)))</x:f>
        <x:v>778.2587782587777</x:v>
      </x:c>
      <x:c r="L63" s="88" t="n">
        <x:f>SUM($K$59:K63)</x:f>
        <x:v>2179.124579124579</x:v>
      </x:c>
    </x:row>
    <x:row r="64" ht="20" customHeight="1">
      <x:c r="C64" s="73" t="n">
        <x:f>0.5</x:f>
        <x:v>0.5</x:v>
      </x:c>
      <x:c r="D64" s="76" t="n">
        <x:f>$G$44-C64*$D$45</x:f>
        <x:v>500000000</x:v>
      </x:c>
      <x:c r="E64" s="82" t="n">
        <x:f>$G$46/D64</x:f>
        <x:v>6472</x:v>
      </x:c>
      <x:c r="F64" s="79" t="n">
        <x:f>IF(AND(ISNUMBER(D64),D64&gt;0,ISNUMBER(E64)),E64/D64,"")</x:f>
        <x:v>0.000012944</x:v>
      </x:c>
      <x:c r="G64" s="79" t="n">
        <x:f>IF(AND(ISNUMBER(F64),ISNUMBER($D$55)),F64*$D$55,"")</x:f>
        <x:v>0.000012947016654880586</x:v>
      </x:c>
      <x:c r="H64" s="82" t="n">
        <x:f>IF(ISNUMBER(F64),F64*$D$45,"")</x:f>
        <x:v>12944</x:v>
      </x:c>
      <x:c r="I64" s="76" t="n">
        <x:f>IF(AND(ISNUMBER(H64),ISNUMBER($D$55)),H64*$D$55,"")</x:f>
        <x:v>12947.016654880586</x:v>
      </x:c>
      <x:c r="J64" s="82" t="n">
        <x:f>E64-E63</x:f>
        <x:v>1078.666666666667</x:v>
      </x:c>
      <x:c r="K64" s="82" t="n">
        <x:f>IF($G$40="pons",J64/(1-$G$41-$J$48),J64*(1+$G$41+IF($G$40="four-stock",$J$46,0)))</x:f>
        <x:v>1089.5622895622898</x:v>
      </x:c>
      <x:c r="L64" s="88" t="n">
        <x:f>SUM($K$59:K64)</x:f>
        <x:v>3268.6868686868693</x:v>
      </x:c>
    </x:row>
    <x:row r="65" ht="20" customHeight="1">
      <x:c r="C65" s="73" t="n">
        <x:f>0.6</x:f>
        <x:v>0.6</x:v>
      </x:c>
      <x:c r="D65" s="76" t="n">
        <x:f>$G$44-C65*$D$45</x:f>
        <x:v>400000000</x:v>
      </x:c>
      <x:c r="E65" s="82" t="n">
        <x:f>$G$46/D65</x:f>
        <x:v>8090</x:v>
      </x:c>
      <x:c r="F65" s="79" t="n">
        <x:f>IF(AND(ISNUMBER(D65),D65&gt;0,ISNUMBER(E65)),E65/D65,"")</x:f>
        <x:v>0.000020225</x:v>
      </x:c>
      <x:c r="G65" s="79" t="n">
        <x:f>IF(AND(ISNUMBER(F65),ISNUMBER($D$55)),F65*$D$55,"")</x:f>
        <x:v>0.000020229713523250916</x:v>
      </x:c>
      <x:c r="H65" s="82" t="n">
        <x:f>IF(ISNUMBER(F65),F65*$D$45,"")</x:f>
        <x:v>20225</x:v>
      </x:c>
      <x:c r="I65" s="76" t="n">
        <x:f>IF(AND(ISNUMBER(H65),ISNUMBER($D$55)),H65*$D$55,"")</x:f>
        <x:v>20229.713523250917</x:v>
      </x:c>
      <x:c r="J65" s="82" t="n">
        <x:f>E65-E64</x:f>
        <x:v>1618</x:v>
      </x:c>
      <x:c r="K65" s="82" t="n">
        <x:f>IF($G$40="pons",J65/(1-$G$41-$J$48),J65*(1+$G$41+IF($G$40="four-stock",$J$46,0)))</x:f>
        <x:v>1634.3434343434344</x:v>
      </x:c>
      <x:c r="L65" s="88" t="n">
        <x:f>SUM($K$59:K65)</x:f>
        <x:v>4903.030303030304</x:v>
      </x:c>
    </x:row>
    <x:row r="66" ht="20" customHeight="1">
      <x:c r="C66" s="73" t="n">
        <x:f>0.7</x:f>
        <x:v>0.7</x:v>
      </x:c>
      <x:c r="D66" s="76" t="n">
        <x:f>$G$44-C66*$D$45</x:f>
        <x:v>300000000</x:v>
      </x:c>
      <x:c r="E66" s="82" t="n">
        <x:f>$G$46/D66</x:f>
        <x:v>10786.666666666666</x:v>
      </x:c>
      <x:c r="F66" s="79" t="n">
        <x:f>IF(AND(ISNUMBER(D66),D66&gt;0,ISNUMBER(E66)),E66/D66,"")</x:f>
        <x:v>0.000035955555555555556</x:v>
      </x:c>
      <x:c r="G66" s="79" t="n">
        <x:f>IF(AND(ISNUMBER(F66),ISNUMBER($D$55)),F66*$D$55,"")</x:f>
        <x:v>0.000035963935152446075</x:v>
      </x:c>
      <x:c r="H66" s="82" t="n">
        <x:f>IF(ISNUMBER(F66),F66*$D$45,"")</x:f>
        <x:v>35955.555555555555</x:v>
      </x:c>
      <x:c r="I66" s="76" t="n">
        <x:f>IF(AND(ISNUMBER(H66),ISNUMBER($D$55)),H66*$D$55,"")</x:f>
        <x:v>35963.93515244607</x:v>
      </x:c>
      <x:c r="J66" s="82" t="n">
        <x:f>E66-E65</x:f>
        <x:v>2696.666666666666</x:v>
      </x:c>
      <x:c r="K66" s="82" t="n">
        <x:f>IF($G$40="pons",J66/(1-$G$41-$J$48),J66*(1+$G$41+IF($G$40="four-stock",$J$46,0)))</x:f>
        <x:v>2723.9057239057233</x:v>
      </x:c>
      <x:c r="L66" s="88" t="n">
        <x:f>SUM($K$59:K66)</x:f>
        <x:v>7626.936026936028</x:v>
      </x:c>
    </x:row>
    <x:row r="67" ht="20" customHeight="1">
      <x:c r="C67" s="74" t="n">
        <x:f>$G$43</x:f>
        <x:v>0.7142857142857143</x:v>
      </x:c>
      <x:c r="D67" s="77" t="n">
        <x:f>$G$44-C67*$D$45</x:f>
        <x:v>285714285.71428573</x:v>
      </x:c>
      <x:c r="E67" s="83" t="n">
        <x:f>$G$46/D67</x:f>
        <x:v>11326</x:v>
      </x:c>
      <x:c r="F67" s="80" t="n">
        <x:f>IF(AND(ISNUMBER(D67),D67&gt;0,ISNUMBER(E67)),E67/D67,"")</x:f>
        <x:v>0.000039640999999999995</x:v>
      </x:c>
      <x:c r="G67" s="80" t="n">
        <x:f>IF(AND(ISNUMBER(F67),ISNUMBER($D$55)),F67*$D$55,"")</x:f>
        <x:v>0.000039650238505571793</x:v>
      </x:c>
      <x:c r="H67" s="83" t="n">
        <x:f>IF(ISNUMBER(F67),F67*$D$45,"")</x:f>
        <x:v>39640.99999999999</x:v>
      </x:c>
      <x:c r="I67" s="77" t="n">
        <x:f>IF(AND(ISNUMBER(H67),ISNUMBER($D$55)),H67*$D$55,"")</x:f>
        <x:v>39650.23850557179</x:v>
      </x:c>
      <x:c r="J67" s="83" t="n">
        <x:f>E67-E66</x:f>
        <x:v>539.3333333333339</x:v>
      </x:c>
      <x:c r="K67" s="83" t="n">
        <x:f>IF($G$40="pons",J67/(1-$G$41-$J$48),J67*(1+$G$41+IF($G$40="four-stock",$J$46,0)))</x:f>
        <x:v>544.7811447811454</x:v>
      </x:c>
      <x:c r="L67" s="89" t="n">
        <x:f>$J$41</x:f>
        <x:v>8171.717171717171</x:v>
      </x:c>
    </x:row>
    <x:row r="68" ht="6" customHeight="1"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 ht="6" customHeight="1"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 ht="24" customHeight="1">
      <x:c r="C70" s="14" t="str">
        <x:v>外盘曲线</x:v>
      </x:c>
      <x:c r="D70" s="14"/>
      <x:c r="E70" s="14"/>
      <x:c r="F70" s="14"/>
      <x:c r="G70" s="14"/>
      <x:c r="H70" s="14"/>
      <x:c r="I70" s="14"/>
      <x:c r="J70" s="14"/>
      <x:c r="K70" s="14"/>
      <x:c r="L70" s="14"/>
    </x:row>
    <x:row r="71" ht="32" customHeight="1">
      <x:c r="C71" s="68" t="str">
        <x:v>控筹率</x:v>
      </x:c>
      <x:c r="D71" s="68" t="str">
        <x:v>Pool TOKEN</x:v>
      </x:c>
      <x:c r="E71" s="68" t="str">
        <x:v>Pool Quote</x:v>
      </x:c>
      <x:c r="F71" s="68" t="str">
        <x:v>价格 / Quote</x:v>
      </x:c>
      <x:c r="G71" s="68" t="str">
        <x:v>价格 / USDT</x:v>
      </x:c>
      <x:c r="H71" s="68" t="str">
        <x:v>市值 / Quote</x:v>
      </x:c>
      <x:c r="I71" s="68" t="str">
        <x:v>市值 / USDT</x:v>
      </x:c>
      <x:c r="J71" s="68" t="str">
        <x:v>所需 Quote</x:v>
      </x:c>
      <x:c r="K71" s="68" t="str">
        <x:v>含费所需 Quote</x:v>
      </x:c>
      <x:c r="L71" s="68" t="str">
        <x:v>理论累计 Quote</x:v>
      </x:c>
    </x:row>
    <x:row r="72" ht="20" customHeight="1">
      <x:c r="C72" s="72" t="n">
        <x:f>IF($G$40="pons",$G$43,80%)</x:f>
        <x:v>0.7142857142857143</x:v>
      </x:c>
      <x:c r="D72" s="75" t="n">
        <x: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x:f>
        <x:v>204081632.65306118</x:v>
      </x:c>
      <x:c r="E72" s="81" t="n">
        <x:f>IF(D72="","",IF(ABS(C72-$G$43)&lt;0.000001,$G$49,$G$50/D72))</x:f>
        <x:v>8090</x:v>
      </x:c>
      <x:c r="F72" s="78" t="n">
        <x:f>IF(AND(ISNUMBER(D72),D72&gt;0,ISNUMBER(E72)),E72/D72,"")</x:f>
        <x:v>0.00003964100000000001</x:v>
      </x:c>
      <x:c r="G72" s="78" t="n">
        <x:f>IF(AND(ISNUMBER(F72),ISNUMBER($D$55)),F72*$D$55,"")</x:f>
        <x:v>0.00003965023850557181</x:v>
      </x:c>
      <x:c r="H72" s="81" t="n">
        <x:f>IF(ISNUMBER(F72),F72*$D$45,"")</x:f>
        <x:v>39641.00000000001</x:v>
      </x:c>
      <x:c r="I72" s="75" t="n">
        <x:f>IF(AND(ISNUMBER(H72),ISNUMBER($D$55)),H72*$D$55,"")</x:f>
        <x:v>39650.238505571804</x:v>
      </x:c>
      <x:c r="J72" s="81" t="n">
        <x:f>IF(OR(OR($G$40="flap",$G$40="four-stock"),$G$40="pons"),0,E72-$G$49)</x:f>
        <x:v>0</x:v>
      </x:c>
      <x:c r="K72" s="81" t="n">
        <x:f>IF(OR(OR($G$40="flap",$G$40="four-stock"),$G$40="pons"),0,J72*(1+$G$42))</x:f>
        <x:v>0</x:v>
      </x:c>
      <x:c r="L72" s="87" t="n">
        <x:f>IF(D72="","",$J$41+IF($G$40="pons",($G$50/($G$48-MAX(0,(C72-$G$43)*$D$45))-$G$49)/(1-$G$42-$J$48),IF($G$40="four-stock",(E72-$G$49)/(1-$G$42),(E72-$G$49)*(1+$G$42))))</x:f>
        <x:v>8171.717171717171</x:v>
      </x:c>
    </x:row>
    <x:row r="73" ht="20" customHeight="1">
      <x:c r="C73" s="73" t="n">
        <x:f>IF($G$40="pons",80%+0*0.5%,IF(80.5%+0*0.5%&lt;=100%,80.5%+0*0.5%,""))</x:f>
        <x:v>0.8</x:v>
      </x:c>
      <x:c r="D73" s="76" t="n">
        <x: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x:f>
        <x:v>118367346.93877548</x:v>
      </x:c>
      <x:c r="E73" s="82" t="n">
        <x:f>IF(D73="","",IF(ABS(C73-$G$43)&lt;0.000001,$G$49,$G$50/D73))</x:f>
        <x:v>13948.27586206897</x:v>
      </x:c>
      <x:c r="F73" s="79" t="n">
        <x:f>IF(AND(ISNUMBER(D73),D73&gt;0,ISNUMBER(E73)),E73/D73,"")</x:f>
        <x:v>0.00011783888228299649</x:v>
      </x:c>
      <x:c r="G73" s="79" t="n">
        <x:f>IF(AND(ISNUMBER(F73),ISNUMBER($D$55)),F73*$D$55,"")</x:f>
        <x:v>0.00011786634514141443</x:v>
      </x:c>
      <x:c r="H73" s="82" t="n">
        <x:f>IF(ISNUMBER(F73),F73*$D$45,"")</x:f>
        <x:v>117838.88228299649</x:v>
      </x:c>
      <x:c r="I73" s="76" t="n">
        <x:f>IF(AND(ISNUMBER(H73),ISNUMBER($D$55)),H73*$D$55,"")</x:f>
        <x:v>117866.34514141444</x:v>
      </x:c>
      <x:c r="J73" s="82" t="n">
        <x:f>IF(D73="","",E73-E72)</x:f>
        <x:v>5858.275862068969</x:v>
      </x:c>
      <x:c r="K73" s="82" t="n">
        <x:f>IF(D73="","",IF(OR(OR($G$40="flap",$G$40="four-stock"),$G$40="pons"),L73-L72,J73*(1+$G$42)))</x:f>
        <x:v>5917.45036572623</x:v>
      </x:c>
      <x:c r="L73" s="88" t="n">
        <x:f>IF(D73="","",$J$41+IF($G$40="pons",($G$50/($G$48-MAX(0,(C73-$G$43)*$D$45))-$G$49)/(1-$G$42-$J$48),IF($G$40="four-stock",(E73-$G$49)/(1-$G$42),(E73-$G$49)*(1+$G$42))))</x:f>
        <x:v>14089.167537443402</x:v>
      </x:c>
    </x:row>
    <x:row r="74" ht="20" customHeight="1">
      <x:c r="C74" s="73" t="n">
        <x:f>IF($G$40="pons",80%+1*0.5%,IF(80.5%+1*0.5%&lt;=100%,80.5%+1*0.5%,""))</x:f>
        <x:v>0.805</x:v>
      </x:c>
      <x:c r="D74" s="76" t="n">
        <x: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x:f>
        <x:v>113367346.93877545</x:v>
      </x:c>
      <x:c r="E74" s="82" t="n">
        <x:f>IF(D74="","",IF(ABS(C74-$G$43)&lt;0.000001,$G$49,$G$50/D74))</x:f>
        <x:v>14563.456345634571</x:v>
      </x:c>
      <x:c r="F74" s="79" t="n">
        <x:f>IF(AND(ISNUMBER(D74),D74&gt;0,ISNUMBER(E74)),E74/D74,"")</x:f>
        <x:v>0.00012846253122161916</x:v>
      </x:c>
      <x:c r="G74" s="79" t="n">
        <x:f>IF(AND(ISNUMBER(F74),ISNUMBER($D$55)),F74*$D$55,"")</x:f>
        <x:v>0.0001284924699671215</x:v>
      </x:c>
      <x:c r="H74" s="82" t="n">
        <x:f>IF(ISNUMBER(F74),F74*$D$45,"")</x:f>
        <x:v>128462.53122161917</x:v>
      </x:c>
      <x:c r="I74" s="76" t="n">
        <x:f>IF(AND(ISNUMBER(H74),ISNUMBER($D$55)),H74*$D$55,"")</x:f>
        <x:v>128492.46996712149</x:v>
      </x:c>
      <x:c r="J74" s="82" t="n">
        <x:f>IF(D74="","",E74-E73)</x:f>
        <x:v>615.1804835656021</x:v>
      </x:c>
      <x:c r="K74" s="82" t="n">
        <x:f>IF(D74="","",IF(OR(OR($G$40="flap",$G$40="four-stock"),$G$40="pons"),L74-L73,J74*(1+$G$42)))</x:f>
        <x:v>621.3944278440395</x:v>
      </x:c>
      <x:c r="L74" s="88" t="n">
        <x:f>IF(D74="","",$J$41+IF($G$40="pons",($G$50/($G$48-MAX(0,(C74-$G$43)*$D$45))-$G$49)/(1-$G$42-$J$48),IF($G$40="four-stock",(E74-$G$49)/(1-$G$42),(E74-$G$49)*(1+$G$42))))</x:f>
        <x:v>14710.561965287441</x:v>
      </x:c>
    </x:row>
    <x:row r="75" ht="20" customHeight="1">
      <x:c r="C75" s="73" t="n">
        <x:f>IF($G$40="pons",80%+2*0.5%,IF(80.5%+2*0.5%&lt;=100%,80.5%+2*0.5%,""))</x:f>
        <x:v>0.81</x:v>
      </x:c>
      <x:c r="D75" s="76" t="n">
        <x: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x:f>
        <x:v>108367346.93877545</x:v>
      </x:c>
      <x:c r="E75" s="82" t="n">
        <x:f>IF(D75="","",IF(ABS(C75-$G$43)&lt;0.000001,$G$49,$G$50/D75))</x:f>
        <x:v>15235.404896421855</x:v>
      </x:c>
      <x:c r="F75" s="79" t="n">
        <x:f>IF(AND(ISNUMBER(D75),D75&gt;0,ISNUMBER(E75)),E75/D75,"")</x:f>
        <x:v>0.00014059036533421306</x:v>
      </x:c>
      <x:c r="G75" s="79" t="n">
        <x:f>IF(AND(ISNUMBER(F75),ISNUMBER($D$55)),F75*$D$55,"")</x:f>
        <x:v>0.00014062313052362504</x:v>
      </x:c>
      <x:c r="H75" s="82" t="n">
        <x:f>IF(ISNUMBER(F75),F75*$D$45,"")</x:f>
        <x:v>140590.36533421307</x:v>
      </x:c>
      <x:c r="I75" s="76" t="n">
        <x:f>IF(AND(ISNUMBER(H75),ISNUMBER($D$55)),H75*$D$55,"")</x:f>
        <x:v>140623.13052362506</x:v>
      </x:c>
      <x:c r="J75" s="82" t="n">
        <x:f>IF(D75="","",E75-E74)</x:f>
        <x:v>671.9485507872832</x:v>
      </x:c>
      <x:c r="K75" s="82" t="n">
        <x:f>IF(D75="","",IF(OR(OR($G$40="flap",$G$40="four-stock"),$G$40="pons"),L75-L74,J75*(1+$G$42)))</x:f>
        <x:v>678.7359098861434</x:v>
      </x:c>
      <x:c r="L75" s="88" t="n">
        <x:f>IF(D75="","",$J$41+IF($G$40="pons",($G$50/($G$48-MAX(0,(C75-$G$43)*$D$45))-$G$49)/(1-$G$42-$J$48),IF($G$40="four-stock",(E75-$G$49)/(1-$G$42),(E75-$G$49)*(1+$G$42))))</x:f>
        <x:v>15389.297875173585</x:v>
      </x:c>
    </x:row>
    <x:row r="76" ht="20" customHeight="1">
      <x:c r="C76" s="73" t="n">
        <x:f>IF($G$40="pons",80%+3*0.5%,IF(80.5%+3*0.5%&lt;=100%,80.5%+3*0.5%,""))</x:f>
        <x:v>0.8150000000000001</x:v>
      </x:c>
      <x:c r="D76" s="76" t="n">
        <x: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x:f>
        <x:v>103367346.93877545</x:v>
      </x:c>
      <x:c r="E76" s="82" t="n">
        <x:f>IF(D76="","",IF(ABS(C76-$G$43)&lt;0.000001,$G$49,$G$50/D76))</x:f>
        <x:v>15972.359328726565</x:v>
      </x:c>
      <x:c r="F76" s="79" t="n">
        <x:f>IF(AND(ISNUMBER(D76),D76&gt;0,ISNUMBER(E76)),E76/D76,"")</x:f>
        <x:v>0.00015452035678333704</x:v>
      </x:c>
      <x:c r="G76" s="79" t="n">
        <x:f>IF(AND(ISNUMBER(F76),ISNUMBER($D$55)),F76*$D$55,"")</x:f>
        <x:v>0.00015455636841717822</x:v>
      </x:c>
      <x:c r="H76" s="82" t="n">
        <x:f>IF(ISNUMBER(F76),F76*$D$45,"")</x:f>
        <x:v>154520.35678333705</x:v>
      </x:c>
      <x:c r="I76" s="76" t="n">
        <x:f>IF(AND(ISNUMBER(H76),ISNUMBER($D$55)),H76*$D$55,"")</x:f>
        <x:v>154556.36841717825</x:v>
      </x:c>
      <x:c r="J76" s="82" t="n">
        <x:f>IF(D76="","",E76-E75)</x:f>
        <x:v>736.9544323047103</x:v>
      </x:c>
      <x:c r="K76" s="82" t="n">
        <x:f>IF(D76="","",IF(OR(OR($G$40="flap",$G$40="four-stock"),$G$40="pons"),L76-L75,J76*(1+$G$42)))</x:f>
        <x:v>744.3984164694048</x:v>
      </x:c>
      <x:c r="L76" s="88" t="n">
        <x:f>IF(D76="","",$J$41+IF($G$40="pons",($G$50/($G$48-MAX(0,(C76-$G$43)*$D$45))-$G$49)/(1-$G$42-$J$48),IF($G$40="four-stock",(E76-$G$49)/(1-$G$42),(E76-$G$49)*(1+$G$42))))</x:f>
        <x:v>16133.69629164299</x:v>
      </x:c>
    </x:row>
    <x:row r="77" ht="20" customHeight="1">
      <x:c r="C77" s="73" t="n">
        <x:f>IF($G$40="pons",80%+4*0.5%,IF(80.5%+4*0.5%&lt;=100%,80.5%+4*0.5%,""))</x:f>
        <x:v>0.8200000000000001</x:v>
      </x:c>
      <x:c r="D77" s="76" t="n">
        <x: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x:f>
        <x:v>98367346.93877545</x:v>
      </x:c>
      <x:c r="E77" s="82" t="n">
        <x:f>IF(D77="","",IF(ABS(C77-$G$43)&lt;0.000001,$G$49,$G$50/D77))</x:f>
        <x:v>16784.23236514524</x:v>
      </x:c>
      <x:c r="F77" s="79" t="n">
        <x:f>IF(AND(ISNUMBER(D77),D77&gt;0,ISNUMBER(E77)),E77/D77,"")</x:f>
        <x:v>0.00017062808835936042</x:v>
      </x:c>
      <x:c r="G77" s="79" t="n">
        <x:f>IF(AND(ISNUMBER(F77),ISNUMBER($D$55)),F77*$D$55,"")</x:f>
        <x:v>0.00017066785396933527</x:v>
      </x:c>
      <x:c r="H77" s="82" t="n">
        <x:f>IF(ISNUMBER(F77),F77*$D$45,"")</x:f>
        <x:v>170628.0883593604</x:v>
      </x:c>
      <x:c r="I77" s="76" t="n">
        <x:f>IF(AND(ISNUMBER(H77),ISNUMBER($D$55)),H77*$D$55,"")</x:f>
        <x:v>170667.85396933526</x:v>
      </x:c>
      <x:c r="J77" s="82" t="n">
        <x:f>IF(D77="","",E77-E76)</x:f>
        <x:v>811.873036418674</x:v>
      </x:c>
      <x:c r="K77" s="82" t="n">
        <x:f>IF(D77="","",IF(OR(OR($G$40="flap",$G$40="four-stock"),$G$40="pons"),L77-L76,J77*(1+$G$42)))</x:f>
        <x:v>820.0737741602807</x:v>
      </x:c>
      <x:c r="L77" s="88" t="n">
        <x:f>IF(D77="","",$J$41+IF($G$40="pons",($G$50/($G$48-MAX(0,(C77-$G$43)*$D$45))-$G$49)/(1-$G$42-$J$48),IF($G$40="four-stock",(E77-$G$49)/(1-$G$42),(E77-$G$49)*(1+$G$42))))</x:f>
        <x:v>16953.77006580327</x:v>
      </x:c>
    </x:row>
    <x:row r="78" ht="20" customHeight="1">
      <x:c r="C78" s="73" t="n">
        <x:f>IF($G$40="pons",80%+5*0.5%,IF(80.5%+5*0.5%&lt;=100%,80.5%+5*0.5%,""))</x:f>
        <x:v>0.8250000000000001</x:v>
      </x:c>
      <x:c r="D78" s="76" t="n">
        <x: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x:f>
        <x:v>93367346.93877545</x:v>
      </x:c>
      <x:c r="E78" s="82" t="n">
        <x:f>IF(D78="","",IF(ABS(C78-$G$43)&lt;0.000001,$G$49,$G$50/D78))</x:f>
        <x:v>17683.06010928963</x:v>
      </x:c>
      <x:c r="F78" s="79" t="n">
        <x:f>IF(AND(ISNUMBER(D78),D78&gt;0,ISNUMBER(E78)),E78/D78,"")</x:f>
        <x:v>0.0001893923377825557</x:v>
      </x:c>
      <x:c r="G78" s="79" t="n">
        <x:f>IF(AND(ISNUMBER(F78),ISNUMBER($D$55)),F78*$D$55,"")</x:f>
        <x:v>0.0001894364764815759</x:v>
      </x:c>
      <x:c r="H78" s="82" t="n">
        <x:f>IF(ISNUMBER(F78),F78*$D$45,"")</x:f>
        <x:v>189392.3377825557</x:v>
      </x:c>
      <x:c r="I78" s="76" t="n">
        <x:f>IF(AND(ISNUMBER(H78),ISNUMBER($D$55)),H78*$D$55,"")</x:f>
        <x:v>189436.4764815759</x:v>
      </x:c>
      <x:c r="J78" s="82" t="n">
        <x:f>IF(D78="","",E78-E77)</x:f>
        <x:v>898.8277441443897</x:v>
      </x:c>
      <x:c r="K78" s="82" t="n">
        <x:f>IF(D78="","",IF(OR(OR($G$40="flap",$G$40="four-stock"),$G$40="pons"),L78-L77,J78*(1+$G$42)))</x:f>
        <x:v>907.9068122670578</x:v>
      </x:c>
      <x:c r="L78" s="88" t="n">
        <x:f>IF(D78="","",$J$41+IF($G$40="pons",($G$50/($G$48-MAX(0,(C78-$G$43)*$D$45))-$G$49)/(1-$G$42-$J$48),IF($G$40="four-stock",(E78-$G$49)/(1-$G$42),(E78-$G$49)*(1+$G$42))))</x:f>
        <x:v>17861.676878070328</x:v>
      </x:c>
    </x:row>
    <x:row r="79" ht="20" customHeight="1">
      <x:c r="C79" s="73" t="n">
        <x:f>IF($G$40="pons",80%+6*0.5%,IF(80.5%+6*0.5%&lt;=100%,80.5%+6*0.5%,""))</x:f>
        <x:v>0.8300000000000001</x:v>
      </x:c>
      <x:c r="D79" s="76" t="n">
        <x: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x:f>
        <x:v>88367346.93877545</x:v>
      </x:c>
      <x:c r="E79" s="82" t="n">
        <x:f>IF(D79="","",IF(ABS(C79-$G$43)&lt;0.000001,$G$49,$G$50/D79))</x:f>
        <x:v>18683.6027713626</x:v>
      </x:c>
      <x:c r="F79" s="79" t="n">
        <x:f>IF(AND(ISNUMBER(D79),D79&gt;0,ISNUMBER(E79)),E79/D79,"")</x:f>
        <x:v>0.00021143107062281016</x:v>
      </x:c>
      <x:c r="G79" s="79" t="n">
        <x:f>IF(AND(ISNUMBER(F79),ISNUMBER($D$55)),F79*$D$55,"")</x:f>
        <x:v>0.00021148034554332174</x:v>
      </x:c>
      <x:c r="H79" s="82" t="n">
        <x:f>IF(ISNUMBER(F79),F79*$D$45,"")</x:f>
        <x:v>211431.07062281016</x:v>
      </x:c>
      <x:c r="I79" s="76" t="n">
        <x:f>IF(AND(ISNUMBER(H79),ISNUMBER($D$55)),H79*$D$55,"")</x:f>
        <x:v>211480.34554332175</x:v>
      </x:c>
      <x:c r="J79" s="82" t="n">
        <x:f>IF(D79="","",E79-E78)</x:f>
        <x:v>1000.5426620729704</x:v>
      </x:c>
      <x:c r="K79" s="82" t="n">
        <x:f>IF(D79="","",IF(OR(OR($G$40="flap",$G$40="four-stock"),$G$40="pons"),L79-L78,J79*(1+$G$42)))</x:f>
        <x:v>1010.6491536090616</x:v>
      </x:c>
      <x:c r="L79" s="88" t="n">
        <x:f>IF(D79="","",$J$41+IF($G$40="pons",($G$50/($G$48-MAX(0,(C79-$G$43)*$D$45))-$G$49)/(1-$G$42-$J$48),IF($G$40="four-stock",(E79-$G$49)/(1-$G$42),(E79-$G$49)*(1+$G$42))))</x:f>
        <x:v>18872.32603167939</x:v>
      </x:c>
    </x:row>
    <x:row r="80" ht="20" customHeight="1">
      <x:c r="C80" s="73" t="n">
        <x:f>IF($G$40="pons",80%+7*0.5%,IF(80.5%+7*0.5%&lt;=100%,80.5%+7*0.5%,""))</x:f>
        <x:v>0.8350000000000001</x:v>
      </x:c>
      <x:c r="D80" s="76" t="n">
        <x: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x:f>
        <x:v>83367346.93877542</x:v>
      </x:c>
      <x:c r="E80" s="82" t="n">
        <x:f>IF(D80="","",IF(ABS(C80-$G$43)&lt;0.000001,$G$49,$G$50/D80))</x:f>
        <x:v>19804.161566707488</x:v>
      </x:c>
      <x:c r="F80" s="79" t="n">
        <x:f>IF(AND(ISNUMBER(D80),D80&gt;0,ISNUMBER(E80)),E80/D80,"")</x:f>
        <x:v>0.0002375529784011427</x:v>
      </x:c>
      <x:c r="G80" s="79" t="n">
        <x:f>IF(AND(ISNUMBER(F80),ISNUMBER($D$55)),F80*$D$55,"")</x:f>
        <x:v>0.00023760834114462936</x:v>
      </x:c>
      <x:c r="H80" s="82" t="n">
        <x:f>IF(ISNUMBER(F80),F80*$D$45,"")</x:f>
        <x:v>237552.9784011427</x:v>
      </x:c>
      <x:c r="I80" s="76" t="n">
        <x:f>IF(AND(ISNUMBER(H80),ISNUMBER($D$55)),H80*$D$55,"")</x:f>
        <x:v>237608.34114462938</x:v>
      </x:c>
      <x:c r="J80" s="82" t="n">
        <x:f>IF(D80="","",E80-E79)</x:f>
        <x:v>1120.5587953448885</x:v>
      </x:c>
      <x:c r="K80" s="82" t="n">
        <x:f>IF(D80="","",IF(OR(OR($G$40="flap",$G$40="four-stock"),$G$40="pons"),L80-L79,J80*(1+$G$42)))</x:f>
        <x:v>1131.8775710554328</x:v>
      </x:c>
      <x:c r="L80" s="88" t="n">
        <x:f>IF(D80="","",$J$41+IF($G$40="pons",($G$50/($G$48-MAX(0,(C80-$G$43)*$D$45))-$G$49)/(1-$G$42-$J$48),IF($G$40="four-stock",(E80-$G$49)/(1-$G$42),(E80-$G$49)*(1+$G$42))))</x:f>
        <x:v>20004.203602734822</x:v>
      </x:c>
    </x:row>
    <x:row r="81" ht="20" customHeight="1">
      <x:c r="C81" s="73" t="n">
        <x:f>IF($G$40="pons",80%+8*0.5%,IF(80.5%+8*0.5%&lt;=100%,80.5%+8*0.5%,""))</x:f>
        <x:v>0.8400000000000001</x:v>
      </x:c>
      <x:c r="D81" s="76" t="n">
        <x: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x:f>
        <x:v>78367346.93877542</x:v>
      </x:c>
      <x:c r="E81" s="82" t="n">
        <x:f>IF(D81="","",IF(ABS(C81-$G$43)&lt;0.000001,$G$49,$G$50/D81))</x:f>
        <x:v>21067.708333333358</x:v>
      </x:c>
      <x:c r="F81" s="79" t="n">
        <x:f>IF(AND(ISNUMBER(D81),D81&gt;0,ISNUMBER(E81)),E81/D81,"")</x:f>
        <x:v>0.0002688327365451395</x:v>
      </x:c>
      <x:c r="G81" s="79" t="n">
        <x:f>IF(AND(ISNUMBER(F81),ISNUMBER($D$55)),F81*$D$55,"")</x:f>
        <x:v>0.0002688953891708163</x:v>
      </x:c>
      <x:c r="H81" s="82" t="n">
        <x:f>IF(ISNUMBER(F81),F81*$D$45,"")</x:f>
        <x:v>268832.73654513946</x:v>
      </x:c>
      <x:c r="I81" s="76" t="n">
        <x:f>IF(AND(ISNUMBER(H81),ISNUMBER($D$55)),H81*$D$55,"")</x:f>
        <x:v>268895.3891708162</x:v>
      </x:c>
      <x:c r="J81" s="82" t="n">
        <x:f>IF(D81="","",E81-E80)</x:f>
        <x:v>1263.54676662587</x:v>
      </x:c>
      <x:c r="K81" s="82" t="n">
        <x:f>IF(D81="","",IF(OR(OR($G$40="flap",$G$40="four-stock"),$G$40="pons"),L81-L80,J81*(1+$G$42)))</x:f>
        <x:v>1276.3098652786575</x:v>
      </x:c>
      <x:c r="L81" s="88" t="n">
        <x:f>IF(D81="","",$J$41+IF($G$40="pons",($G$50/($G$48-MAX(0,(C81-$G$43)*$D$45))-$G$49)/(1-$G$42-$J$48),IF($G$40="four-stock",(E81-$G$49)/(1-$G$42),(E81-$G$49)*(1+$G$42))))</x:f>
        <x:v>21280.51346801348</x:v>
      </x:c>
    </x:row>
    <x:row r="82" ht="20" customHeight="1">
      <x:c r="C82" s="73" t="n">
        <x:f>IF($G$40="pons",80%+9*0.5%,IF(80.5%+9*0.5%&lt;=100%,80.5%+9*0.5%,""))</x:f>
        <x:v>0.8450000000000001</x:v>
      </x:c>
      <x:c r="D82" s="76" t="n">
        <x: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x:f>
        <x:v>73367346.93877542</x:v>
      </x:c>
      <x:c r="E82" s="82" t="n">
        <x:f>IF(D82="","",IF(ABS(C82-$G$43)&lt;0.000001,$G$49,$G$50/D82))</x:f>
        <x:v>22503.47705146039</x:v>
      </x:c>
      <x:c r="F82" s="79" t="n">
        <x:f>IF(AND(ISNUMBER(D82),D82&gt;0,ISNUMBER(E82)),E82/D82,"")</x:f>
        <x:v>0.00030672333116037843</x:v>
      </x:c>
      <x:c r="G82" s="79" t="n">
        <x:f>IF(AND(ISNUMBER(F82),ISNUMBER($D$55)),F82*$D$55,"")</x:f>
        <x:v>0.00030679481435212246</x:v>
      </x:c>
      <x:c r="H82" s="82" t="n">
        <x:f>IF(ISNUMBER(F82),F82*$D$45,"")</x:f>
        <x:v>306723.3311603784</x:v>
      </x:c>
      <x:c r="I82" s="76" t="n">
        <x:f>IF(AND(ISNUMBER(H82),ISNUMBER($D$55)),H82*$D$55,"")</x:f>
        <x:v>306794.8143521224</x:v>
      </x:c>
      <x:c r="J82" s="82" t="n">
        <x:f>IF(D82="","",E82-E81)</x:f>
        <x:v>1435.768718127034</x:v>
      </x:c>
      <x:c r="K82" s="82" t="n">
        <x:f>IF(D82="","",IF(OR(OR($G$40="flap",$G$40="four-stock"),$G$40="pons"),L82-L81,J82*(1+$G$42)))</x:f>
        <x:v>1450.2714324515473</x:v>
      </x:c>
      <x:c r="L82" s="88" t="n">
        <x:f>IF(D82="","",$J$41+IF($G$40="pons",($G$50/($G$48-MAX(0,(C82-$G$43)*$D$45))-$G$49)/(1-$G$42-$J$48),IF($G$40="four-stock",(E82-$G$49)/(1-$G$42),(E82-$G$49)*(1+$G$42))))</x:f>
        <x:v>22730.784900465027</x:v>
      </x:c>
    </x:row>
    <x:row r="83" ht="20" customHeight="1">
      <x:c r="C83" s="73" t="n">
        <x:f>IF($G$40="pons",80%+10*0.5%,IF(80.5%+10*0.5%&lt;=100%,80.5%+10*0.5%,""))</x:f>
        <x:v>0.8500000000000001</x:v>
      </x:c>
      <x:c r="D83" s="76" t="n">
        <x: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x:f>
        <x:v>68367346.93877542</x:v>
      </x:c>
      <x:c r="E83" s="82" t="n">
        <x:f>IF(D83="","",IF(ABS(C83-$G$43)&lt;0.000001,$G$49,$G$50/D83))</x:f>
        <x:v>24149.253731343317</x:v>
      </x:c>
      <x:c r="F83" s="79" t="n">
        <x:f>IF(AND(ISNUMBER(D83),D83&gt;0,ISNUMBER(E83)),E83/D83,"")</x:f>
        <x:v>0.00035322789039875344</x:v>
      </x:c>
      <x:c r="G83" s="79" t="n">
        <x:f>IF(AND(ISNUMBER(F83),ISNUMBER($D$55)),F83*$D$55,"")</x:f>
        <x:v>0.0003533102116780744</x:v>
      </x:c>
      <x:c r="H83" s="82" t="n">
        <x:f>IF(ISNUMBER(F83),F83*$D$45,"")</x:f>
        <x:v>353227.89039875346</x:v>
      </x:c>
      <x:c r="I83" s="76" t="n">
        <x:f>IF(AND(ISNUMBER(H83),ISNUMBER($D$55)),H83*$D$55,"")</x:f>
        <x:v>353310.21167807444</x:v>
      </x:c>
      <x:c r="J83" s="82" t="n">
        <x:f>IF(D83="","",E83-E82)</x:f>
        <x:v>1645.7766798829252</x:v>
      </x:c>
      <x:c r="K83" s="82" t="n">
        <x:f>IF(D83="","",IF(OR(OR($G$40="flap",$G$40="four-stock"),$G$40="pons"),L83-L82,J83*(1+$G$42)))</x:f>
        <x:v>1662.4006867504359</x:v>
      </x:c>
      <x:c r="L83" s="88" t="n">
        <x:f>IF(D83="","",$J$41+IF($G$40="pons",($G$50/($G$48-MAX(0,(C83-$G$43)*$D$45))-$G$49)/(1-$G$42-$J$48),IF($G$40="four-stock",(E83-$G$49)/(1-$G$42),(E83-$G$49)*(1+$G$42))))</x:f>
        <x:v>24393.185587215463</x:v>
      </x:c>
    </x:row>
    <x:row r="84" ht="20" customHeight="1">
      <x:c r="C84" s="73" t="n">
        <x:f>IF($G$40="pons",80%+11*0.5%,IF(80.5%+11*0.5%&lt;=100%,80.5%+11*0.5%,""))</x:f>
        <x:v>0.8550000000000001</x:v>
      </x:c>
      <x:c r="D84" s="76" t="n">
        <x: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x:f>
        <x:v>63367346.93877542</x:v>
      </x:c>
      <x:c r="E84" s="82" t="n">
        <x:f>IF(D84="","",IF(ABS(C84-$G$43)&lt;0.000001,$G$49,$G$50/D84))</x:f>
        <x:v>26054.750402576527</x:v>
      </x:c>
      <x:c r="F84" s="79" t="n">
        <x:f>IF(AND(ISNUMBER(D84),D84&gt;0,ISNUMBER(E84)),E84/D84,"")</x:f>
        <x:v>0.0004111699741469409</x:v>
      </x:c>
      <x:c r="G84" s="79" t="n">
        <x:f>IF(AND(ISNUMBER(F84),ISNUMBER($D$55)),F84*$D$55,"")</x:f>
        <x:v>0.0004112657990781261</x:v>
      </x:c>
      <x:c r="H84" s="82" t="n">
        <x:f>IF(ISNUMBER(F84),F84*$D$45,"")</x:f>
        <x:v>411169.9741469409</x:v>
      </x:c>
      <x:c r="I84" s="76" t="n">
        <x:f>IF(AND(ISNUMBER(H84),ISNUMBER($D$55)),H84*$D$55,"")</x:f>
        <x:v>411265.7990781261</x:v>
      </x:c>
      <x:c r="J84" s="82" t="n">
        <x:f>IF(D84="","",E84-E83)</x:f>
        <x:v>1905.4966712332098</x:v>
      </x:c>
      <x:c r="K84" s="82" t="n">
        <x:f>IF(D84="","",IF(OR(OR($G$40="flap",$G$40="four-stock"),$G$40="pons"),L84-L83,J84*(1+$G$42)))</x:f>
        <x:v>1924.744112356777</x:v>
      </x:c>
      <x:c r="L84" s="88" t="n">
        <x:f>IF(D84="","",$J$41+IF($G$40="pons",($G$50/($G$48-MAX(0,(C84-$G$43)*$D$45))-$G$49)/(1-$G$42-$J$48),IF($G$40="four-stock",(E84-$G$49)/(1-$G$42),(E84-$G$49)*(1+$G$42))))</x:f>
        <x:v>26317.92969957224</x:v>
      </x:c>
    </x:row>
    <x:row r="85" ht="20" customHeight="1">
      <x:c r="C85" s="73" t="n">
        <x:f>IF($G$40="pons",80%+12*0.5%,IF(80.5%+12*0.5%&lt;=100%,80.5%+12*0.5%,""))</x:f>
        <x:v>0.8600000000000001</x:v>
      </x:c>
      <x:c r="D85" s="76" t="n">
        <x: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x:f>
        <x:v>58367346.93877542</x:v>
      </x:c>
      <x:c r="E85" s="82" t="n">
        <x:f>IF(D85="","",IF(ABS(C85-$G$43)&lt;0.000001,$G$49,$G$50/D85))</x:f>
        <x:v>28286.713286713333</x:v>
      </x:c>
      <x:c r="F85" s="79" t="n">
        <x:f>IF(AND(ISNUMBER(D85),D85&gt;0,ISNUMBER(E85)),E85/D85,"")</x:f>
        <x:v>0.00048463250036676764</x:v>
      </x:c>
      <x:c r="G85" s="79" t="n">
        <x:f>IF(AND(ISNUMBER(F85),ISNUMBER($D$55)),F85*$D$55,"")</x:f>
        <x:v>0.0004847454460556986</x:v>
      </x:c>
      <x:c r="H85" s="82" t="n">
        <x:f>IF(ISNUMBER(F85),F85*$D$45,"")</x:f>
        <x:v>484632.50036676764</x:v>
      </x:c>
      <x:c r="I85" s="76" t="n">
        <x:f>IF(AND(ISNUMBER(H85),ISNUMBER($D$55)),H85*$D$55,"")</x:f>
        <x:v>484745.44605569856</x:v>
      </x:c>
      <x:c r="J85" s="82" t="n">
        <x:f>IF(D85="","",E85-E84)</x:f>
        <x:v>2231.9628841368067</x:v>
      </x:c>
      <x:c r="K85" s="82" t="n">
        <x:f>IF(D85="","",IF(OR(OR($G$40="flap",$G$40="four-stock"),$G$40="pons"),L85-L84,J85*(1+$G$42)))</x:f>
        <x:v>2254.507963774544</x:v>
      </x:c>
      <x:c r="L85" s="88" t="n">
        <x:f>IF(D85="","",$J$41+IF($G$40="pons",($G$50/($G$48-MAX(0,(C85-$G$43)*$D$45))-$G$49)/(1-$G$42-$J$48),IF($G$40="four-stock",(E85-$G$49)/(1-$G$42),(E85-$G$49)*(1+$G$42))))</x:f>
        <x:v>28572.437663346784</x:v>
      </x:c>
    </x:row>
    <x:row r="86" ht="20" customHeight="1">
      <x:c r="C86" s="73" t="n">
        <x:f>IF($G$40="pons",80%+13*0.5%,IF(80.5%+13*0.5%&lt;=100%,80.5%+13*0.5%,""))</x:f>
        <x:v>0.865</x:v>
      </x:c>
      <x:c r="D86" s="76" t="n">
        <x: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x:f>
        <x:v>53367346.93877551</x:v>
      </x:c>
      <x:c r="E86" s="82" t="n">
        <x:f>IF(D86="","",IF(ABS(C86-$G$43)&lt;0.000001,$G$49,$G$50/D86))</x:f>
        <x:v>30936.90248565966</x:v>
      </x:c>
      <x:c r="F86" s="79" t="n">
        <x:f>IF(AND(ISNUMBER(D86),D86&gt;0,ISNUMBER(E86)),E86/D86,"")</x:f>
        <x:v>0.0005796972167484984</x:v>
      </x:c>
      <x:c r="G86" s="79" t="n">
        <x:f>IF(AND(ISNUMBER(F86),ISNUMBER($D$55)),F86*$D$55,"")</x:f>
        <x:v>0.0005798323176785175</x:v>
      </x:c>
      <x:c r="H86" s="82" t="n">
        <x:f>IF(ISNUMBER(F86),F86*$D$45,"")</x:f>
        <x:v>579697.2167484984</x:v>
      </x:c>
      <x:c r="I86" s="76" t="n">
        <x:f>IF(AND(ISNUMBER(H86),ISNUMBER($D$55)),H86*$D$55,"")</x:f>
        <x:v>579832.3176785174</x:v>
      </x:c>
      <x:c r="J86" s="82" t="n">
        <x:f>IF(D86="","",E86-E85)</x:f>
        <x:v>2650.1891989463256</x:v>
      </x:c>
      <x:c r="K86" s="82" t="n">
        <x:f>IF(D86="","",IF(OR(OR($G$40="flap",$G$40="four-stock"),$G$40="pons"),L86-L85,J86*(1+$G$42)))</x:f>
        <x:v>2676.9587868144663</x:v>
      </x:c>
      <x:c r="L86" s="88" t="n">
        <x:f>IF(D86="","",$J$41+IF($G$40="pons",($G$50/($G$48-MAX(0,(C86-$G$43)*$D$45))-$G$49)/(1-$G$42-$J$48),IF($G$40="four-stock",(E86-$G$49)/(1-$G$42),(E86-$G$49)*(1+$G$42))))</x:f>
        <x:v>31249.39645016125</x:v>
      </x:c>
    </x:row>
    <x:row r="87" ht="20" customHeight="1">
      <x:c r="C87" s="73" t="n">
        <x:f>IF($G$40="pons",80%+14*0.5%,IF(80.5%+14*0.5%&lt;=100%,80.5%+14*0.5%,""))</x:f>
        <x:v>0.8700000000000001</x:v>
      </x:c>
      <x:c r="D87" s="76" t="n">
        <x: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x:f>
        <x:v>48367346.938775405</x:v>
      </x:c>
      <x:c r="E87" s="82" t="n">
        <x:f>IF(D87="","",IF(ABS(C87-$G$43)&lt;0.000001,$G$49,$G$50/D87))</x:f>
        <x:v>34135.02109704649</x:v>
      </x:c>
      <x:c r="F87" s="79" t="n">
        <x:f>IF(AND(ISNUMBER(D87),D87&gt;0,ISNUMBER(E87)),E87/D87,"")</x:f>
        <x:v>0.0007057451619220598</x:v>
      </x:c>
      <x:c r="G87" s="79" t="n">
        <x:f>IF(AND(ISNUMBER(F87),ISNUMBER($D$55)),F87*$D$55,"")</x:f>
        <x:v>0.0007059096388679159</x:v>
      </x:c>
      <x:c r="H87" s="82" t="n">
        <x:f>IF(ISNUMBER(F87),F87*$D$45,"")</x:f>
        <x:v>705745.1619220597</x:v>
      </x:c>
      <x:c r="I87" s="76" t="n">
        <x:f>IF(AND(ISNUMBER(H87),ISNUMBER($D$55)),H87*$D$55,"")</x:f>
        <x:v>705909.6388679158</x:v>
      </x:c>
      <x:c r="J87" s="82" t="n">
        <x:f>IF(D87="","",E87-E86)</x:f>
        <x:v>3198.1186113868316</x:v>
      </x:c>
      <x:c r="K87" s="82" t="n">
        <x:f>IF(D87="","",IF(OR(OR($G$40="flap",$G$40="four-stock"),$G$40="pons"),L87-L86,J87*(1+$G$42)))</x:f>
        <x:v>3230.42283978466</x:v>
      </x:c>
      <x:c r="L87" s="88" t="n">
        <x:f>IF(D87="","",$J$41+IF($G$40="pons",($G$50/($G$48-MAX(0,(C87-$G$43)*$D$45))-$G$49)/(1-$G$42-$J$48),IF($G$40="four-stock",(E87-$G$49)/(1-$G$42),(E87-$G$49)*(1+$G$42))))</x:f>
        <x:v>34479.81928994591</x:v>
      </x:c>
    </x:row>
    <x:row r="88" ht="20" customHeight="1">
      <x:c r="C88" s="73" t="n">
        <x:f>IF($G$40="pons",80%+15*0.5%,IF(80.5%+15*0.5%&lt;=100%,80.5%+15*0.5%,""))</x:f>
        <x:v>0.875</x:v>
      </x:c>
      <x:c r="D88" s="76" t="n">
        <x: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x:f>
        <x:v>43367346.93877551</x:v>
      </x:c>
      <x:c r="E88" s="82" t="n">
        <x:f>IF(D88="","",IF(ABS(C88-$G$43)&lt;0.000001,$G$49,$G$50/D88))</x:f>
        <x:v>38070.58823529412</x:v>
      </x:c>
      <x:c r="F88" s="79" t="n">
        <x:f>IF(AND(ISNUMBER(D88),D88&gt;0,ISNUMBER(E88)),E88/D88,"")</x:f>
        <x:v>0.0008778629757785468</x:v>
      </x:c>
      <x:c r="G88" s="79" t="n">
        <x:f>IF(AND(ISNUMBER(F88),ISNUMBER($D$55)),F88*$D$55,"")</x:f>
        <x:v>0.0008780675655213132</x:v>
      </x:c>
      <x:c r="H88" s="82" t="n">
        <x:f>IF(ISNUMBER(F88),F88*$D$45,"")</x:f>
        <x:v>877862.9757785468</x:v>
      </x:c>
      <x:c r="I88" s="76" t="n">
        <x:f>IF(AND(ISNUMBER(H88),ISNUMBER($D$55)),H88*$D$55,"")</x:f>
        <x:v>878067.5655213132</x:v>
      </x:c>
      <x:c r="J88" s="82" t="n">
        <x:f>IF(D88="","",E88-E87)</x:f>
        <x:v>3935.5671382476285</x:v>
      </x:c>
      <x:c r="K88" s="82" t="n">
        <x:f>IF(D88="","",IF(OR(OR($G$40="flap",$G$40="four-stock"),$G$40="pons"),L88-L87,J88*(1+$G$42)))</x:f>
        <x:v>3975.3203416642864</x:v>
      </x:c>
      <x:c r="L88" s="88" t="n">
        <x:f>IF(D88="","",$J$41+IF($G$40="pons",($G$50/($G$48-MAX(0,(C88-$G$43)*$D$45))-$G$49)/(1-$G$42-$J$48),IF($G$40="four-stock",(E88-$G$49)/(1-$G$42),(E88-$G$49)*(1+$G$42))))</x:f>
        <x:v>38455.1396316102</x:v>
      </x:c>
    </x:row>
    <x:row r="89" ht="20" customHeight="1">
      <x:c r="C89" s="73" t="n">
        <x:f>IF($G$40="pons",80%+16*0.5%,IF(80.5%+16*0.5%&lt;=100%,80.5%+16*0.5%,""))</x:f>
        <x:v>0.88</x:v>
      </x:c>
      <x:c r="D89" s="76" t="n">
        <x: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x:f>
        <x:v>38367346.93877551</x:v>
      </x:c>
      <x:c r="E89" s="82" t="n">
        <x:f>IF(D89="","",IF(ABS(C89-$G$43)&lt;0.000001,$G$49,$G$50/D89))</x:f>
        <x:v>43031.914893617024</x:v>
      </x:c>
      <x:c r="F89" s="79" t="n">
        <x:f>IF(AND(ISNUMBER(D89),D89&gt;0,ISNUMBER(E89)),E89/D89,"")</x:f>
        <x:v>0.0011215765052059756</x:v>
      </x:c>
      <x:c r="G89" s="79" t="n">
        <x:f>IF(AND(ISNUMBER(F89),ISNUMBER($D$55)),F89*$D$55,"")</x:f>
        <x:v>0.0011218378934351458</x:v>
      </x:c>
      <x:c r="H89" s="82" t="n">
        <x:f>IF(ISNUMBER(F89),F89*$D$45,"")</x:f>
        <x:v>1121576.5052059756</x:v>
      </x:c>
      <x:c r="I89" s="76" t="n">
        <x:f>IF(AND(ISNUMBER(H89),ISNUMBER($D$55)),H89*$D$55,"")</x:f>
        <x:v>1121837.893435146</x:v>
      </x:c>
      <x:c r="J89" s="82" t="n">
        <x:f>IF(D89="","",E89-E88)</x:f>
        <x:v>4961.326658322905</x:v>
      </x:c>
      <x:c r="K89" s="82" t="n">
        <x:f>IF(D89="","",IF(OR(OR($G$40="flap",$G$40="four-stock"),$G$40="pons"),L89-L88,J89*(1+$G$42)))</x:f>
        <x:v>5011.441069013024</x:v>
      </x:c>
      <x:c r="L89" s="88" t="n">
        <x:f>IF(D89="","",$J$41+IF($G$40="pons",($G$50/($G$48-MAX(0,(C89-$G$43)*$D$45))-$G$49)/(1-$G$42-$J$48),IF($G$40="four-stock",(E89-$G$49)/(1-$G$42),(E89-$G$49)*(1+$G$42))))</x:f>
        <x:v>43466.58070062322</x:v>
      </x:c>
    </x:row>
    <x:row r="90" ht="20" customHeight="1">
      <x:c r="C90" s="73" t="n">
        <x:f>IF($G$40="pons",80%+17*0.5%,IF(80.5%+17*0.5%&lt;=100%,80.5%+17*0.5%,""))</x:f>
        <x:v>0.885</x:v>
      </x:c>
      <x:c r="D90" s="76" t="n">
        <x: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x:f>
        <x:v>33367346.938775495</x:v>
      </x:c>
      <x:c r="E90" s="82" t="n">
        <x:f>IF(D90="","",IF(ABS(C90-$G$43)&lt;0.000001,$G$49,$G$50/D90))</x:f>
        <x:v>49480.12232415905</x:v>
      </x:c>
      <x:c r="F90" s="79" t="n">
        <x:f>IF(AND(ISNUMBER(D90),D90&gt;0,ISNUMBER(E90)),E90/D90,"")</x:f>
        <x:v>0.0014828905161368773</x:v>
      </x:c>
      <x:c r="G90" s="79" t="n">
        <x:f>IF(AND(ISNUMBER(F90),ISNUMBER($D$55)),F90*$D$55,"")</x:f>
        <x:v>0.0014832361101505423</x:v>
      </x:c>
      <x:c r="H90" s="82" t="n">
        <x:f>IF(ISNUMBER(F90),F90*$D$45,"")</x:f>
        <x:v>1482890.5161368772</x:v>
      </x:c>
      <x:c r="I90" s="76" t="n">
        <x:f>IF(AND(ISNUMBER(H90),ISNUMBER($D$55)),H90*$D$55,"")</x:f>
        <x:v>1483236.110150542</x:v>
      </x:c>
      <x:c r="J90" s="82" t="n">
        <x:f>IF(D90="","",E90-E89)</x:f>
        <x:v>6448.207430542025</x:v>
      </x:c>
      <x:c r="K90" s="82" t="n">
        <x:f>IF(D90="","",IF(OR(OR($G$40="flap",$G$40="four-stock"),$G$40="pons"),L90-L89,J90*(1+$G$42)))</x:f>
        <x:v>6513.340838931312</x:v>
      </x:c>
      <x:c r="L90" s="88" t="n">
        <x:f>IF(D90="","",$J$41+IF($G$40="pons",($G$50/($G$48-MAX(0,(C90-$G$43)*$D$45))-$G$49)/(1-$G$42-$J$48),IF($G$40="four-stock",(E90-$G$49)/(1-$G$42),(E90-$G$49)*(1+$G$42))))</x:f>
        <x:v>49979.92153955453</x:v>
      </x:c>
    </x:row>
    <x:row r="91" ht="20" customHeight="1">
      <x:c r="C91" s="73" t="n">
        <x:f>IF($G$40="pons",80%+18*0.5%,IF(80.5%+18*0.5%&lt;=100%,80.5%+18*0.5%,""))</x:f>
        <x:v>0.89</x:v>
      </x:c>
      <x:c r="D91" s="76" t="n">
        <x: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x:f>
        <x:v>28367346.938775495</x:v>
      </x:c>
      <x:c r="E91" s="82" t="n">
        <x:f>IF(D91="","",IF(ABS(C91-$G$43)&lt;0.000001,$G$49,$G$50/D91))</x:f>
        <x:v>58201.4388489209</x:v>
      </x:c>
      <x:c r="F91" s="79" t="n">
        <x:f>IF(AND(ISNUMBER(D91),D91&gt;0,ISNUMBER(E91)),E91/D91,"")</x:f>
        <x:v>0.0020517053982713135</x:v>
      </x:c>
      <x:c r="G91" s="79" t="n">
        <x:f>IF(AND(ISNUMBER(F91),ISNUMBER($D$55)),F91*$D$55,"")</x:f>
        <x:v>0.0020521835570401037</x:v>
      </x:c>
      <x:c r="H91" s="82" t="n">
        <x:f>IF(ISNUMBER(F91),F91*$D$45,"")</x:f>
        <x:v>2051705.3982713136</x:v>
      </x:c>
      <x:c r="I91" s="76" t="n">
        <x:f>IF(AND(ISNUMBER(H91),ISNUMBER($D$55)),H91*$D$55,"")</x:f>
        <x:v>2052183.557040104</x:v>
      </x:c>
      <x:c r="J91" s="82" t="n">
        <x:f>IF(D91="","",E91-E90)</x:f>
        <x:v>8721.316524761853</x:v>
      </x:c>
      <x:c r="K91" s="82" t="n">
        <x:f>IF(D91="","",IF(OR(OR($G$40="flap",$G$40="four-stock"),$G$40="pons"),L91-L90,J91*(1+$G$42)))</x:f>
        <x:v>8809.410631072547</x:v>
      </x:c>
      <x:c r="L91" s="88" t="n">
        <x:f>IF(D91="","",$J$41+IF($G$40="pons",($G$50/($G$48-MAX(0,(C91-$G$43)*$D$45))-$G$49)/(1-$G$42-$J$48),IF($G$40="four-stock",(E91-$G$49)/(1-$G$42),(E91-$G$49)*(1+$G$42))))</x:f>
        <x:v>58789.33217062708</x:v>
      </x:c>
    </x:row>
    <x:row r="92" ht="20" customHeight="1">
      <x:c r="C92" s="73" t="n">
        <x:f>IF($G$40="pons",80%+19*0.5%,IF(80.5%+19*0.5%&lt;=100%,80.5%+19*0.5%,""))</x:f>
        <x:v>0.895</x:v>
      </x:c>
      <x:c r="D92" s="76" t="n">
        <x: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x:f>
        <x:v>23367346.938775495</x:v>
      </x:c>
      <x:c r="E92" s="82" t="n">
        <x:f>IF(D92="","",IF(ABS(C92-$G$43)&lt;0.000001,$G$49,$G$50/D92))</x:f>
        <x:v>70655.02183406119</x:v>
      </x:c>
      <x:c r="F92" s="79" t="n">
        <x:f>IF(AND(ISNUMBER(D92),D92&gt;0,ISNUMBER(E92)),E92/D92,"")</x:f>
        <x:v>0.003023664689841922</x:v>
      </x:c>
      <x:c r="G92" s="79" t="n">
        <x:f>IF(AND(ISNUMBER(F92),ISNUMBER($D$55)),F92*$D$55,"")</x:f>
        <x:v>0.0030243693679046437</x:v>
      </x:c>
      <x:c r="H92" s="82" t="n">
        <x:f>IF(ISNUMBER(F92),F92*$D$45,"")</x:f>
        <x:v>3023664.689841922</x:v>
      </x:c>
      <x:c r="I92" s="76" t="n">
        <x:f>IF(AND(ISNUMBER(H92),ISNUMBER($D$55)),H92*$D$55,"")</x:f>
        <x:v>3024369.3679046435</x:v>
      </x:c>
      <x:c r="J92" s="82" t="n">
        <x:f>IF(D92="","",E92-E91)</x:f>
        <x:v>12453.582985140289</x:v>
      </x:c>
      <x:c r="K92" s="82" t="n">
        <x:f>IF(D92="","",IF(OR(OR($G$40="flap",$G$40="four-stock"),$G$40="pons"),L92-L91,J92*(1+$G$42)))</x:f>
        <x:v>12579.376752666896</x:v>
      </x:c>
      <x:c r="L92" s="88" t="n">
        <x:f>IF(D92="","",$J$41+IF($G$40="pons",($G$50/($G$48-MAX(0,(C92-$G$43)*$D$45))-$G$49)/(1-$G$42-$J$48),IF($G$40="four-stock",(E92-$G$49)/(1-$G$42),(E92-$G$49)*(1+$G$42))))</x:f>
        <x:v>71368.70892329398</x:v>
      </x:c>
    </x:row>
    <x:row r="93" ht="20" customHeight="1">
      <x:c r="C93" s="73" t="n">
        <x:f>IF($G$40="pons",80%+20*0.5%,IF(80.5%+20*0.5%&lt;=100%,80.5%+20*0.5%,""))</x:f>
        <x:v>0.9</x:v>
      </x:c>
      <x:c r="D93" s="76" t="n">
        <x: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x:f>
        <x:v>18367346.938775495</x:v>
      </x:c>
      <x:c r="E93" s="82" t="n">
        <x:f>IF(D93="","",IF(ABS(C93-$G$43)&lt;0.000001,$G$49,$G$50/D93))</x:f>
        <x:v>89888.88888888896</x:v>
      </x:c>
      <x:c r="F93" s="79" t="n">
        <x:f>IF(AND(ISNUMBER(D93),D93&gt;0,ISNUMBER(E93)),E93/D93,"")</x:f>
        <x:v>0.0048939506172839585</x:v>
      </x:c>
      <x:c r="G93" s="79" t="n">
        <x:f>IF(AND(ISNUMBER(F93),ISNUMBER($D$55)),F93*$D$55,"")</x:f>
        <x:v>0.00489509117352739</x:v>
      </x:c>
      <x:c r="H93" s="82" t="n">
        <x:f>IF(ISNUMBER(F93),F93*$D$45,"")</x:f>
        <x:v>4893950.617283959</x:v>
      </x:c>
      <x:c r="I93" s="76" t="n">
        <x:f>IF(AND(ISNUMBER(H93),ISNUMBER($D$55)),H93*$D$55,"")</x:f>
        <x:v>4895091.173527391</x:v>
      </x:c>
      <x:c r="J93" s="82" t="n">
        <x:f>IF(D93="","",E93-E92)</x:f>
        <x:v>19233.867054827773</x:v>
      </x:c>
      <x:c r="K93" s="82" t="n">
        <x:f>IF(D93="","",IF(OR(OR($G$40="flap",$G$40="four-stock"),$G$40="pons"),L93-L92,J93*(1+$G$42)))</x:f>
        <x:v>19428.148540230162</x:v>
      </x:c>
      <x:c r="L93" s="88" t="n">
        <x:f>IF(D93="","",$J$41+IF($G$40="pons",($G$50/($G$48-MAX(0,(C93-$G$43)*$D$45))-$G$49)/(1-$G$42-$J$48),IF($G$40="four-stock",(E93-$G$49)/(1-$G$42),(E93-$G$49)*(1+$G$42))))</x:f>
        <x:v>90796.85746352414</x:v>
      </x:c>
    </x:row>
    <x:row r="94" ht="20" customHeight="1">
      <x:c r="C94" s="73" t="n">
        <x:f>IF($G$40="pons",80%+21*0.5%,IF(80.5%+21*0.5%&lt;=100%,80.5%+21*0.5%,""))</x:f>
        <x:v>0.905</x:v>
      </x:c>
      <x:c r="D94" s="76" t="n">
        <x: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x:f>
        <x:v>13367346.93877548</x:v>
      </x:c>
      <x:c r="E94" s="82" t="n">
        <x:f>IF(D94="","",IF(ABS(C94-$G$43)&lt;0.000001,$G$49,$G$50/D94))</x:f>
        <x:v>123511.45038167968</x:v>
      </x:c>
      <x:c r="F94" s="79" t="n">
        <x:f>IF(AND(ISNUMBER(D94),D94&gt;0,ISNUMBER(E94)),E94/D94,"")</x:f>
        <x:v>0.009239787891148578</x:v>
      </x:c>
      <x:c r="G94" s="79" t="n">
        <x:f>IF(AND(ISNUMBER(F94),ISNUMBER($D$55)),F94*$D$55,"")</x:f>
        <x:v>0.009241941263462963</x:v>
      </x:c>
      <x:c r="H94" s="82" t="n">
        <x:f>IF(ISNUMBER(F94),F94*$D$45,"")</x:f>
        <x:v>9239787.891148578</x:v>
      </x:c>
      <x:c r="I94" s="76" t="n">
        <x:f>IF(AND(ISNUMBER(H94),ISNUMBER($D$55)),H94*$D$55,"")</x:f>
        <x:v>9241941.263462964</x:v>
      </x:c>
      <x:c r="J94" s="82" t="n">
        <x:f>IF(D94="","",E94-E93)</x:f>
        <x:v>33622.561492790715</x:v>
      </x:c>
      <x:c r="K94" s="82" t="n">
        <x:f>IF(D94="","",IF(OR(OR($G$40="flap",$G$40="four-stock"),$G$40="pons"),L94-L93,J94*(1+$G$42)))</x:f>
        <x:v>33962.18332605102</x:v>
      </x:c>
      <x:c r="L94" s="88" t="n">
        <x:f>IF(D94="","",$J$41+IF($G$40="pons",($G$50/($G$48-MAX(0,(C94-$G$43)*$D$45))-$G$49)/(1-$G$42-$J$48),IF($G$40="four-stock",(E94-$G$49)/(1-$G$42),(E94-$G$49)*(1+$G$42))))</x:f>
        <x:v>124759.04078957516</x:v>
      </x:c>
    </x:row>
    <x:row r="95" ht="20" customHeight="1">
      <x:c r="C95" s="73" t="n">
        <x:f>IF($G$40="pons",80%+22*0.5%,IF(80.5%+22*0.5%&lt;=100%,80.5%+22*0.5%,""))</x:f>
        <x:v>0.91</x:v>
      </x:c>
      <x:c r="D95" s="76" t="n">
        <x: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x:f>
        <x:v>8367346.93877548</x:v>
      </x:c>
      <x:c r="E95" s="82" t="n">
        <x:f>IF(D95="","",IF(ABS(C95-$G$43)&lt;0.000001,$G$49,$G$50/D95))</x:f>
        <x:v>197317.07317073244</x:v>
      </x:c>
      <x:c r="F95" s="79" t="n">
        <x:f>IF(AND(ISNUMBER(D95),D95&gt;0,ISNUMBER(E95)),E95/D95,"")</x:f>
        <x:v>0.023581796549672986</x:v>
      </x:c>
      <x:c r="G95" s="79" t="n">
        <x:f>IF(AND(ISNUMBER(F95),ISNUMBER($D$55)),F95*$D$55,"")</x:f>
        <x:v>0.023587292388799575</x:v>
      </x:c>
      <x:c r="H95" s="82" t="n">
        <x:f>IF(ISNUMBER(F95),F95*$D$45,"")</x:f>
        <x:v>23581796.549672987</x:v>
      </x:c>
      <x:c r="I95" s="76" t="n">
        <x:f>IF(AND(ISNUMBER(H95),ISNUMBER($D$55)),H95*$D$55,"")</x:f>
        <x:v>23587292.388799574</x:v>
      </x:c>
      <x:c r="J95" s="82" t="n">
        <x:f>IF(D95="","",E95-E94)</x:f>
        <x:v>73805.62278905277</x:v>
      </x:c>
      <x:c r="K95" s="82" t="n">
        <x:f>IF(D95="","",IF(OR(OR($G$40="flap",$G$40="four-stock"),$G$40="pons"),L95-L94,J95*(1+$G$42)))</x:f>
        <x:v>74551.13413035589</x:v>
      </x:c>
      <x:c r="L95" s="88" t="n">
        <x:f>IF(D95="","",$J$41+IF($G$40="pons",($G$50/($G$48-MAX(0,(C95-$G$43)*$D$45))-$G$49)/(1-$G$42-$J$48),IF($G$40="four-stock",(E95-$G$49)/(1-$G$42),(E95-$G$49)*(1+$G$42))))</x:f>
        <x:v>199310.17491993104</x:v>
      </x:c>
    </x:row>
    <x:row r="96" ht="20" customHeight="1">
      <x:c r="C96" s="73" t="n">
        <x:f>IF($G$40="pons",80%+23*0.5%,IF(80.5%+23*0.5%&lt;=100%,80.5%+23*0.5%,""))</x:f>
        <x:v>0.915</x:v>
      </x:c>
      <x:c r="D96" s="76" t="n">
        <x: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x:f>
        <x:v>3367346.93877548</x:v>
      </x:c>
      <x:c r="E96" s="82" t="n">
        <x:f>IF(D96="","",IF(ABS(C96-$G$43)&lt;0.000001,$G$49,$G$50/D96))</x:f>
        <x:v>490303.03030303476</x:v>
      </x:c>
      <x:c r="F96" s="79" t="n">
        <x:f>IF(AND(ISNUMBER(D96),D96&gt;0,ISNUMBER(E96)),E96/D96,"")</x:f>
        <x:v>0.1456051423324177</x:v>
      </x:c>
      <x:c r="G96" s="79" t="n">
        <x:f>IF(AND(ISNUMBER(F96),ISNUMBER($D$55)),F96*$D$55,"")</x:f>
        <x:v>0.14563907623718095</x:v>
      </x:c>
      <x:c r="H96" s="82" t="n">
        <x:f>IF(ISNUMBER(F96),F96*$D$45,"")</x:f>
        <x:v>145605142.3324177</x:v>
      </x:c>
      <x:c r="I96" s="76" t="n">
        <x:f>IF(AND(ISNUMBER(H96),ISNUMBER($D$55)),H96*$D$55,"")</x:f>
        <x:v>145639076.23718095</x:v>
      </x:c>
      <x:c r="J96" s="82" t="n">
        <x:f>IF(D96="","",E96-E95)</x:f>
        <x:v>292985.95713230234</x:v>
      </x:c>
      <x:c r="K96" s="82" t="n">
        <x:f>IF(D96="","",IF(OR(OR($G$40="flap",$G$40="four-stock"),$G$40="pons"),L96-L95,J96*(1+$G$42)))</x:f>
        <x:v>295945.4112447461</x:v>
      </x:c>
      <x:c r="L96" s="88" t="n">
        <x:f>IF(D96="","",$J$41+IF($G$40="pons",($G$50/($G$48-MAX(0,(C96-$G$43)*$D$45))-$G$49)/(1-$G$42-$J$48),IF($G$40="four-stock",(E96-$G$49)/(1-$G$42),(E96-$G$49)*(1+$G$42))))</x:f>
        <x:v>495255.58616467717</x:v>
      </x:c>
    </x:row>
    <x:row r="97" ht="20" customHeight="1">
      <x:c r="C97" s="73" t="n">
        <x:f>IF($G$40="pons",80%+24*0.5%,IF(80.5%+24*0.5%&lt;=100%,80.5%+24*0.5%,""))</x:f>
        <x:v>0.92</x:v>
      </x:c>
      <x:c r="D97" s="76" t="str">
        <x: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x:f>
      </x:c>
      <x:c r="E97" s="82" t="str">
        <x:f>IF(D97="","",IF(ABS(C97-$G$43)&lt;0.000001,$G$49,$G$50/D97))</x:f>
      </x:c>
      <x:c r="F97" s="79" t="str">
        <x:f>IF(AND(ISNUMBER(D97),D97&gt;0,ISNUMBER(E97)),E97/D97,"")</x:f>
      </x:c>
      <x:c r="G97" s="79" t="str">
        <x:f>IF(AND(ISNUMBER(F97),ISNUMBER($D$55)),F97*$D$55,"")</x:f>
      </x:c>
      <x:c r="H97" s="82" t="str">
        <x:f>IF(ISNUMBER(F97),F97*$D$45,"")</x:f>
      </x:c>
      <x:c r="I97" s="76" t="str">
        <x:f>IF(AND(ISNUMBER(H97),ISNUMBER($D$55)),H97*$D$55,"")</x:f>
      </x:c>
      <x:c r="J97" s="82" t="str">
        <x:f>IF(D97="","",E97-E96)</x:f>
      </x:c>
      <x:c r="K97" s="82" t="str">
        <x:f>IF(D97="","",IF(OR(OR($G$40="flap",$G$40="four-stock"),$G$40="pons"),L97-L96,J97*(1+$G$42)))</x:f>
      </x:c>
      <x:c r="L97" s="88" t="str">
        <x:f>IF(D97="","",$J$41+IF($G$40="pons",($G$50/($G$48-MAX(0,(C97-$G$43)*$D$45))-$G$49)/(1-$G$42-$J$48),IF($G$40="four-stock",(E97-$G$49)/(1-$G$42),(E97-$G$49)*(1+$G$42))))</x:f>
      </x:c>
    </x:row>
    <x:row r="98" ht="20" customHeight="1">
      <x:c r="C98" s="73" t="n">
        <x:f>IF($G$40="pons",80%+25*0.5%,IF(80.5%+25*0.5%&lt;=100%,80.5%+25*0.5%,""))</x:f>
        <x:v>0.925</x:v>
      </x:c>
      <x:c r="D98" s="76" t="str">
        <x: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x:f>
      </x:c>
      <x:c r="E98" s="82" t="str">
        <x:f>IF(D98="","",IF(ABS(C98-$G$43)&lt;0.000001,$G$49,$G$50/D98))</x:f>
      </x:c>
      <x:c r="F98" s="79" t="str">
        <x:f>IF(AND(ISNUMBER(D98),D98&gt;0,ISNUMBER(E98)),E98/D98,"")</x:f>
      </x:c>
      <x:c r="G98" s="79" t="str">
        <x:f>IF(AND(ISNUMBER(F98),ISNUMBER($D$55)),F98*$D$55,"")</x:f>
      </x:c>
      <x:c r="H98" s="82" t="str">
        <x:f>IF(ISNUMBER(F98),F98*$D$45,"")</x:f>
      </x:c>
      <x:c r="I98" s="76" t="str">
        <x:f>IF(AND(ISNUMBER(H98),ISNUMBER($D$55)),H98*$D$55,"")</x:f>
      </x:c>
      <x:c r="J98" s="82" t="str">
        <x:f>IF(D98="","",E98-E97)</x:f>
      </x:c>
      <x:c r="K98" s="82" t="str">
        <x:f>IF(D98="","",IF(OR(OR($G$40="flap",$G$40="four-stock"),$G$40="pons"),L98-L97,J98*(1+$G$42)))</x:f>
      </x:c>
      <x:c r="L98" s="88" t="str">
        <x:f>IF(D98="","",$J$41+IF($G$40="pons",($G$50/($G$48-MAX(0,(C98-$G$43)*$D$45))-$G$49)/(1-$G$42-$J$48),IF($G$40="four-stock",(E98-$G$49)/(1-$G$42),(E98-$G$49)*(1+$G$42))))</x:f>
      </x:c>
    </x:row>
    <x:row r="99" ht="20" customHeight="1">
      <x:c r="C99" s="73" t="n">
        <x:f>IF($G$40="pons",80%+26*0.5%,IF(80.5%+26*0.5%&lt;=100%,80.5%+26*0.5%,""))</x:f>
        <x:v>0.93</x:v>
      </x:c>
      <x:c r="D99" s="76" t="str">
        <x: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x:f>
      </x:c>
      <x:c r="E99" s="82" t="str">
        <x:f>IF(D99="","",IF(ABS(C99-$G$43)&lt;0.000001,$G$49,$G$50/D99))</x:f>
      </x:c>
      <x:c r="F99" s="79" t="str">
        <x:f>IF(AND(ISNUMBER(D99),D99&gt;0,ISNUMBER(E99)),E99/D99,"")</x:f>
      </x:c>
      <x:c r="G99" s="79" t="str">
        <x:f>IF(AND(ISNUMBER(F99),ISNUMBER($D$55)),F99*$D$55,"")</x:f>
      </x:c>
      <x:c r="H99" s="82" t="str">
        <x:f>IF(ISNUMBER(F99),F99*$D$45,"")</x:f>
      </x:c>
      <x:c r="I99" s="76" t="str">
        <x:f>IF(AND(ISNUMBER(H99),ISNUMBER($D$55)),H99*$D$55,"")</x:f>
      </x:c>
      <x:c r="J99" s="82" t="str">
        <x:f>IF(D99="","",E99-E98)</x:f>
      </x:c>
      <x:c r="K99" s="82" t="str">
        <x:f>IF(D99="","",IF(OR(OR($G$40="flap",$G$40="four-stock"),$G$40="pons"),L99-L98,J99*(1+$G$42)))</x:f>
      </x:c>
      <x:c r="L99" s="88" t="str">
        <x:f>IF(D99="","",$J$41+IF($G$40="pons",($G$50/($G$48-MAX(0,(C99-$G$43)*$D$45))-$G$49)/(1-$G$42-$J$48),IF($G$40="four-stock",(E99-$G$49)/(1-$G$42),(E99-$G$49)*(1+$G$42))))</x:f>
      </x:c>
    </x:row>
    <x:row r="100" ht="20" customHeight="1">
      <x:c r="C100" s="73" t="n">
        <x:f>IF($G$40="pons",80%+27*0.5%,IF(80.5%+27*0.5%&lt;=100%,80.5%+27*0.5%,""))</x:f>
        <x:v>0.935</x:v>
      </x:c>
      <x:c r="D100" s="76" t="str">
        <x: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x:f>
      </x:c>
      <x:c r="E100" s="82" t="str">
        <x:f>IF(D100="","",IF(ABS(C100-$G$43)&lt;0.000001,$G$49,$G$50/D100))</x:f>
      </x:c>
      <x:c r="F100" s="79" t="str">
        <x:f>IF(AND(ISNUMBER(D100),D100&gt;0,ISNUMBER(E100)),E100/D100,"")</x:f>
      </x:c>
      <x:c r="G100" s="79" t="str">
        <x:f>IF(AND(ISNUMBER(F100),ISNUMBER($D$55)),F100*$D$55,"")</x:f>
      </x:c>
      <x:c r="H100" s="82" t="str">
        <x:f>IF(ISNUMBER(F100),F100*$D$45,"")</x:f>
      </x:c>
      <x:c r="I100" s="76" t="str">
        <x:f>IF(AND(ISNUMBER(H100),ISNUMBER($D$55)),H100*$D$55,"")</x:f>
      </x:c>
      <x:c r="J100" s="82" t="str">
        <x:f>IF(D100="","",E100-E99)</x:f>
      </x:c>
      <x:c r="K100" s="82" t="str">
        <x:f>IF(D100="","",IF(OR(OR($G$40="flap",$G$40="four-stock"),$G$40="pons"),L100-L99,J100*(1+$G$42)))</x:f>
      </x:c>
      <x:c r="L100" s="88" t="str">
        <x:f>IF(D100="","",$J$41+IF($G$40="pons",($G$50/($G$48-MAX(0,(C100-$G$43)*$D$45))-$G$49)/(1-$G$42-$J$48),IF($G$40="four-stock",(E100-$G$49)/(1-$G$42),(E100-$G$49)*(1+$G$42))))</x:f>
      </x:c>
    </x:row>
    <x:row r="101" ht="20" customHeight="1">
      <x:c r="C101" s="73" t="n">
        <x:f>IF($G$40="pons",80%+28*0.5%,IF(80.5%+28*0.5%&lt;=100%,80.5%+28*0.5%,""))</x:f>
        <x:v>0.9400000000000001</x:v>
      </x:c>
      <x:c r="D101" s="76" t="str">
        <x: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x:f>
      </x:c>
      <x:c r="E101" s="82" t="str">
        <x:f>IF(D101="","",IF(ABS(C101-$G$43)&lt;0.000001,$G$49,$G$50/D101))</x:f>
      </x:c>
      <x:c r="F101" s="79" t="str">
        <x:f>IF(AND(ISNUMBER(D101),D101&gt;0,ISNUMBER(E101)),E101/D101,"")</x:f>
      </x:c>
      <x:c r="G101" s="79" t="str">
        <x:f>IF(AND(ISNUMBER(F101),ISNUMBER($D$55)),F101*$D$55,"")</x:f>
      </x:c>
      <x:c r="H101" s="82" t="str">
        <x:f>IF(ISNUMBER(F101),F101*$D$45,"")</x:f>
      </x:c>
      <x:c r="I101" s="76" t="str">
        <x:f>IF(AND(ISNUMBER(H101),ISNUMBER($D$55)),H101*$D$55,"")</x:f>
      </x:c>
      <x:c r="J101" s="82" t="str">
        <x:f>IF(D101="","",E101-E100)</x:f>
      </x:c>
      <x:c r="K101" s="82" t="str">
        <x:f>IF(D101="","",IF(OR(OR($G$40="flap",$G$40="four-stock"),$G$40="pons"),L101-L100,J101*(1+$G$42)))</x:f>
      </x:c>
      <x:c r="L101" s="88" t="str">
        <x:f>IF(D101="","",$J$41+IF($G$40="pons",($G$50/($G$48-MAX(0,(C101-$G$43)*$D$45))-$G$49)/(1-$G$42-$J$48),IF($G$40="four-stock",(E101-$G$49)/(1-$G$42),(E101-$G$49)*(1+$G$42))))</x:f>
      </x:c>
    </x:row>
    <x:row r="102" ht="20" customHeight="1">
      <x:c r="C102" s="73" t="n">
        <x:f>IF($G$40="pons",80%+29*0.5%,IF(80.5%+29*0.5%&lt;=100%,80.5%+29*0.5%,""))</x:f>
        <x:v>0.9450000000000001</x:v>
      </x:c>
      <x:c r="D102" s="76" t="str">
        <x: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x:f>
      </x:c>
      <x:c r="E102" s="82" t="str">
        <x:f>IF(D102="","",IF(ABS(C102-$G$43)&lt;0.000001,$G$49,$G$50/D102))</x:f>
      </x:c>
      <x:c r="F102" s="79" t="str">
        <x:f>IF(AND(ISNUMBER(D102),D102&gt;0,ISNUMBER(E102)),E102/D102,"")</x:f>
      </x:c>
      <x:c r="G102" s="79" t="str">
        <x:f>IF(AND(ISNUMBER(F102),ISNUMBER($D$55)),F102*$D$55,"")</x:f>
      </x:c>
      <x:c r="H102" s="82" t="str">
        <x:f>IF(ISNUMBER(F102),F102*$D$45,"")</x:f>
      </x:c>
      <x:c r="I102" s="76" t="str">
        <x:f>IF(AND(ISNUMBER(H102),ISNUMBER($D$55)),H102*$D$55,"")</x:f>
      </x:c>
      <x:c r="J102" s="82" t="str">
        <x:f>IF(D102="","",E102-E101)</x:f>
      </x:c>
      <x:c r="K102" s="82" t="str">
        <x:f>IF(D102="","",IF(OR(OR($G$40="flap",$G$40="four-stock"),$G$40="pons"),L102-L101,J102*(1+$G$42)))</x:f>
      </x:c>
      <x:c r="L102" s="88" t="str">
        <x:f>IF(D102="","",$J$41+IF($G$40="pons",($G$50/($G$48-MAX(0,(C102-$G$43)*$D$45))-$G$49)/(1-$G$42-$J$48),IF($G$40="four-stock",(E102-$G$49)/(1-$G$42),(E102-$G$49)*(1+$G$42))))</x:f>
      </x:c>
    </x:row>
    <x:row r="103" ht="20" customHeight="1">
      <x:c r="C103" s="73" t="n">
        <x:f>IF($G$40="pons",80%+30*0.5%,IF(80.5%+30*0.5%&lt;=100%,80.5%+30*0.5%,""))</x:f>
        <x:v>0.9500000000000001</x:v>
      </x:c>
      <x:c r="D103" s="76" t="str">
        <x: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x:f>
      </x:c>
      <x:c r="E103" s="82" t="str">
        <x:f>IF(D103="","",IF(ABS(C103-$G$43)&lt;0.000001,$G$49,$G$50/D103))</x:f>
      </x:c>
      <x:c r="F103" s="79" t="str">
        <x:f>IF(AND(ISNUMBER(D103),D103&gt;0,ISNUMBER(E103)),E103/D103,"")</x:f>
      </x:c>
      <x:c r="G103" s="79" t="str">
        <x:f>IF(AND(ISNUMBER(F103),ISNUMBER($D$55)),F103*$D$55,"")</x:f>
      </x:c>
      <x:c r="H103" s="82" t="str">
        <x:f>IF(ISNUMBER(F103),F103*$D$45,"")</x:f>
      </x:c>
      <x:c r="I103" s="76" t="str">
        <x:f>IF(AND(ISNUMBER(H103),ISNUMBER($D$55)),H103*$D$55,"")</x:f>
      </x:c>
      <x:c r="J103" s="82" t="str">
        <x:f>IF(D103="","",E103-E102)</x:f>
      </x:c>
      <x:c r="K103" s="82" t="str">
        <x:f>IF(D103="","",IF(OR(OR($G$40="flap",$G$40="four-stock"),$G$40="pons"),L103-L102,J103*(1+$G$42)))</x:f>
      </x:c>
      <x:c r="L103" s="88" t="str">
        <x:f>IF(D103="","",$J$41+IF($G$40="pons",($G$50/($G$48-MAX(0,(C103-$G$43)*$D$45))-$G$49)/(1-$G$42-$J$48),IF($G$40="four-stock",(E103-$G$49)/(1-$G$42),(E103-$G$49)*(1+$G$42))))</x:f>
      </x:c>
    </x:row>
    <x:row r="104" ht="20" customHeight="1">
      <x:c r="C104" s="73" t="n">
        <x:f>IF($G$40="pons",80%+31*0.5%,IF(80.5%+31*0.5%&lt;=100%,80.5%+31*0.5%,""))</x:f>
        <x:v>0.9550000000000001</x:v>
      </x:c>
      <x:c r="D104" s="76" t="str">
        <x: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x:f>
      </x:c>
      <x:c r="E104" s="82" t="str">
        <x:f>IF(D104="","",IF(ABS(C104-$G$43)&lt;0.000001,$G$49,$G$50/D104))</x:f>
      </x:c>
      <x:c r="F104" s="79" t="str">
        <x:f>IF(AND(ISNUMBER(D104),D104&gt;0,ISNUMBER(E104)),E104/D104,"")</x:f>
      </x:c>
      <x:c r="G104" s="79" t="str">
        <x:f>IF(AND(ISNUMBER(F104),ISNUMBER($D$55)),F104*$D$55,"")</x:f>
      </x:c>
      <x:c r="H104" s="82" t="str">
        <x:f>IF(ISNUMBER(F104),F104*$D$45,"")</x:f>
      </x:c>
      <x:c r="I104" s="76" t="str">
        <x:f>IF(AND(ISNUMBER(H104),ISNUMBER($D$55)),H104*$D$55,"")</x:f>
      </x:c>
      <x:c r="J104" s="82" t="str">
        <x:f>IF(D104="","",E104-E103)</x:f>
      </x:c>
      <x:c r="K104" s="82" t="str">
        <x:f>IF(D104="","",IF(OR(OR($G$40="flap",$G$40="four-stock"),$G$40="pons"),L104-L103,J104*(1+$G$42)))</x:f>
      </x:c>
      <x:c r="L104" s="88" t="str">
        <x:f>IF(D104="","",$J$41+IF($G$40="pons",($G$50/($G$48-MAX(0,(C104-$G$43)*$D$45))-$G$49)/(1-$G$42-$J$48),IF($G$40="four-stock",(E104-$G$49)/(1-$G$42),(E104-$G$49)*(1+$G$42))))</x:f>
      </x:c>
    </x:row>
    <x:row r="105" ht="20" customHeight="1">
      <x:c r="C105" s="73" t="n">
        <x:f>IF($G$40="pons",80%+32*0.5%,IF(80.5%+32*0.5%&lt;=100%,80.5%+32*0.5%,""))</x:f>
        <x:v>0.9600000000000001</x:v>
      </x:c>
      <x:c r="D105" s="76" t="str">
        <x: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x:f>
      </x:c>
      <x:c r="E105" s="82" t="str">
        <x:f>IF(D105="","",IF(ABS(C105-$G$43)&lt;0.000001,$G$49,$G$50/D105))</x:f>
      </x:c>
      <x:c r="F105" s="79" t="str">
        <x:f>IF(AND(ISNUMBER(D105),D105&gt;0,ISNUMBER(E105)),E105/D105,"")</x:f>
      </x:c>
      <x:c r="G105" s="79" t="str">
        <x:f>IF(AND(ISNUMBER(F105),ISNUMBER($D$55)),F105*$D$55,"")</x:f>
      </x:c>
      <x:c r="H105" s="82" t="str">
        <x:f>IF(ISNUMBER(F105),F105*$D$45,"")</x:f>
      </x:c>
      <x:c r="I105" s="76" t="str">
        <x:f>IF(AND(ISNUMBER(H105),ISNUMBER($D$55)),H105*$D$55,"")</x:f>
      </x:c>
      <x:c r="J105" s="82" t="str">
        <x:f>IF(D105="","",E105-E104)</x:f>
      </x:c>
      <x:c r="K105" s="82" t="str">
        <x:f>IF(D105="","",IF(OR(OR($G$40="flap",$G$40="four-stock"),$G$40="pons"),L105-L104,J105*(1+$G$42)))</x:f>
      </x:c>
      <x:c r="L105" s="88" t="str">
        <x:f>IF(D105="","",$J$41+IF($G$40="pons",($G$50/($G$48-MAX(0,(C105-$G$43)*$D$45))-$G$49)/(1-$G$42-$J$48),IF($G$40="four-stock",(E105-$G$49)/(1-$G$42),(E105-$G$49)*(1+$G$42))))</x:f>
      </x:c>
    </x:row>
    <x:row r="106" ht="20" customHeight="1">
      <x:c r="C106" s="73" t="n">
        <x:f>IF($G$40="pons",80%+33*0.5%,IF(80.5%+33*0.5%&lt;=100%,80.5%+33*0.5%,""))</x:f>
        <x:v>0.9650000000000001</x:v>
      </x:c>
      <x:c r="D106" s="76" t="str">
        <x: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x:f>
      </x:c>
      <x:c r="E106" s="82" t="str">
        <x:f>IF(D106="","",IF(ABS(C106-$G$43)&lt;0.000001,$G$49,$G$50/D106))</x:f>
      </x:c>
      <x:c r="F106" s="79" t="str">
        <x:f>IF(AND(ISNUMBER(D106),D106&gt;0,ISNUMBER(E106)),E106/D106,"")</x:f>
      </x:c>
      <x:c r="G106" s="79" t="str">
        <x:f>IF(AND(ISNUMBER(F106),ISNUMBER($D$55)),F106*$D$55,"")</x:f>
      </x:c>
      <x:c r="H106" s="82" t="str">
        <x:f>IF(ISNUMBER(F106),F106*$D$45,"")</x:f>
      </x:c>
      <x:c r="I106" s="76" t="str">
        <x:f>IF(AND(ISNUMBER(H106),ISNUMBER($D$55)),H106*$D$55,"")</x:f>
      </x:c>
      <x:c r="J106" s="82" t="str">
        <x:f>IF(D106="","",E106-E105)</x:f>
      </x:c>
      <x:c r="K106" s="82" t="str">
        <x:f>IF(D106="","",IF(OR(OR($G$40="flap",$G$40="four-stock"),$G$40="pons"),L106-L105,J106*(1+$G$42)))</x:f>
      </x:c>
      <x:c r="L106" s="88" t="str">
        <x:f>IF(D106="","",$J$41+IF($G$40="pons",($G$50/($G$48-MAX(0,(C106-$G$43)*$D$45))-$G$49)/(1-$G$42-$J$48),IF($G$40="four-stock",(E106-$G$49)/(1-$G$42),(E106-$G$49)*(1+$G$42))))</x:f>
      </x:c>
    </x:row>
    <x:row r="107" ht="20" customHeight="1">
      <x:c r="C107" s="73" t="n">
        <x:f>IF($G$40="pons",80%+34*0.5%,IF(80.5%+34*0.5%&lt;=100%,80.5%+34*0.5%,""))</x:f>
        <x:v>0.9700000000000001</x:v>
      </x:c>
      <x:c r="D107" s="76" t="str">
        <x: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x:f>
      </x:c>
      <x:c r="E107" s="82" t="str">
        <x:f>IF(D107="","",IF(ABS(C107-$G$43)&lt;0.000001,$G$49,$G$50/D107))</x:f>
      </x:c>
      <x:c r="F107" s="79" t="str">
        <x:f>IF(AND(ISNUMBER(D107),D107&gt;0,ISNUMBER(E107)),E107/D107,"")</x:f>
      </x:c>
      <x:c r="G107" s="79" t="str">
        <x:f>IF(AND(ISNUMBER(F107),ISNUMBER($D$55)),F107*$D$55,"")</x:f>
      </x:c>
      <x:c r="H107" s="82" t="str">
        <x:f>IF(ISNUMBER(F107),F107*$D$45,"")</x:f>
      </x:c>
      <x:c r="I107" s="76" t="str">
        <x:f>IF(AND(ISNUMBER(H107),ISNUMBER($D$55)),H107*$D$55,"")</x:f>
      </x:c>
      <x:c r="J107" s="82" t="str">
        <x:f>IF(D107="","",E107-E106)</x:f>
      </x:c>
      <x:c r="K107" s="82" t="str">
        <x:f>IF(D107="","",IF(OR(OR($G$40="flap",$G$40="four-stock"),$G$40="pons"),L107-L106,J107*(1+$G$42)))</x:f>
      </x:c>
      <x:c r="L107" s="88" t="str">
        <x:f>IF(D107="","",$J$41+IF($G$40="pons",($G$50/($G$48-MAX(0,(C107-$G$43)*$D$45))-$G$49)/(1-$G$42-$J$48),IF($G$40="four-stock",(E107-$G$49)/(1-$G$42),(E107-$G$49)*(1+$G$42))))</x:f>
      </x:c>
    </x:row>
    <x:row r="108" ht="20" customHeight="1">
      <x:c r="C108" s="73" t="n">
        <x:f>IF($G$40="pons",80%+35*0.5%,IF(80.5%+35*0.5%&lt;=100%,80.5%+35*0.5%,""))</x:f>
        <x:v>0.9750000000000001</x:v>
      </x:c>
      <x:c r="D108" s="76" t="str">
        <x: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x:f>
      </x:c>
      <x:c r="E108" s="82" t="str">
        <x:f>IF(D108="","",IF(ABS(C108-$G$43)&lt;0.000001,$G$49,$G$50/D108))</x:f>
      </x:c>
      <x:c r="F108" s="79" t="str">
        <x:f>IF(AND(ISNUMBER(D108),D108&gt;0,ISNUMBER(E108)),E108/D108,"")</x:f>
      </x:c>
      <x:c r="G108" s="79" t="str">
        <x:f>IF(AND(ISNUMBER(F108),ISNUMBER($D$55)),F108*$D$55,"")</x:f>
      </x:c>
      <x:c r="H108" s="82" t="str">
        <x:f>IF(ISNUMBER(F108),F108*$D$45,"")</x:f>
      </x:c>
      <x:c r="I108" s="76" t="str">
        <x:f>IF(AND(ISNUMBER(H108),ISNUMBER($D$55)),H108*$D$55,"")</x:f>
      </x:c>
      <x:c r="J108" s="82" t="str">
        <x:f>IF(D108="","",E108-E107)</x:f>
      </x:c>
      <x:c r="K108" s="82" t="str">
        <x:f>IF(D108="","",IF(OR(OR($G$40="flap",$G$40="four-stock"),$G$40="pons"),L108-L107,J108*(1+$G$42)))</x:f>
      </x:c>
      <x:c r="L108" s="88" t="str">
        <x:f>IF(D108="","",$J$41+IF($G$40="pons",($G$50/($G$48-MAX(0,(C108-$G$43)*$D$45))-$G$49)/(1-$G$42-$J$48),IF($G$40="four-stock",(E108-$G$49)/(1-$G$42),(E108-$G$49)*(1+$G$42))))</x:f>
      </x:c>
    </x:row>
    <x:row r="109" ht="20" customHeight="1">
      <x:c r="C109" s="73" t="n">
        <x:f>IF($G$40="pons",80%+36*0.5%,IF(80.5%+36*0.5%&lt;=100%,80.5%+36*0.5%,""))</x:f>
        <x:v>0.98</x:v>
      </x:c>
      <x:c r="D109" s="76" t="str">
        <x: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x:f>
      </x:c>
      <x:c r="E109" s="82" t="str">
        <x:f>IF(D109="","",IF(ABS(C109-$G$43)&lt;0.000001,$G$49,$G$50/D109))</x:f>
      </x:c>
      <x:c r="F109" s="79" t="str">
        <x:f>IF(AND(ISNUMBER(D109),D109&gt;0,ISNUMBER(E109)),E109/D109,"")</x:f>
      </x:c>
      <x:c r="G109" s="79" t="str">
        <x:f>IF(AND(ISNUMBER(F109),ISNUMBER($D$55)),F109*$D$55,"")</x:f>
      </x:c>
      <x:c r="H109" s="82" t="str">
        <x:f>IF(ISNUMBER(F109),F109*$D$45,"")</x:f>
      </x:c>
      <x:c r="I109" s="76" t="str">
        <x:f>IF(AND(ISNUMBER(H109),ISNUMBER($D$55)),H109*$D$55,"")</x:f>
      </x:c>
      <x:c r="J109" s="82" t="str">
        <x:f>IF(D109="","",E109-E108)</x:f>
      </x:c>
      <x:c r="K109" s="82" t="str">
        <x:f>IF(D109="","",IF(OR(OR($G$40="flap",$G$40="four-stock"),$G$40="pons"),L109-L108,J109*(1+$G$42)))</x:f>
      </x:c>
      <x:c r="L109" s="88" t="str">
        <x:f>IF(D109="","",$J$41+IF($G$40="pons",($G$50/($G$48-MAX(0,(C109-$G$43)*$D$45))-$G$49)/(1-$G$42-$J$48),IF($G$40="four-stock",(E109-$G$49)/(1-$G$42),(E109-$G$49)*(1+$G$42))))</x:f>
      </x:c>
    </x:row>
    <x:row r="110" ht="20" customHeight="1">
      <x:c r="C110" s="73" t="n">
        <x:f>IF($G$40="pons",80%+37*0.5%,IF(80.5%+37*0.5%&lt;=100%,80.5%+37*0.5%,""))</x:f>
        <x:v>0.9850000000000001</x:v>
      </x:c>
      <x:c r="D110" s="76" t="str">
        <x: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x:f>
      </x:c>
      <x:c r="E110" s="82" t="str">
        <x:f>IF(D110="","",IF(ABS(C110-$G$43)&lt;0.000001,$G$49,$G$50/D110))</x:f>
      </x:c>
      <x:c r="F110" s="79" t="str">
        <x:f>IF(AND(ISNUMBER(D110),D110&gt;0,ISNUMBER(E110)),E110/D110,"")</x:f>
      </x:c>
      <x:c r="G110" s="79" t="str">
        <x:f>IF(AND(ISNUMBER(F110),ISNUMBER($D$55)),F110*$D$55,"")</x:f>
      </x:c>
      <x:c r="H110" s="82" t="str">
        <x:f>IF(ISNUMBER(F110),F110*$D$45,"")</x:f>
      </x:c>
      <x:c r="I110" s="76" t="str">
        <x:f>IF(AND(ISNUMBER(H110),ISNUMBER($D$55)),H110*$D$55,"")</x:f>
      </x:c>
      <x:c r="J110" s="82" t="str">
        <x:f>IF(D110="","",E110-E109)</x:f>
      </x:c>
      <x:c r="K110" s="82" t="str">
        <x:f>IF(D110="","",IF(OR(OR($G$40="flap",$G$40="four-stock"),$G$40="pons"),L110-L109,J110*(1+$G$42)))</x:f>
      </x:c>
      <x:c r="L110" s="88" t="str">
        <x:f>IF(D110="","",$J$41+IF($G$40="pons",($G$50/($G$48-MAX(0,(C110-$G$43)*$D$45))-$G$49)/(1-$G$42-$J$48),IF($G$40="four-stock",(E110-$G$49)/(1-$G$42),(E110-$G$49)*(1+$G$42))))</x:f>
      </x:c>
    </x:row>
    <x:row r="111" ht="20" customHeight="1">
      <x:c r="C111" s="73" t="n">
        <x:f>IF($G$40="pons",80%+38*0.5%,IF(80.5%+38*0.5%&lt;=100%,80.5%+38*0.5%,""))</x:f>
        <x:v>0.99</x:v>
      </x:c>
      <x:c r="D111" s="76" t="str">
        <x: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x:f>
      </x:c>
      <x:c r="E111" s="82" t="str">
        <x:f>IF(D111="","",IF(ABS(C111-$G$43)&lt;0.000001,$G$49,$G$50/D111))</x:f>
      </x:c>
      <x:c r="F111" s="79" t="str">
        <x:f>IF(AND(ISNUMBER(D111),D111&gt;0,ISNUMBER(E111)),E111/D111,"")</x:f>
      </x:c>
      <x:c r="G111" s="79" t="str">
        <x:f>IF(AND(ISNUMBER(F111),ISNUMBER($D$55)),F111*$D$55,"")</x:f>
      </x:c>
      <x:c r="H111" s="82" t="str">
        <x:f>IF(ISNUMBER(F111),F111*$D$45,"")</x:f>
      </x:c>
      <x:c r="I111" s="76" t="str">
        <x:f>IF(AND(ISNUMBER(H111),ISNUMBER($D$55)),H111*$D$55,"")</x:f>
      </x:c>
      <x:c r="J111" s="82" t="str">
        <x:f>IF(D111="","",E111-E110)</x:f>
      </x:c>
      <x:c r="K111" s="82" t="str">
        <x:f>IF(D111="","",IF(OR(OR($G$40="flap",$G$40="four-stock"),$G$40="pons"),L111-L110,J111*(1+$G$42)))</x:f>
      </x:c>
      <x:c r="L111" s="88" t="str">
        <x:f>IF(D111="","",$J$41+IF($G$40="pons",($G$50/($G$48-MAX(0,(C111-$G$43)*$D$45))-$G$49)/(1-$G$42-$J$48),IF($G$40="four-stock",(E111-$G$49)/(1-$G$42),(E111-$G$49)*(1+$G$42))))</x:f>
      </x:c>
    </x:row>
    <x:row r="112" ht="20" customHeight="1">
      <x:c r="C112" s="73" t="n">
        <x:f>IF($G$40="pons",80%+39*0.5%,IF(80.5%+39*0.5%&lt;=100%,80.5%+39*0.5%,""))</x:f>
        <x:v>0.9950000000000001</x:v>
      </x:c>
      <x:c r="D112" s="76" t="str">
        <x: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x:f>
      </x:c>
      <x:c r="E112" s="82" t="str">
        <x:f>IF(D112="","",IF(ABS(C112-$G$43)&lt;0.000001,$G$49,$G$50/D112))</x:f>
      </x:c>
      <x:c r="F112" s="79" t="str">
        <x:f>IF(AND(ISNUMBER(D112),D112&gt;0,ISNUMBER(E112)),E112/D112,"")</x:f>
      </x:c>
      <x:c r="G112" s="79" t="str">
        <x:f>IF(AND(ISNUMBER(F112),ISNUMBER($D$55)),F112*$D$55,"")</x:f>
      </x:c>
      <x:c r="H112" s="82" t="str">
        <x:f>IF(ISNUMBER(F112),F112*$D$45,"")</x:f>
      </x:c>
      <x:c r="I112" s="76" t="str">
        <x:f>IF(AND(ISNUMBER(H112),ISNUMBER($D$55)),H112*$D$55,"")</x:f>
      </x:c>
      <x:c r="J112" s="82" t="str">
        <x:f>IF(D112="","",E112-E111)</x:f>
      </x:c>
      <x:c r="K112" s="82" t="str">
        <x:f>IF(D112="","",IF(OR(OR($G$40="flap",$G$40="four-stock"),$G$40="pons"),L112-L111,J112*(1+$G$42)))</x:f>
      </x:c>
      <x:c r="L112" s="88" t="str">
        <x:f>IF(D112="","",$J$41+IF($G$40="pons",($G$50/($G$48-MAX(0,(C112-$G$43)*$D$45))-$G$49)/(1-$G$42-$J$48),IF($G$40="four-stock",(E112-$G$49)/(1-$G$42),(E112-$G$49)*(1+$G$42))))</x:f>
      </x:c>
    </x:row>
    <x:row r="113" ht="20" customHeight="1">
      <x:c r="C113" s="74" t="n">
        <x:f>IF($G$40="pons",80%+40*0.5%,IF(80.5%+40*0.5%&lt;=100%,80.5%+40*0.5%,""))</x:f>
        <x:v>1</x:v>
      </x:c>
      <x:c r="D113" s="77" t="str">
        <x: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x:f>
      </x:c>
      <x:c r="E113" s="83" t="str">
        <x:f>IF(D113="","",IF(ABS(C113-$G$43)&lt;0.000001,$G$49,$G$50/D113))</x:f>
      </x:c>
      <x:c r="F113" s="80" t="str">
        <x:f>IF(AND(ISNUMBER(D113),D113&gt;0,ISNUMBER(E113)),E113/D113,"")</x:f>
      </x:c>
      <x:c r="G113" s="80" t="str">
        <x:f>IF(AND(ISNUMBER(F113),ISNUMBER($D$55)),F113*$D$55,"")</x:f>
      </x:c>
      <x:c r="H113" s="83" t="str">
        <x:f>IF(ISNUMBER(F113),F113*$D$45,"")</x:f>
      </x:c>
      <x:c r="I113" s="77" t="str">
        <x:f>IF(AND(ISNUMBER(H113),ISNUMBER($D$55)),H113*$D$55,"")</x:f>
      </x:c>
      <x:c r="J113" s="83" t="str">
        <x:f>IF(D113="","",E113-E112)</x:f>
      </x:c>
      <x:c r="K113" s="83" t="str">
        <x:f>IF(D113="","",IF(OR(OR($G$40="flap",$G$40="four-stock"),$G$40="pons"),L113-L112,J113*(1+$G$42)))</x:f>
      </x:c>
      <x:c r="L113" s="89" t="str">
        <x:f>IF(D113="","",$J$41+IF($G$40="pons",($G$50/($G$48-MAX(0,(C113-$G$43)*$D$45))-$G$49)/(1-$G$42-$J$48),IF($G$40="four-stock",(E113-$G$49)/(1-$G$42),(E113-$G$49)*(1+$G$42))))</x:f>
      </x:c>
    </x:row>
    <x:row r="114" ht="6" customHeight="1"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 ht="6" customHeight="1"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 ht="24" customHeight="1">
      <x:c r="C116" s="14" t="str">
        <x:v>外盘回落参考</x:v>
      </x:c>
      <x:c r="D116" s="14"/>
      <x:c r="E116" s="14"/>
      <x:c r="F116" s="14"/>
      <x:c r="G116" s="14"/>
      <x:c r="H116" s="14"/>
      <x:c r="I116" s="14"/>
      <x:c r="J116" s="14"/>
      <x:c r="K116" s="14"/>
      <x:c r="L116" s="14"/>
    </x:row>
    <x:row r="117" ht="32" customHeight="1">
      <x:c r="C117" s="68" t="str">
        <x:v>控筹率</x:v>
      </x:c>
      <x:c r="D117" s="68" t="str">
        <x:v>Pool TOKEN</x:v>
      </x:c>
      <x:c r="E117" s="68" t="str">
        <x:v>Pool Quote</x:v>
      </x:c>
      <x:c r="F117" s="68" t="str">
        <x:v>价格 / Quote</x:v>
      </x:c>
      <x:c r="G117" s="68" t="str">
        <x:v>价格 / USDT</x:v>
      </x:c>
      <x:c r="H117" s="68" t="str">
        <x:v>市值 / Quote</x:v>
      </x:c>
      <x:c r="I117" s="68" t="str">
        <x:v>市值 / USDT</x:v>
      </x:c>
      <x:c r="J117" s="68" t="str">
        <x:v>所需 Quote</x:v>
      </x:c>
      <x:c r="K117" s="68" t="str">
        <x:v>含费所需 Quote</x:v>
      </x:c>
      <x:c r="L117" s="68" t="str">
        <x:v>理论累计 Quote</x:v>
      </x:c>
    </x:row>
    <x:row r="118" ht="20" customHeight="1">
      <x:c r="C118" s="72" t="n">
        <x:f>IF($G$40="pons",$G$43,80%)</x:f>
        <x:v>0.7142857142857143</x:v>
      </x:c>
      <x:c r="D118" s="75" t="n">
        <x:f>IF($G$40="four-stock",$G$48+($G$43-C118)*$D$45*(1-$J$47),IF($G$40="pons",$D$45*(1-C118)-$G$51,IF(ABS(C118-$G$43)&lt;0.000001,$G$48,$D$45*(1-C118))))</x:f>
        <x:v>204081632.65306118</x:v>
      </x:c>
      <x:c r="E118" s="81" t="n">
        <x:f>IF($G$40="four-stock",$G$49-$G$49*(($G$43-C118)*$D$45*(1-$J$47)*(1-$G$42))/($G$48+(($G$43-C118)*$D$45*(1-$J$47)*(1-$G$42))),IF(ABS(C118-$G$43)&lt;0.000001,$G$49,$G$50/D118))</x:f>
        <x:v>8090</x:v>
      </x:c>
      <x:c r="F118" s="78" t="n">
        <x:f>IF(AND(ISNUMBER(D118),D118&gt;0,ISNUMBER(E118)),E118/D118,"")</x:f>
        <x:v>0.00003964100000000001</x:v>
      </x:c>
      <x:c r="G118" s="78" t="n">
        <x:f>IF(AND(ISNUMBER(F118),ISNUMBER($D$55)),F118*$D$55,"")</x:f>
        <x:v>0.00003965023850557181</x:v>
      </x:c>
      <x:c r="H118" s="81" t="n">
        <x:f>IF(ISNUMBER(F118),F118*$D$45,"")</x:f>
        <x:v>39641.00000000001</x:v>
      </x:c>
      <x:c r="I118" s="75" t="n">
        <x:f>IF(AND(ISNUMBER(H118),ISNUMBER($D$55)),H118*$D$55,"")</x:f>
        <x:v>39650.238505571804</x:v>
      </x:c>
      <x:c r="J118" s="72" t="n">
        <x:f>IF(H$118&gt;0,1-H118/H$118,"")</x:f>
        <x:v>0</x:v>
      </x:c>
      <x:c r="K118" s="81" t="str"/>
      <x:c r="L118" s="81" t="str"/>
    </x:row>
    <x:row r="119" ht="20" customHeight="1">
      <x:c r="C119" s="73" t="n">
        <x:f>0.7</x:f>
        <x:v>0.7</x:v>
      </x:c>
      <x:c r="D119" s="76" t="n">
        <x:f>IF($G$40="four-stock",$G$48+($G$43-C119)*$D$45*(1-$J$47),IF($G$40="pons",$D$45*(1-C119)-$G$51,IF(ABS(C119-$G$43)&lt;0.000001,$G$48,$D$45*(1-C119))))</x:f>
        <x:v>218367346.93877557</x:v>
      </x:c>
      <x:c r="E119" s="82" t="n">
        <x:f>IF($G$40="four-stock",$G$49-$G$49*(($G$43-C119)*$D$45*(1-$J$47)*(1-$G$42))/($G$48+(($G$43-C119)*$D$45*(1-$J$47)*(1-$G$42))),IF(ABS(C119-$G$43)&lt;0.000001,$G$49,$G$50/D119))</x:f>
        <x:v>7560.7476635514</x:v>
      </x:c>
      <x:c r="F119" s="79" t="n">
        <x:f>IF(AND(ISNUMBER(D119),D119&gt;0,ISNUMBER(E119)),E119/D119,"")</x:f>
        <x:v>0.000034623984627478364</x:v>
      </x:c>
      <x:c r="G119" s="79" t="n">
        <x:f>IF(AND(ISNUMBER(F119),ISNUMBER($D$55)),F119*$D$55,"")</x:f>
        <x:v>0.000034632053896036136</x:v>
      </x:c>
      <x:c r="H119" s="82" t="n">
        <x:f>IF(ISNUMBER(F119),F119*$D$45,"")</x:f>
        <x:v>34623.98462747836</x:v>
      </x:c>
      <x:c r="I119" s="76" t="n">
        <x:f>IF(AND(ISNUMBER(H119),ISNUMBER($D$55)),H119*$D$55,"")</x:f>
        <x:v>34632.05389603614</x:v>
      </x:c>
      <x:c r="J119" s="73" t="n">
        <x:f>IF(H$118&gt;0,1-H119/H$118,"")</x:f>
        <x:v>0.126561271726789</x:v>
      </x:c>
      <x:c r="K119" s="82" t="str"/>
      <x:c r="L119" s="82" t="str"/>
    </x:row>
    <x:row r="120" ht="20" customHeight="1">
      <x:c r="C120" s="73" t="n">
        <x:f>0.6</x:f>
        <x:v>0.6</x:v>
      </x:c>
      <x:c r="D120" s="76" t="n">
        <x:f>IF($G$40="four-stock",$G$48+($G$43-C120)*$D$45*(1-$J$47),IF($G$40="pons",$D$45*(1-C120)-$G$51,IF(ABS(C120-$G$43)&lt;0.000001,$G$48,$D$45*(1-C120))))</x:f>
        <x:v>318367346.93877554</x:v>
      </x:c>
      <x:c r="E120" s="82" t="n">
        <x:f>IF($G$40="four-stock",$G$49-$G$49*(($G$43-C120)*$D$45*(1-$J$47)*(1-$G$42))/($G$48+(($G$43-C120)*$D$45*(1-$J$47)*(1-$G$42))),IF(ABS(C120-$G$43)&lt;0.000001,$G$49,$G$50/D120))</x:f>
        <x:v>5185.897435897436</x:v>
      </x:c>
      <x:c r="F120" s="79" t="n">
        <x:f>IF(AND(ISNUMBER(D120),D120&gt;0,ISNUMBER(E120)),E120/D120,"")</x:f>
        <x:v>0.00001628903681788297</x:v>
      </x:c>
      <x:c r="G120" s="79" t="n">
        <x:f>IF(AND(ISNUMBER(F120),ISNUMBER($D$55)),F120*$D$55,"")</x:f>
        <x:v>0.00001629283304798315</x:v>
      </x:c>
      <x:c r="H120" s="82" t="n">
        <x:f>IF(ISNUMBER(F120),F120*$D$45,"")</x:f>
        <x:v>16289.03681788297</x:v>
      </x:c>
      <x:c r="I120" s="76" t="n">
        <x:f>IF(AND(ISNUMBER(H120),ISNUMBER($D$55)),H120*$D$55,"")</x:f>
        <x:v>16292.83304798315</x:v>
      </x:c>
      <x:c r="J120" s="73" t="n">
        <x:f>IF(H$118&gt;0,1-H120/H$118,"")</x:f>
        <x:v>0.5890861275476661</x:v>
      </x:c>
      <x:c r="K120" s="82" t="str"/>
      <x:c r="L120" s="82" t="str"/>
    </x:row>
    <x:row r="121" ht="20" customHeight="1">
      <x:c r="C121" s="73" t="n">
        <x:f>0.5</x:f>
        <x:v>0.5</x:v>
      </x:c>
      <x:c r="D121" s="76" t="n">
        <x:f>IF($G$40="four-stock",$G$48+($G$43-C121)*$D$45*(1-$J$47),IF($G$40="pons",$D$45*(1-C121)-$G$51,IF(ABS(C121-$G$43)&lt;0.000001,$G$48,$D$45*(1-C121))))</x:f>
        <x:v>418367346.93877554</x:v>
      </x:c>
      <x:c r="E121" s="82" t="n">
        <x:f>IF($G$40="four-stock",$G$49-$G$49*(($G$43-C121)*$D$45*(1-$J$47)*(1-$G$42))/($G$48+(($G$43-C121)*$D$45*(1-$J$47)*(1-$G$42))),IF(ABS(C121-$G$43)&lt;0.000001,$G$49,$G$50/D121))</x:f>
        <x:v>3946.341463414634</x:v>
      </x:c>
      <x:c r="F121" s="79" t="n">
        <x:f>IF(AND(ISNUMBER(D121),D121&gt;0,ISNUMBER(E121)),E121/D121,"")</x:f>
        <x:v>0.000009432718619869124</x:v>
      </x:c>
      <x:c r="G121" s="79" t="n">
        <x:f>IF(AND(ISNUMBER(F121),ISNUMBER($D$55)),F121*$D$55,"")</x:f>
        <x:v>0.000009434916955519759</x:v>
      </x:c>
      <x:c r="H121" s="82" t="n">
        <x:f>IF(ISNUMBER(F121),F121*$D$45,"")</x:f>
        <x:v>9432.718619869123</x:v>
      </x:c>
      <x:c r="I121" s="76" t="n">
        <x:f>IF(AND(ISNUMBER(H121),ISNUMBER($D$55)),H121*$D$55,"")</x:f>
        <x:v>9434.916955519759</x:v>
      </x:c>
      <x:c r="J121" s="73" t="n">
        <x:f>IF(H$118&gt;0,1-H121/H$118,"")</x:f>
        <x:v>0.7620464009518145</x:v>
      </x:c>
      <x:c r="K121" s="82" t="str"/>
      <x:c r="L121" s="82" t="str"/>
    </x:row>
    <x:row r="122" ht="20" customHeight="1">
      <x:c r="C122" s="73" t="n">
        <x:f>0.4</x:f>
        <x:v>0.4</x:v>
      </x:c>
      <x:c r="D122" s="76" t="n">
        <x:f>IF($G$40="four-stock",$G$48+($G$43-C122)*$D$45*(1-$J$47),IF($G$40="pons",$D$45*(1-C122)-$G$51,IF(ABS(C122-$G$43)&lt;0.000001,$G$48,$D$45*(1-C122))))</x:f>
        <x:v>518367346.93877554</x:v>
      </x:c>
      <x:c r="E122" s="82" t="n">
        <x:f>IF($G$40="four-stock",$G$49-$G$49*(($G$43-C122)*$D$45*(1-$J$47)*(1-$G$42))/($G$48+(($G$43-C122)*$D$45*(1-$J$47)*(1-$G$42))),IF(ABS(C122-$G$43)&lt;0.000001,$G$49,$G$50/D122))</x:f>
        <x:v>3185.03937007874</x:v>
      </x:c>
      <x:c r="F122" s="79" t="n">
        <x:f>IF(AND(ISNUMBER(D122),D122&gt;0,ISNUMBER(E122)),E122/D122,"")</x:f>
        <x:v>0.0000061443672887345765</x:v>
      </x:c>
      <x:c r="G122" s="79" t="n">
        <x:f>IF(AND(ISNUMBER(F122),ISNUMBER($D$55)),F122*$D$55,"")</x:f>
        <x:v>0.000006145799259962147</x:v>
      </x:c>
      <x:c r="H122" s="82" t="n">
        <x:f>IF(ISNUMBER(F122),F122*$D$45,"")</x:f>
        <x:v>6144.3672887345765</x:v>
      </x:c>
      <x:c r="I122" s="76" t="n">
        <x:f>IF(AND(ISNUMBER(H122),ISNUMBER($D$55)),H122*$D$55,"")</x:f>
        <x:v>6145.7992599621475</x:v>
      </x:c>
      <x:c r="J122" s="73" t="n">
        <x:f>IF(H$118&gt;0,1-H122/H$118,"")</x:f>
        <x:v>0.84499968999938</x:v>
      </x:c>
      <x:c r="K122" s="82" t="str"/>
      <x:c r="L122" s="82" t="str"/>
    </x:row>
    <x:row r="123" ht="20" customHeight="1">
      <x:c r="C123" s="73" t="n">
        <x:f>0.3</x:f>
        <x:v>0.3</x:v>
      </x:c>
      <x:c r="D123" s="76" t="n">
        <x:f>IF($G$40="four-stock",$G$48+($G$43-C123)*$D$45*(1-$J$47),IF($G$40="pons",$D$45*(1-C123)-$G$51,IF(ABS(C123-$G$43)&lt;0.000001,$G$48,$D$45*(1-C123))))</x:f>
        <x:v>618367346.9387755</x:v>
      </x:c>
      <x:c r="E123" s="82" t="n">
        <x:f>IF($G$40="four-stock",$G$49-$G$49*(($G$43-C123)*$D$45*(1-$J$47)*(1-$G$42))/($G$48+(($G$43-C123)*$D$45*(1-$J$47)*(1-$G$42))),IF(ABS(C123-$G$43)&lt;0.000001,$G$49,$G$50/D123))</x:f>
        <x:v>2669.96699669967</x:v>
      </x:c>
      <x:c r="F123" s="79" t="n">
        <x:f>IF(AND(ISNUMBER(D123),D123&gt;0,ISNUMBER(E123)),E123/D123,"")</x:f>
        <x:v>0.0000043177684105044165</x:v>
      </x:c>
      <x:c r="G123" s="79" t="n">
        <x:f>IF(AND(ISNUMBER(F123),ISNUMBER($D$55)),F123*$D$55,"")</x:f>
        <x:v>0.000004318774685006023</x:v>
      </x:c>
      <x:c r="H123" s="82" t="n">
        <x:f>IF(ISNUMBER(F123),F123*$D$45,"")</x:f>
        <x:v>4317.768410504416</x:v>
      </x:c>
      <x:c r="I123" s="76" t="n">
        <x:f>IF(AND(ISNUMBER(H123),ISNUMBER($D$55)),H123*$D$55,"")</x:f>
        <x:v>4318.774685006022</x:v>
      </x:c>
      <x:c r="J123" s="73" t="n">
        <x:f>IF(H$118&gt;0,1-H123/H$118,"")</x:f>
        <x:v>0.8910782167325644</x:v>
      </x:c>
      <x:c r="K123" s="82" t="str"/>
      <x:c r="L123" s="82" t="str"/>
    </x:row>
    <x:row r="124" ht="20" customHeight="1">
      <x:c r="C124" s="73" t="n">
        <x:f>0.2</x:f>
        <x:v>0.2</x:v>
      </x:c>
      <x:c r="D124" s="76" t="n">
        <x:f>IF($G$40="four-stock",$G$48+($G$43-C124)*$D$45*(1-$J$47),IF($G$40="pons",$D$45*(1-C124)-$G$51,IF(ABS(C124-$G$43)&lt;0.000001,$G$48,$D$45*(1-C124))))</x:f>
        <x:v>718367346.9387755</x:v>
      </x:c>
      <x:c r="E124" s="82" t="n">
        <x:f>IF($G$40="four-stock",$G$49-$G$49*(($G$43-C124)*$D$45*(1-$J$47)*(1-$G$42))/($G$48+(($G$43-C124)*$D$45*(1-$J$47)*(1-$G$42))),IF(ABS(C124-$G$43)&lt;0.000001,$G$49,$G$50/D124))</x:f>
        <x:v>2298.2954545454545</x:v>
      </x:c>
      <x:c r="F124" s="79" t="n">
        <x:f>IF(AND(ISNUMBER(D124),D124&gt;0,ISNUMBER(E124)),E124/D124,"")</x:f>
        <x:v>0.000003199331740702479</x:v>
      </x:c>
      <x:c r="G124" s="79" t="n">
        <x:f>IF(AND(ISNUMBER(F124),ISNUMBER($D$55)),F124*$D$55,"")</x:f>
        <x:v>0.0000032000773587270625</x:v>
      </x:c>
      <x:c r="H124" s="82" t="n">
        <x:f>IF(ISNUMBER(F124),F124*$D$45,"")</x:f>
        <x:v>3199.3317407024792</x:v>
      </x:c>
      <x:c r="I124" s="76" t="n">
        <x:f>IF(AND(ISNUMBER(H124),ISNUMBER($D$55)),H124*$D$55,"")</x:f>
        <x:v>3200.0773587270623</x:v>
      </x:c>
      <x:c r="J124" s="73" t="n">
        <x:f>IF(H$118&gt;0,1-H124/H$118,"")</x:f>
        <x:v>0.9192923553719008</x:v>
      </x:c>
      <x:c r="K124" s="82" t="str"/>
      <x:c r="L124" s="82" t="str"/>
    </x:row>
    <x:row r="125" ht="20" customHeight="1">
      <x:c r="C125" s="73" t="n">
        <x:f>0.1</x:f>
        <x:v>0.1</x:v>
      </x:c>
      <x:c r="D125" s="76" t="n">
        <x:f>IF($G$40="four-stock",$G$48+($G$43-C125)*$D$45*(1-$J$47),IF($G$40="pons",$D$45*(1-C125)-$G$51,IF(ABS(C125-$G$43)&lt;0.000001,$G$48,$D$45*(1-C125))))</x:f>
        <x:v>818367346.9387755</x:v>
      </x:c>
      <x:c r="E125" s="82" t="n">
        <x:f>IF($G$40="four-stock",$G$49-$G$49*(($G$43-C125)*$D$45*(1-$J$47)*(1-$G$42))/($G$48+(($G$43-C125)*$D$45*(1-$J$47)*(1-$G$42))),IF(ABS(C125-$G$43)&lt;0.000001,$G$49,$G$50/D125))</x:f>
        <x:v>2017.4563591022445</x:v>
      </x:c>
      <x:c r="F125" s="79" t="n">
        <x:f>IF(AND(ISNUMBER(D125),D125&gt;0,ISNUMBER(E125)),E125/D125,"")</x:f>
        <x:v>0.00000246522098743167</x:v>
      </x:c>
      <x:c r="G125" s="79" t="n">
        <x:f>IF(AND(ISNUMBER(F125),ISNUMBER($D$55)),F125*$D$55,"")</x:f>
        <x:v>0.0000024657955177873145</x:v>
      </x:c>
      <x:c r="H125" s="82" t="n">
        <x:f>IF(ISNUMBER(F125),F125*$D$45,"")</x:f>
        <x:v>2465.22098743167</x:v>
      </x:c>
      <x:c r="I125" s="76" t="n">
        <x:f>IF(AND(ISNUMBER(H125),ISNUMBER($D$55)),H125*$D$55,"")</x:f>
        <x:v>2465.795517787314</x:v>
      </x:c>
      <x:c r="J125" s="73" t="n">
        <x:f>IF(H$118&gt;0,1-H125/H$118,"")</x:f>
        <x:v>0.9378113320190795</x:v>
      </x:c>
      <x:c r="K125" s="82" t="str"/>
      <x:c r="L125" s="82" t="str"/>
    </x:row>
    <x:row r="126" ht="20" customHeight="1">
      <x:c r="C126" s="74" t="n">
        <x:f>0</x:f>
        <x:v>0</x:v>
      </x:c>
      <x:c r="D126" s="77" t="n">
        <x:f>IF($G$40="four-stock",$G$48+($G$43-C126)*$D$45*(1-$J$47),IF($G$40="pons",$D$45*(1-C126)-$G$51,IF(ABS(C126-$G$43)&lt;0.000001,$G$48,$D$45*(1-C126))))</x:f>
        <x:v>918367346.9387755</x:v>
      </x:c>
      <x:c r="E126" s="83" t="n">
        <x:f>IF($G$40="four-stock",$G$49-$G$49*(($G$43-C126)*$D$45*(1-$J$47)*(1-$G$42))/($G$48+(($G$43-C126)*$D$45*(1-$J$47)*(1-$G$42))),IF(ABS(C126-$G$43)&lt;0.000001,$G$49,$G$50/D126))</x:f>
        <x:v>1797.7777777777778</x:v>
      </x:c>
      <x:c r="F126" s="80" t="n">
        <x:f>IF(AND(ISNUMBER(D126),D126&gt;0,ISNUMBER(E126)),E126/D126,"")</x:f>
        <x:v>0.0000019575802469135803</x:v>
      </x:c>
      <x:c r="G126" s="80" t="n">
        <x:f>IF(AND(ISNUMBER(F126),ISNUMBER($D$55)),F126*$D$55,"")</x:f>
        <x:v>0.000001958036469410953</x:v>
      </x:c>
      <x:c r="H126" s="83" t="n">
        <x:f>IF(ISNUMBER(F126),F126*$D$45,"")</x:f>
        <x:v>1957.5802469135804</x:v>
      </x:c>
      <x:c r="I126" s="77" t="n">
        <x:f>IF(AND(ISNUMBER(H126),ISNUMBER($D$55)),H126*$D$55,"")</x:f>
        <x:v>1958.036469410953</x:v>
      </x:c>
      <x:c r="J126" s="74" t="n">
        <x:f>IF(H$118&gt;0,1-H126/H$118,"")</x:f>
        <x:v>0.9506172839506173</x:v>
      </x:c>
      <x:c r="K126" s="83" t="str"/>
      <x:c r="L126" s="83" t="str">
        <x:v>沉没成本参考</x:v>
      </x:c>
    </x:row>
    <x:row r="127" ht="6" customHeight="1"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 ht="20" customHeight="1"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 ht="20" customHeight="1"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 ht="20" customHeight="1"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  <x:row r="131" ht="20" customHeight="1"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</x:row>
    <x:row r="132" ht="20" customHeight="1"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</x:row>
    <x:row r="133" ht="20" customHeight="1"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</x:row>
    <x:row r="134" ht="20" customHeight="1"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</x:row>
    <x:row r="135" ht="20" customHeight="1"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</x:row>
    <x:row r="136" ht="20" customHeight="1"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</x:row>
    <x:row r="137" ht="20" customHeight="1"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</x:row>
    <x:row r="138" ht="20" customHeight="1"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</x:row>
    <x:row r="139" ht="20" customHeight="1"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</x:row>
    <x:row r="140" ht="20" customHeight="1"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</x:row>
    <x:row r="141" ht="20" customHeight="1"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</x:row>
    <x:row r="142" ht="20" customHeight="1"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</x:row>
    <x:row r="143" ht="20" customHeight="1"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</x:row>
    <x:row r="144" ht="20" customHeight="1"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</x:row>
    <x:row r="145" ht="20" customHeight="1"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</x:row>
    <x:row r="146" ht="20" customHeight="1"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</x:row>
    <x:row r="147" ht="20" customHeight="1"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</x:row>
    <x:row r="148" ht="20" customHeight="1"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</x:row>
    <x:row r="149" ht="20" customHeight="1"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</x:row>
    <x:row r="150" ht="20" customHeight="1"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</x:row>
  </x:sheetData>
  <x:mergeCells>
    <x:mergeCell ref="C2:L2"/>
    <x:mergeCell ref="C3:L3"/>
    <x:mergeCell ref="C13:L13"/>
    <x:mergeCell ref="C36:L36"/>
    <x:mergeCell ref="C37:F37"/>
    <x:mergeCell ref="C39:L39"/>
    <x:mergeCell ref="D7:E7"/>
  </x:mergeCells>
  <x:conditionalFormatting sqref="D18:D18">
    <x:cfRule type="expression" dxfId="0" priority="1">
      <x:formula>$E$18&lt;&gt;$H$18</x:formula>
    </x:cfRule>
    <x:cfRule type="expression" dxfId="1" priority="2">
      <x:formula>$E$18=$H$18</x:formula>
    </x:cfRule>
  </x:conditionalFormatting>
  <x:conditionalFormatting sqref="D22:D26">
    <x:cfRule type="expression" dxfId="2" priority="3">
      <x:formula>$E$18&lt;&gt;$H$18</x:formula>
    </x:cfRule>
    <x:cfRule type="expression" dxfId="3" priority="4">
      <x:formula>$E$18=$H$18</x:formula>
    </x:cfRule>
  </x:conditionalFormatting>
  <x:conditionalFormatting sqref="G37:G37">
    <x:cfRule type="expression" dxfId="4" priority="5">
      <x:formula>$E$18&lt;&gt;$H$18</x:formula>
    </x:cfRule>
    <x:cfRule type="expression" dxfId="5" priority="6">
      <x:formula>$E$18=$H$18</x:formula>
    </x:cfRule>
  </x:conditionalFormatting>
  <x:conditionalFormatting sqref="E59:E67">
    <x:cfRule type="expression" dxfId="6" priority="7">
      <x:formula>$E$18&lt;&gt;$H$18</x:formula>
    </x:cfRule>
    <x:cfRule type="expression" dxfId="7" priority="8">
      <x:formula>$E$18=$H$18</x:formula>
    </x:cfRule>
  </x:conditionalFormatting>
  <x:conditionalFormatting sqref="H59:H67">
    <x:cfRule type="expression" dxfId="8" priority="9">
      <x:formula>$E$18&lt;&gt;$H$18</x:formula>
    </x:cfRule>
    <x:cfRule type="expression" dxfId="9" priority="10">
      <x:formula>$E$18=$H$18</x:formula>
    </x:cfRule>
  </x:conditionalFormatting>
  <x:conditionalFormatting sqref="J59:J67">
    <x:cfRule type="expression" dxfId="10" priority="11">
      <x:formula>$E$18&lt;&gt;$H$18</x:formula>
    </x:cfRule>
    <x:cfRule type="expression" dxfId="11" priority="12">
      <x:formula>$E$18=$H$18</x:formula>
    </x:cfRule>
  </x:conditionalFormatting>
  <x:conditionalFormatting sqref="K59:K67">
    <x:cfRule type="expression" dxfId="12" priority="13">
      <x:formula>$E$18&lt;&gt;$H$18</x:formula>
    </x:cfRule>
    <x:cfRule type="expression" dxfId="13" priority="14">
      <x:formula>$E$18=$H$18</x:formula>
    </x:cfRule>
  </x:conditionalFormatting>
  <x:conditionalFormatting sqref="L59:L67">
    <x:cfRule type="expression" dxfId="14" priority="15">
      <x:formula>$E$18&lt;&gt;$H$18</x:formula>
    </x:cfRule>
    <x:cfRule type="expression" dxfId="15" priority="16">
      <x:formula>$E$18=$H$18</x:formula>
    </x:cfRule>
  </x:conditionalFormatting>
  <x:conditionalFormatting sqref="E72:E113">
    <x:cfRule type="expression" dxfId="16" priority="17">
      <x:formula>$E$18&lt;&gt;$H$18</x:formula>
    </x:cfRule>
    <x:cfRule type="expression" dxfId="17" priority="18">
      <x:formula>$E$18=$H$18</x:formula>
    </x:cfRule>
  </x:conditionalFormatting>
  <x:conditionalFormatting sqref="H72:H113">
    <x:cfRule type="expression" dxfId="18" priority="19">
      <x:formula>$E$18&lt;&gt;$H$18</x:formula>
    </x:cfRule>
    <x:cfRule type="expression" dxfId="19" priority="20">
      <x:formula>$E$18=$H$18</x:formula>
    </x:cfRule>
  </x:conditionalFormatting>
  <x:conditionalFormatting sqref="J72:J113">
    <x:cfRule type="expression" dxfId="20" priority="21">
      <x:formula>$E$18&lt;&gt;$H$18</x:formula>
    </x:cfRule>
    <x:cfRule type="expression" dxfId="21" priority="22">
      <x:formula>$E$18=$H$18</x:formula>
    </x:cfRule>
  </x:conditionalFormatting>
  <x:conditionalFormatting sqref="K72:K113">
    <x:cfRule type="expression" dxfId="22" priority="23">
      <x:formula>$E$18&lt;&gt;$H$18</x:formula>
    </x:cfRule>
    <x:cfRule type="expression" dxfId="23" priority="24">
      <x:formula>$E$18=$H$18</x:formula>
    </x:cfRule>
  </x:conditionalFormatting>
  <x:conditionalFormatting sqref="L72:L113">
    <x:cfRule type="expression" dxfId="24" priority="25">
      <x:formula>$E$18&lt;&gt;$H$18</x:formula>
    </x:cfRule>
    <x:cfRule type="expression" dxfId="25" priority="26">
      <x:formula>$E$18=$H$18</x:formula>
    </x:cfRule>
  </x:conditionalFormatting>
  <x:conditionalFormatting sqref="E118:E126">
    <x:cfRule type="expression" dxfId="26" priority="27">
      <x:formula>$E$18&lt;&gt;$H$18</x:formula>
    </x:cfRule>
    <x:cfRule type="expression" dxfId="27" priority="28">
      <x:formula>$E$18=$H$18</x:formula>
    </x:cfRule>
  </x:conditionalFormatting>
  <x:conditionalFormatting sqref="H118:H126">
    <x:cfRule type="expression" dxfId="28" priority="29">
      <x:formula>$E$18&lt;&gt;$H$18</x:formula>
    </x:cfRule>
    <x:cfRule type="expression" dxfId="29" priority="30">
      <x:formula>$E$18=$H$18</x:formula>
    </x:cfRule>
  </x:conditionalFormatting>
  <x:conditionalFormatting sqref="J118:J126">
    <x:cfRule type="expression" dxfId="30" priority="31">
      <x:formula>$E$18&lt;&gt;$H$18</x:formula>
    </x:cfRule>
    <x:cfRule type="expression" dxfId="31" priority="32">
      <x:formula>$E$18=$H$18</x:formula>
    </x:cfRule>
  </x:conditionalFormatting>
  <x:conditionalFormatting sqref="K118:K126">
    <x:cfRule type="expression" dxfId="32" priority="33">
      <x:formula>$E$18&lt;&gt;$H$18</x:formula>
    </x:cfRule>
    <x:cfRule type="expression" dxfId="33" priority="34">
      <x:formula>$E$18=$H$18</x:formula>
    </x:cfRule>
  </x:conditionalFormatting>
  <x:conditionalFormatting sqref="L118:L126">
    <x:cfRule type="expression" dxfId="34" priority="35">
      <x:formula>$E$18&lt;&gt;$H$18</x:formula>
    </x:cfRule>
    <x:cfRule type="expression" dxfId="35" priority="36">
      <x:formula>$E$18=$H$18</x:formula>
    </x:cfRule>
  </x:conditionalFormatting>
  <x:dataValidations count="8">
    <x:dataValidation type="list" sqref="D7">
      <x:formula1>'Quote参数'!$C$14:$C$23</x:formula1>
    </x:dataValidation>
    <x:dataValidation type="decimal" operator="greaterThanOrEqual" sqref="D8">
      <x:formula1>0</x:formula1>
    </x:dataValidation>
    <x:dataValidation type="decimal" operator="greaterThanOrEqual" sqref="G7:G10">
      <x:formula1>0</x:formula1>
    </x:dataValidation>
    <x:dataValidation type="decimal" operator="between" sqref="J7:J10">
      <x:formula1>0</x:formula1>
      <x:formula2>1</x:formula2>
    </x:dataValidation>
    <x:dataValidation type="decimal" operator="between" sqref="J12">
      <x:formula1>0</x:formula1>
      <x:formula2>1</x:formula2>
    </x:dataValidation>
    <x:dataValidation type="decimal" operator="between" sqref="G11">
      <x:formula1>0</x:formula1>
      <x:formula2>1</x:formula2>
    </x:dataValidation>
    <x:dataValidation type="list" sqref="D11">
      <x:formula1>"是,否"</x:formula1>
    </x:dataValidation>
    <x:dataValidation type="list" sqref="D12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0.999767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46287.270008506945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外盘一卖一买用卖出所得 Quote 回买；双边费用仅降低洗后持币，不另列资金；只按外盘曲线和买入费预留恢复目标所需 Quote。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>
        <x:v>116.50714616505647</x:v>
      </x:c>
      <x:c r="I14" s="20">
        <x:v>116.50714616505647</x:v>
      </x:c>
      <x:c r="J14" s="23">
        <x:v>46287.270008506945</x:v>
      </x:c>
      <x:c r="K14" s="35" t="inlineStr">
        <x:is>
          <x:t xml:space="preserve">https://api.coingecko.com/api/v3/simple/price?ids=tether,ethereum,binancecoin,solana,hyperliquid,aster-2&amp;vs_currencies=usd</x:t>
        </x:is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inlineStr">
        <x:is>
          <x:t xml:space="preserve">https://api.coingecko.com/api/v3/simple/price?ids=tether,ethereum,binancecoin,solana,hyperliquid,aster-2&amp;vs_currencies=usd</x:t>
        </x:is>
      </x:c>
      <x:c r="AG14" s="35" t="inlineStr">
        <x:is>
          <x:t xml:space="preserve"/>
        </x:is>
      </x:c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>
        <x:v>1.0002330543016522</x:v>
      </x:c>
      <x:c r="I15" s="21">
        <x:v>116.50714616505647</x:v>
      </x:c>
      <x:c r="J15" s="24">
        <x:v>46287.270008506945</x:v>
      </x:c>
      <x:c r="K15" s="36" t="inlineStr">
        <x:is>
          <x:t xml:space="preserve">https://api.coingecko.com/api/v3/simple/price?ids=tether,ethereum,binancecoin,solana,hyperliquid,aster-2&amp;vs_currencies=usd</x:t>
        </x:is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inlineStr">
        <x:is>
          <x:t xml:space="preserve">https://api.coingecko.com/api/v3/simple/price?ids=tether,ethereum,binancecoin,solana,hyperliquid,aster-2&amp;vs_currencies=usd</x:t>
        </x:is>
      </x:c>
      <x:c r="AG15" s="36" t="inlineStr">
        <x:is>
          <x:t xml:space="preserve"/>
        </x:is>
      </x:c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>
        <x:v>1.0002330543016522</x:v>
      </x:c>
      <x:c r="I16" s="21">
        <x:v>786.293206317072</x:v>
      </x:c>
      <x:c r="J16" s="24">
        <x:v>46287.270008506945</x:v>
      </x:c>
      <x:c r="K16" s="36" t="inlineStr">
        <x:is>
          <x:t xml:space="preserve">https://api.coingecko.com/api/v3/simple/price?ids=tether,ethereum,binancecoin,solana,hyperliquid,aster-2&amp;vs_currencies=usd</x:t>
        </x:is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inlineStr">
        <x:is>
          <x:t xml:space="preserve">https://api.coingecko.com/api/v3/simple/price?ids=tether,ethereum,binancecoin,solana,hyperliquid,aster-2&amp;vs_currencies=usd</x:t>
        </x:is>
      </x:c>
      <x:c r="AG16" s="36" t="inlineStr">
        <x:is>
          <x:t xml:space="preserve"/>
        </x:is>
      </x:c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>
        <x:v>786.293206317072</x:v>
      </x:c>
      <x:c r="I17" s="21">
        <x:v>786.293206317072</x:v>
      </x:c>
      <x:c r="J17" s="24">
        <x:v>46287.270008506945</x:v>
      </x:c>
      <x:c r="K17" s="36" t="inlineStr">
        <x:is>
          <x:t xml:space="preserve">https://api.coingecko.com/api/v3/simple/price?ids=tether,ethereum,binancecoin,solana,hyperliquid,aster-2&amp;vs_currencies=usd</x:t>
        </x:is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inlineStr">
        <x:is>
          <x:t xml:space="preserve">https://api.coingecko.com/api/v3/simple/price?ids=tether,ethereum,binancecoin,solana,hyperliquid,aster-2&amp;vs_currencies=usd</x:t>
        </x:is>
      </x:c>
      <x:c r="AG17" s="36" t="inlineStr">
        <x:is>
          <x:t xml:space="preserve"/>
        </x:is>
      </x:c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>
        <x:v>0.7310933447493266</x:v>
      </x:c>
      <x:c r="I18" s="21">
        <x:v>786.293206317072</x:v>
      </x:c>
      <x:c r="J18" s="24">
        <x:v>46287.270008506945</x:v>
      </x:c>
      <x:c r="K18" s="36" t="inlineStr">
        <x:is>
          <x:t xml:space="preserve">https://api.coingecko.com/api/v3/simple/price?ids=tether,ethereum,binancecoin,solana,hyperliquid,aster-2&amp;vs_currencies=usd</x:t>
        </x:is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inlineStr">
        <x:is>
          <x:t xml:space="preserve">https://api.coingecko.com/api/v3/simple/price?ids=tether,ethereum,binancecoin,solana,hyperliquid,aster-2&amp;vs_currencies=usd</x:t>
        </x:is>
      </x:c>
      <x:c r="AG18" s="36" t="inlineStr">
        <x:is>
          <x:t xml:space="preserve"/>
        </x:is>
      </x:c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>
        <x:v>93.49178358557545</x:v>
      </x:c>
      <x:c r="I19" s="21">
        <x:v>93.49178358557545</x:v>
      </x:c>
      <x:c r="J19" s="24">
        <x:v>46287.270008506945</x:v>
      </x:c>
      <x:c r="K19" s="36" t="inlineStr">
        <x:is>
          <x:t xml:space="preserve">https://api.coingecko.com/api/v3/simple/price?ids=tether,ethereum,binancecoin,solana,hyperliquid,aster-2&amp;vs_currencies=usd</x:t>
        </x:is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inlineStr">
        <x:is>
          <x:t xml:space="preserve">https://api.coingecko.com/api/v3/simple/price?ids=tether,ethereum,binancecoin,solana,hyperliquid,aster-2&amp;vs_currencies=usd</x:t>
        </x:is>
      </x:c>
      <x:c r="AG19" s="36" t="inlineStr">
        <x:is>
          <x:t xml:space="preserve"/>
        </x:is>
      </x:c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>
        <x:v>786.293206317072</x:v>
      </x:c>
      <x:c r="I20" s="21">
        <x:v>786.293206317072</x:v>
      </x:c>
      <x:c r="J20" s="24">
        <x:v>46287.270008506945</x:v>
      </x:c>
      <x:c r="K20" s="36" t="inlineStr">
        <x:is>
          <x:t xml:space="preserve">https://api.coingecko.com/api/v3/simple/price?ids=tether,ethereum,binancecoin,solana,hyperliquid,aster-2&amp;vs_currencies=usd</x:t>
        </x:is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inlineStr">
        <x:is>
          <x:t xml:space="preserve">https://api.coingecko.com/api/v3/simple/price?ids=tether,ethereum,binancecoin,solana,hyperliquid,aster-2&amp;vs_currencies=usd</x:t>
        </x:is>
      </x:c>
      <x:c r="AG20" s="36" t="inlineStr">
        <x:is>
          <x:t xml:space="preserve"/>
        </x:is>
      </x:c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>
        <x:v>1.0002330543016522</x:v>
      </x:c>
      <x:c r="I21" s="21">
        <x:v>786.293206317072</x:v>
      </x:c>
      <x:c r="J21" s="24">
        <x:v>46287.270008506945</x:v>
      </x:c>
      <x:c r="K21" s="36" t="inlineStr">
        <x:is>
          <x:t xml:space="preserve">https://api.coingecko.com/api/v3/simple/price?ids=tether,ethereum,binancecoin,solana,hyperliquid,aster-2&amp;vs_currencies=usd</x:t>
        </x:is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inlineStr">
        <x:is>
          <x:t xml:space="preserve">https://api.coingecko.com/api/v3/simple/price?ids=tether,ethereum,binancecoin,solana,hyperliquid,aster-2&amp;vs_currencies=usd</x:t>
        </x:is>
      </x:c>
      <x:c r="AG21" s="36" t="inlineStr">
        <x:is>
          <x:t xml:space="preserve"/>
        </x:is>
      </x:c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>
        <x:v>2727.8255833609232</x:v>
      </x:c>
      <x:c r="I22" s="22">
        <x:v>2727.8255833609232</x:v>
      </x:c>
      <x:c r="J22" s="25">
        <x:v>46287.270008506945</x:v>
      </x:c>
      <x:c r="K22" s="37" t="inlineStr">
        <x:is>
          <x:t xml:space="preserve">https://api.coingecko.com/api/v3/simple/price?ids=tether,ethereum,binancecoin,solana,hyperliquid,aster-2&amp;vs_currencies=usd</x:t>
        </x:is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inlineStr">
        <x:is>
          <x:t xml:space="preserve">https://api.coingecko.com/api/v3/simple/price?ids=tether,ethereum,binancecoin,solana,hyperliquid,aster-2&amp;vs_currencies=usd</x:t>
        </x:is>
      </x:c>
      <x:c r="AG22" s="37" t="inlineStr">
        <x:is>
          <x:t xml:space="preserve"/>
        </x:is>
      </x:c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  <x:row r="23">
      <x:c r="C23" t="str">
        <x:v>Pons V2 / USDG</x:v>
      </x:c>
      <x:c r="D23" t="str">
        <x:v>ponsv2-usdg</x:v>
      </x:c>
      <x:c r="E23" t="str">
        <x:v>USDG</x:v>
      </x:c>
      <x:c r="F23" t="str">
        <x:v>ETH</x:v>
      </x:c>
      <x:c r="G23" t="str">
        <x:v>0x5fc5360D0400a0Fd4f2af552ADD042D716F1d168</x:v>
      </x:c>
      <x:c r="H23">
        <x:v>1.0002330543016522</x:v>
      </x:c>
      <x:c r="I23">
        <x:v>2727.8255833609232</x:v>
      </x:c>
      <x:c r="J23">
        <x:v>46287.270008506945</x:v>
      </x:c>
      <x:c r="K23" t="inlineStr">
        <x:is>
          <x:t xml:space="preserve">https://api.coingecko.com/api/v3/simple/price?ids=tether,ethereum,binancecoin,solana,hyperliquid,aster-2&amp;vs_currencies=usd</x:t>
        </x:is>
      </x:c>
      <x:c r="L23" t="str">
        <x:v>pons</x:v>
      </x:c>
      <x:c r="M23" t="n">
        <x:v>1000000000</x:v>
      </x:c>
      <x:c r="N23" t="n">
        <x:v>1000000000</x:v>
      </x:c>
      <x:c r="O23" t="n">
        <x:v>3236</x:v>
      </x:c>
      <x:c r="P23" t="n">
        <x:v>3236000000000</x:v>
      </x:c>
      <x:c r="Q23" t="n">
        <x:v>0.7142857142857143</x:v>
      </x:c>
      <x:c r="R23" t="n">
        <x:v>204081632.65306124</x:v>
      </x:c>
      <x:c r="S23" t="n">
        <x:v>8090</x:v>
      </x:c>
      <x:c r="T23" t="n">
        <x:v>1651020408163.2654</x:v>
      </x:c>
      <x:c r="U23" t="n">
        <x:v>0.01</x:v>
      </x:c>
      <x:c r="V23" t="n">
        <x:v>0.01</x:v>
      </x:c>
      <x:c r="W23" t="n">
        <x:v>8171.717171717171</x:v>
      </x:c>
      <x:c r="X23" t="n">
        <x:v>81632653.06122449</x:v>
      </x:c>
      <x:c r="Y23" t="n">
        <x:v>1797.7777777777778</x:v>
      </x:c>
      <x:c r="Z23" t="n">
        <x:v>8090</x:v>
      </x:c>
      <x:c r="AA23" t="n">
        <x:v>0</x:v>
      </x:c>
      <x:c r="AB23" t="n">
        <x:v>0</x:v>
      </x:c>
      <x:c r="AC23" t="n">
        <x:v>0</x:v>
      </x:c>
      <x:c r="AD23" t="str">
        <x:v>https://robin.etherscan.io/tx/0x387e3237904e4822075066331564561c373b691fd47ad2d52b4f64fb4f398c84#eventlog</x:v>
      </x:c>
      <x:c r="AE23" t="str">
        <x:v>TRAIN 发行区块 69,045,064；USDG 6 decimals；PERC 迁池同为 8,090</x:v>
      </x:c>
      <x:c r="AF23" t="inlineStr">
        <x:is>
          <x:t xml:space="preserve">https://api.coingecko.com/api/v3/simple/price?ids=tether,ethereum,binancecoin,solana,hyperliquid,aster-2&amp;vs_currencies=usd</x:t>
        </x:is>
      </x:c>
      <x:c r="AG23" t="inlineStr">
        <x:is>
          <x:t xml:space="preserve"/>
        </x:is>
      </x:c>
      <x:c r="AH23" t="n">
        <x:v>0.1</x:v>
      </x:c>
      <x:c r="AI23" t="n">
        <x:v>0.005</x:v>
      </x:c>
      <x:c r="AJ23" t="str">
        <x:v>quote</x:v>
      </x:c>
      <x:c r="AK23" t="str">
        <x:v>Pons V2 手续费始终按 Quote leg 计收；Hook 暂存的 Meme 费用会在池内转换回 Quote</x:v>
      </x:c>
      <x:c r="AL23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