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7ce012420841d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29bd439ea94449d8"/>
    <sheet name="Quote参数" sheetId="2" r:id="R75525efca1a94dae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  <x:numFmt numFmtId="211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11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fa40a4a23d4c1b" /><Relationship Type="http://schemas.openxmlformats.org/officeDocument/2006/relationships/theme" Target="/xl/theme/theme1.xml" Id="Rf2523e5597f04fa4" /><Relationship Type="http://schemas.openxmlformats.org/officeDocument/2006/relationships/sharedStrings" Target="/xl/sharedStrings.xml" Id="R28025a8df59e49f9" /><Relationship Type="http://schemas.openxmlformats.org/officeDocument/2006/relationships/worksheet" Target="/xl/worksheets/sheet1.xml" Id="R29bd439ea94449d8" /><Relationship Type="http://schemas.openxmlformats.org/officeDocument/2006/relationships/worksheet" Target="/xl/worksheets/sheet2.xml" Id="R75525efca1a94da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USDG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IF(AND(LEFT($D$51,2)="可达",ISNUMBER($D$22),ISNUMBER($D$23),ISNUMBER($D$25),ISNUMBER($D$26)),SUM($D$22:$D$23,$D$25:$D$26),"")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IF($D$7="ETH",$D$55,IF(VLOOKUP("ETH",'Quote参数'!$E$9:$S$63,15,FALSE)&gt;0,VLOOKUP("ETH",'Quote参数'!$E$9:$S$63,15,FALSE),""))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customHeight="1" hidden="1">
      <c r="A24" s="2"/>
      <c r="B24" s="2"/>
      <c r="C24" s="107"/>
      <c r="D24" s="158"/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恢复目标控筹预留</v>
      </c>
      <c r="D26" s="122">
        <f>IF($D$51&lt;&gt;"可达","",IF(AND($J$55&gt;0,$J$56&gt;0),MAX(0,($G$50/$J$55-$G$50/$J$56)*(1/(1-$G$42-$J$7))),""))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原目标控筹率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hidden="1" customHeight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hidden="1" customHeight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hidden="1" customHeight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hidden="1" customHeight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hidden="1" customHeight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6" customHeight="1">
      <c r="A36" s="2"/>
      <c r="B36" s="2"/>
      <c r="C36" s="11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hidden="1" customHeight="1" outlineLevel="1">
      <c r="A41"/>
      <c r="B41"/>
      <c r="C41" s="107" t="str">
        <v>Quote 名称</v>
      </c>
      <c r="D41" s="108">
        <f>VLOOKUP($D$7,'Quote参数'!$E$9:$J$63,2,FALSE)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hidden="1" customHeight="1" outlineLevel="1">
      <c r="A42"/>
      <c r="B42"/>
      <c r="C42" s="107" t="str">
        <v>Quote 合约</v>
      </c>
      <c r="D42" s="109">
        <f>VLOOKUP($D$7,'Quote参数'!$E$9:$J$63,3,FALSE)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hidden="1" customHeight="1" outlineLevel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hidden="1" customHeight="1" outlineLevel="1">
      <c r="A44"/>
      <c r="B44"/>
      <c r="C44" s="107" t="str">
        <v>Decimals</v>
      </c>
      <c r="D44" s="110">
        <f>VLOOKUP($D$7,'Quote参数'!$E$9:$J$63,4,FALSE)</f>
      </c>
      <c r="E44" s="107"/>
      <c r="F44" s="107" t="str">
        <v>毕业真实 Quote</v>
      </c>
      <c r="G44" s="108">
        <f>VLOOKUP($D$7,'Quote参数'!$E$9:$J$63,6,FALSE)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hidden="1" customHeight="1" outlineLevel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IF($J$42="","",($J$43-$G$44)/MAX(0.000000001,1-$G$42-$J$7))</f>
      </c>
      <c r="K45" s="107"/>
      <c r="L45" s="107"/>
    </row>
    <row r="46" ht="30" hidden="1" customHeight="1" outlineLevel="1">
      <c r="A46"/>
      <c r="B46"/>
      <c r="C46" s="107" t="str">
        <v>协议参数证据</v>
      </c>
      <c r="D46" s="108">
        <f>VLOOKUP($D$7,'Quote参数'!$E$9:$P$63,12,FALSE)</f>
      </c>
      <c r="E46" s="107"/>
      <c r="F46" s="107" t="str">
        <v>phantom Quote</v>
      </c>
      <c r="G46" s="108">
        <f>VLOOKUP($D$7,'Quote参数'!$E$9:$J$63,5,FALSE)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hidden="1" customHeight="1" outlineLevel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hidden="1" customHeight="1" outlineLevel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hidden="1" customHeight="1" outlineLevel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hidden="1" customHeight="1" outlineLevel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hidden="1" customHeight="1" outlineLevel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hidden="1" customHeight="1" outlineLevel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hidden="1" customHeight="1" outlineLevel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hidden="1" customHeight="1" outlineLevel="1">
      <c r="A54"/>
      <c r="B54"/>
      <c r="C54" s="107" t="str">
        <v>当前控筹上限</v>
      </c>
      <c r="D54" s="113">
        <f>1-$G$51/$D$45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MAX(0,1-$J$29)*MAX(0,1-$J$30)</f>
      </c>
      <c r="K54" s="107"/>
      <c r="L54" s="107"/>
    </row>
    <row r="55" ht="30" hidden="1" customHeight="1" outlineLevel="1">
      <c r="A55"/>
      <c r="B55"/>
      <c r="C55" s="107" t="str">
        <v>Quote 价格 / USDT</v>
      </c>
      <c r="D55" s="108">
        <f>IF($D$9&lt;&gt;"",IF(AND(ISNUMBER($D$9),$D$9&gt;0),$D$9,""),IF(VLOOKUP($D$7,'Quote参数'!$E$9:$S$63,15,FALSE)&gt;0,VLOOKUP($D$7,'Quote参数'!$E$9:$S$63,15,FALSE),""))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>
        <f>$G$48-($D$8-$G$43)*$D$45</f>
      </c>
      <c r="K55" s="107"/>
      <c r="L55" s="107"/>
    </row>
    <row r="56" ht="30" hidden="1" customHeight="1" outlineLevel="1">
      <c r="A56"/>
      <c r="B56"/>
      <c r="C56" s="107" t="str">
        <v>行情时间 / UTC</v>
      </c>
      <c r="D56" s="150">
        <f>IF(VLOOKUP($D$7,'Quote参数'!$E$9:$T$63,16,FALSE)=0,"",VLOOKUP($D$7,'Quote参数'!$E$9:$T$63,16,FALSE))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>
        <f>$G$48-($D$27-$G$43)*$D$45</f>
      </c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IF(D73="","",MAX(0,$G$50/D73-$G$44)/MAX(0.000000001,1-$G$42-$J$7))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IF(D74="","",MAX(0,$G$50/D74-$G$44)/MAX(0.000000001,1-$G$42-$J$7))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IF(D75="","",MAX(0,$G$50/D75-$G$44)/MAX(0.000000001,1-$G$42-$J$7))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IF(D76="","",MAX(0,$G$50/D76-$G$44)/MAX(0.000000001,1-$G$42-$J$7))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IF(D77="","",MAX(0,$G$50/D77-$G$44)/MAX(0.000000001,1-$G$42-$J$7))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IF(D78="","",MAX(0,$G$50/D78-$G$44)/MAX(0.000000001,1-$G$42-$J$7))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IF(D79="","",MAX(0,$G$50/D79-$G$44)/MAX(0.000000001,1-$G$42-$J$7))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IF(D80="","",MAX(0,$G$50/D80-$G$44)/MAX(0.000000001,1-$G$42-$J$7))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IF(D81="","",MAX(0,$G$50/D81-$G$44)/MAX(0.000000001,1-$G$42-$J$7))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IF(D82="","",MAX(0,$G$50/D82-$G$44)/MAX(0.000000001,1-$G$42-$J$7))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IF(D83="","",MAX(0,$G$50/D83-$G$44)/MAX(0.000000001,1-$G$42-$J$7))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IF(D84="","",MAX(0,$G$50/D84-$G$44)/MAX(0.000000001,1-$G$42-$J$7))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IF(D85="","",MAX(0,$G$50/D85-$G$44)/MAX(0.000000001,1-$G$42-$J$7))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'Quote参数'!$E$9:$E$63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ETH、USDG 与股票 / ETF Quote。USDG 采用 TRAIN 发行参数快照，外盘 8,090 USDG；新币参数可变。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48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153" t="str">
        <v>外盘扣费依据</v>
      </c>
      <c r="I6" s="153"/>
      <c r="J6" s="153" t="str">
        <v>外盘卖出所得 Quote 用于回买；双边 Hook 与 Creator Tax 降低持币。恢复目标按外盘曲线差额及买入费另列。</v>
      </c>
      <c r="K6" s="153"/>
      <c r="L6" s="153"/>
      <c r="M6" s="153"/>
      <c r="N6" s="153"/>
      <c r="O6" s="153"/>
      <c r="P6" s="153"/>
      <c r="Q6" s="153"/>
      <c r="R6" s="153" t="str">
        <v>https://docs.ponsfamily.com/v2</v>
      </c>
      <c r="S6" s="153"/>
      <c r="T6" s="153"/>
      <c r="U6" s="153"/>
      <c r="V6" s="153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USDG 参数依据</v>
      </c>
      <c r="I7" s="35" t="str">
        <v>https://robin.etherscan.io/tx/0x387e3237904e4822075066331564561c373b691fd47ad2d52b4f64fb4f398c84#eventlog</v>
      </c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2679.2227521709956</v>
      </c>
      <c r="T9" s="29">
        <v>46298.28070979167</v>
      </c>
      <c r="U9" s="32" t="inlineStr">
        <is>
          <t>https://api.coingecko.com/api/v3/simple/price?ids=tether,ethereum,binancecoin,solana,hyperliquid,aster-2&amp;vs_currencies=usd&amp;include_last_updated_at=true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333.6877067108583</v>
      </c>
      <c r="T10" s="30">
        <v>46298.280402349534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 t="inlineStr">
        <is>
          <t/>
        </is>
      </c>
      <c r="T11" s="30">
        <v>46298.28040855324</v>
      </c>
      <c r="U11" s="33" t="inlineStr">
        <is>
          <t/>
        </is>
      </c>
      <c r="V11" s="33" t="inlineStr">
        <is>
          <t>暂无合格池价；可手动输入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46298.28041375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46298.28042025463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46298.280426087964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46298.28043305555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46298.28043817129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46298.28044471065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183.1206926382681</v>
      </c>
      <c r="T18" s="30">
        <v>46298.28044858796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46298.28045539352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 t="inlineStr">
        <is>
          <t/>
        </is>
      </c>
      <c r="T20" s="30">
        <v>46298.2804599537</v>
      </c>
      <c r="U20" s="33" t="inlineStr">
        <is>
          <t/>
        </is>
      </c>
      <c r="V20" s="33" t="inlineStr">
        <is>
          <t>暂无合格池价；可手动输入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46298.28046646991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8.89100468352924</v>
      </c>
      <c r="T22" s="30">
        <v>46298.2804715625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46298.28047732639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46298.28048388889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379.54288834638317</v>
      </c>
      <c r="T25" s="30">
        <v>46298.280489791665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46298.2804955787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343.3287961539654</v>
      </c>
      <c r="T27" s="30">
        <v>46298.280501284724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29.017278952521636</v>
      </c>
      <c r="T28" s="30">
        <v>46298.2805071412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46298.2805127199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46298.280518541666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46298.28052435185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 t="inlineStr">
        <is>
          <t/>
        </is>
      </c>
      <c r="T32" s="30">
        <v>46298.28053015046</v>
      </c>
      <c r="U32" s="33" t="inlineStr">
        <is>
          <t/>
        </is>
      </c>
      <c r="V32" s="33" t="inlineStr">
        <is>
          <t>暂无合格池价；可手动输入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46298.28053591435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727.9322563449671</v>
      </c>
      <c r="T34" s="30">
        <v>46298.280541053246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46298.28054907407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46298.28055365741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46298.28055916666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159.9880786528878</v>
      </c>
      <c r="T38" s="30">
        <v>46298.28056501157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>
        <v>1073.5713135584322</v>
      </c>
      <c r="T39" s="30">
        <v>46298.28057065972</v>
      </c>
      <c r="U39" s="33" t="inlineStr">
        <is>
          <t>https://dexscreener.com/robinhood/0x301f48ec369bb3bfa0bc04d44a79037aa0ee2340</t>
        </is>
      </c>
      <c r="V39" s="33" t="inlineStr">
        <is>
          <t>每日 Quote 代币池价；本地可手动更新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46298.2805825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46298.28058760417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234.5365026247966</v>
      </c>
      <c r="T42" s="30">
        <v>46298.28057587963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46298.280594525466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46298.28059900463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750.1847708791094</v>
      </c>
      <c r="T45" s="30">
        <v>46298.280605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43.96496804138868</v>
      </c>
      <c r="T46" s="30">
        <v>46298.28061141204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147.92671571887624</v>
      </c>
      <c r="T47" s="30">
        <v>46298.28061724537</v>
      </c>
      <c r="U47" s="33" t="inlineStr">
        <is>
          <t>https://dexscreener.com/robinhood/0xa541143f20d7b0643123064abf25f423e375b531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46298.280622708335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101.09042321782361</v>
      </c>
      <c r="T49" s="30">
        <v>46298.28062870371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46298.28063435185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46298.28064030092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46298.28064653935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46298.280651712965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46298.28065673611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159.1009784105604</v>
      </c>
      <c r="T55" s="30">
        <v>46298.28066383102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771.8572198658449</v>
      </c>
      <c r="T56" s="30">
        <v>46298.280669189815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371.16194129936684</v>
      </c>
      <c r="T57" s="30">
        <v>46298.28067377315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46298.28068065972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46298.28068568287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46298.28069252315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46298.28069694444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46298.280704317134</v>
      </c>
      <c r="U62" s="34" t="inlineStr">
        <is>
          <t/>
        </is>
      </c>
      <c r="V62" s="34" t="inlineStr">
        <is>
          <t>暂无合格池价；可手动输入</t>
        </is>
      </c>
    </row>
    <row r="63" ht="42" customHeight="1">
      <c r="C63" t="n">
        <v>55</v>
      </c>
      <c r="D63" t="str">
        <v>稳定币</v>
      </c>
      <c r="E63" t="str">
        <v>USDG</v>
      </c>
      <c r="F63" t="str">
        <v>Global Dollar</v>
      </c>
      <c r="G63" t="str">
        <v>​0x5fc5360D0400a0Fd4f2af552ADD042D716F1d168</v>
      </c>
      <c r="H63" t="n">
        <v>6</v>
      </c>
      <c r="I63" t="n">
        <v>3236</v>
      </c>
      <c r="J63" t="n">
        <v>8090</v>
      </c>
      <c r="K63">
        <f>J63/I63</f>
      </c>
      <c r="L63">
        <f>J63</f>
      </c>
      <c r="M63">
        <f>1000000000*I63*J63/(I63+J63)^2</f>
      </c>
      <c r="N63">
        <f>1000000000*I63^2/(I63+J63)^2</f>
      </c>
      <c r="O63">
        <f>1-N63/1000000000</f>
      </c>
      <c r="P63" t="n">
        <v>69045064</v>
      </c>
      <c r="Q63" t="str">
        <v>已发行实例 / ERC-20</v>
      </c>
      <c r="R63" t="str">
        <v>https://robinhoodchain.blockscout.com/address/0x5fc5360d0400a0fd4f2af552add042d716f1d168</v>
      </c>
      <c r="S63" s="155">
        <v>1.0001130127704432</v>
      </c>
      <c r="T63" s="156">
        <v>46298.28070979167</v>
      </c>
      <c r="U63" t="inlineStr">
        <is>
          <t>https://api.coingecko.com/api/v3/simple/price?ids=tether,ethereum,binancecoin,solana,hyperliquid,aster-2&amp;vs_currencies=usd&amp;include_last_updated_at=true</t>
        </is>
      </c>
      <c r="V63" s="157" t="inlineStr">
        <is>
          <t>USDG 按 1 USD 估算；本地可手动更新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