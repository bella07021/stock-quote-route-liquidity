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5fdf87cb7d4087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a86b20109df4d7c"/>
    <sheet name="Quote参数" sheetId="2" r:id="Ra4b1910f27474888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0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16f8d5db564877" /><Relationship Type="http://schemas.openxmlformats.org/officeDocument/2006/relationships/theme" Target="/xl/theme/theme1.xml" Id="R6d9a7d8e9dd84642" /><Relationship Type="http://schemas.openxmlformats.org/officeDocument/2006/relationships/sharedStrings" Target="/xl/sharedStrings.xml" Id="R4a7006dc26be4a8d" /><Relationship Type="http://schemas.openxmlformats.org/officeDocument/2006/relationships/worksheet" Target="/xl/worksheets/sheet1.xml" Id="Rda86b20109df4d7c" /><Relationship Type="http://schemas.openxmlformats.org/officeDocument/2006/relationships/worksheet" Target="/xl/worksheets/sheet2.xml" Id="Ra4b1910f274748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/ USDT 资金不含 Gas，Gas 单独以 ETH 计价。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SLV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10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2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100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54" t="n">
        <v>5</v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手动价格只用于 USDT 换算，不改变 Quote 控筹预算。清空覆盖格后恢复自动取价。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8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35" t="str">
        <v>建议总资金 / Quote</v>
      </c>
      <c r="D18" s="74">
        <f>IF(LEFT($D$23,2)&lt;&gt;"可达","",IF($D$21="","",SUM($D$21,$G$21,$J$21,$D$22)))</f>
      </c>
      <c r="E18" s="62">
        <f>$D$7</f>
      </c>
      <c r="F18" s="35" t="str">
        <v>折合 USDT（不含 Gas）</v>
      </c>
      <c r="G18" s="74">
        <f>IF(OR($D$18="",$D$24=""),"",$D$18*$D$24)</f>
      </c>
      <c r="H18" s="62" t="str">
        <v>USDT</v>
      </c>
      <c r="I18" s="35" t="str">
        <v>Gas 储备 / ETH</v>
      </c>
      <c r="J18" s="74">
        <f>$G$22*MAX(0,$G$11)</f>
      </c>
      <c r="K18" s="62" t="str">
        <v>ETH</v>
      </c>
      <c r="L18" s="62"/>
    </row>
    <row r="19" ht="18" customHeight="1">
      <c r="A19" s="2"/>
      <c r="B19" s="2"/>
      <c r="C19" s="57" t="str">
        <v>Quote 资金构成：预算控筹率理论资金 + 额外内盘资金 + 资金预留 + 洗筹损耗</v>
      </c>
      <c r="D19" s="57"/>
      <c r="E19" s="57"/>
      <c r="F19" s="57"/>
      <c r="G19" s="57"/>
      <c r="H19" s="57"/>
      <c r="I19" s="57"/>
      <c r="J19" s="57"/>
      <c r="K19" s="57"/>
      <c r="L19" s="57"/>
    </row>
    <row r="20" ht="6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ht="20" customHeight="1">
      <c r="A21" s="2"/>
      <c r="B21" s="2"/>
      <c r="C21" s="35">
        <f>"预算 "&amp;TEXT($J$22,"0%")&amp;" 理论资金 / Quote"</f>
      </c>
      <c r="D21" s="60">
        <f>IF(LEFT($D$23,2)&lt;&gt;"可达","",IF($J$35="","",$J$31+$J$35))</f>
      </c>
      <c r="E21" s="2"/>
      <c r="F21" s="35" t="str">
        <v>额外内盘资金 / Quote</v>
      </c>
      <c r="G21" s="60">
        <f>IF(LEFT($D$23,2)&lt;&gt;"可达","",IF($J$31="","",$J$31*MAX(0,$G$7-1)))</f>
      </c>
      <c r="H21" s="2"/>
      <c r="I21" s="35" t="str">
        <v>洗筹损耗 / Quote</v>
      </c>
      <c r="J21" s="60">
        <f>IF(LEFT($D$23,2)&lt;&gt;"可达","",IF($J$36="","",$J$36*($G$32+$J$7)*2))</f>
      </c>
      <c r="K21" s="2"/>
      <c r="L21" s="2"/>
    </row>
    <row r="22" ht="20" customHeight="1">
      <c r="A22" s="2"/>
      <c r="B22" s="2"/>
      <c r="C22" s="35" t="str">
        <v>资金预留 / Quote</v>
      </c>
      <c r="D22" s="60">
        <f>$G$12</f>
      </c>
      <c r="E22" s="2"/>
      <c r="F22" s="35" t="str">
        <v>地址总数</v>
      </c>
      <c r="G22" s="64">
        <f>MAX(0,$G$8)*MAX(0,$G$7)+MAX(0,$G$9)+MAX(0,$G$10)</f>
      </c>
      <c r="H22" s="2"/>
      <c r="I22" s="35" t="str">
        <v>预算使用控筹率</v>
      </c>
      <c r="J22" s="59">
        <f>$D$8+1%</f>
      </c>
      <c r="K22" s="2"/>
      <c r="L22" s="2"/>
    </row>
    <row r="23" ht="32" customHeight="1">
      <c r="A23" s="2"/>
      <c r="B23" s="2"/>
      <c r="C23" s="35" t="str">
        <v>目标是否可达</v>
      </c>
      <c r="D23" s="66">
        <f>IF($J$41&lt;&gt;"参数有效",$J$41,IF(OR($D$8&lt;0,$D$8&gt;=1),"目标控筹率无效",IF(OR($J$7&lt;0,$J$7&gt;$G$43),"Creator Tax无效",IF($J$22&gt;=$G$23,"目标+1%不可达",IF($J$9="否","可达；Snipe税未计","可达")))))</f>
      </c>
      <c r="E23" s="2"/>
      <c r="F23" s="35" t="str">
        <v>当前控筹上限</v>
      </c>
      <c r="G23" s="63">
        <f>MIN(1-$G$41/$D$35,$G$33+(1-$G$32-$J$7)*$G$38/$D$35)</f>
      </c>
      <c r="H23" s="2"/>
      <c r="I23" s="35" t="str">
        <v>资金口径</v>
      </c>
      <c r="J23" s="60" t="str">
        <v>Quote 预算 + 单独 Gas</v>
      </c>
      <c r="K23" s="2"/>
      <c r="L23" s="2"/>
    </row>
    <row r="24" ht="20" customHeight="1">
      <c r="A24" s="2"/>
      <c r="B24" s="2"/>
      <c r="C24" s="35" t="str">
        <v>使用价格 / USDT</v>
      </c>
      <c r="D24" s="60">
        <f>IF($D$9&lt;&gt;"",IF(AND(ISNUMBER($D$9),$D$9&gt;0),$D$9,""),IF(VLOOKUP($D$7,'Quote参数'!$E$9:$S$62,15,FALSE)&gt;0,VLOOKUP($D$7,'Quote参数'!$E$9:$S$62,15,FALSE),""))</f>
      </c>
      <c r="E24" s="2"/>
      <c r="F24" s="35" t="str">
        <v>行情时间 / UTC</v>
      </c>
      <c r="G24" s="65">
        <f>IF(VLOOKUP($D$7,'Quote参数'!$E$9:$T$62,16,FALSE)=0,"",VLOOKUP($D$7,'Quote参数'!$E$9:$T$62,16,FALSE))</f>
      </c>
      <c r="H24" s="2"/>
      <c r="I24" s="35" t="str">
        <v>价格状态</v>
      </c>
      <c r="J24" s="60">
        <f>IF($D$9&lt;&gt;"",IF($D$24="","手动价格无效","手动价格"),IF($D$24="","缺少价格","每日行情"))</f>
      </c>
      <c r="K24" s="2"/>
      <c r="L24" s="2"/>
    </row>
    <row r="25" ht="20" customHeight="1">
      <c r="A25" s="2"/>
      <c r="B25" s="2"/>
      <c r="C25" s="35" t="str">
        <v>价格采用方式</v>
      </c>
      <c r="D25" s="60">
        <f>IF($D$9&lt;&gt;"","手动覆盖","每日行情")</f>
      </c>
      <c r="E25" s="2"/>
      <c r="F25" s="2"/>
      <c r="G25" s="60"/>
      <c r="H25" s="2"/>
      <c r="I25" s="2" t="str">
        <v>价格缺失时 USDT 结果留空</v>
      </c>
      <c r="J25" s="60"/>
      <c r="K25" s="2"/>
      <c r="L25" s="2"/>
    </row>
    <row r="26" ht="20" customHeight="1">
      <c r="A26" s="2"/>
      <c r="B26" s="2"/>
      <c r="C26" s="35" t="str">
        <v>内盘基础手续费</v>
      </c>
      <c r="D26" s="59">
        <f>$G$31</f>
      </c>
      <c r="E26" s="2"/>
      <c r="F26" s="35" t="str">
        <v>外盘 Hook 手续费</v>
      </c>
      <c r="G26" s="59">
        <f>$G$32</f>
      </c>
      <c r="H26" s="2"/>
      <c r="I26" s="35" t="str">
        <v>洗筹双边总费率</v>
      </c>
      <c r="J26" s="59">
        <f>SUM(G27,J27)</f>
      </c>
      <c r="K26" s="2"/>
      <c r="L26" s="2"/>
    </row>
    <row r="27" ht="20" customHeight="1">
      <c r="A27" s="2"/>
      <c r="B27" s="2"/>
      <c r="C27" s="35" t="str">
        <v>内盘买入含税费率</v>
      </c>
      <c r="D27" s="59">
        <f>$G$31+$J$7</f>
      </c>
      <c r="E27" s="2"/>
      <c r="F27" s="35" t="str">
        <v>外盘买入含税费率</v>
      </c>
      <c r="G27" s="59">
        <f>$G$32+$J$7</f>
      </c>
      <c r="H27" s="2"/>
      <c r="I27" s="35" t="str">
        <v>外盘卖出含税费率</v>
      </c>
      <c r="J27" s="59">
        <f>$G$32+$J$7</f>
      </c>
      <c r="K27" s="2"/>
      <c r="L27" s="2"/>
    </row>
    <row r="28" ht="32" customHeight="1">
      <c r="A28" s="2"/>
      <c r="B28" s="2"/>
      <c r="C28" s="35" t="str">
        <v>沉没成本 / Quote</v>
      </c>
      <c r="D28" s="60">
        <f>E88</f>
      </c>
      <c r="E28" s="2"/>
      <c r="F28" s="35" t="str">
        <v>一套内盘打满 / Quote</v>
      </c>
      <c r="G28" s="60">
        <f>$J$31</f>
      </c>
      <c r="H28" s="2"/>
      <c r="I28" s="58" t="str">
        <v>费率为预算加总口径；双边合计用于 FDV 洗筹预算。沉没成本与一套打满仅作参考，不重复计入总额。</v>
      </c>
      <c r="J28" s="58"/>
      <c r="K28" s="58"/>
      <c r="L28" s="58"/>
    </row>
    <row r="29" ht="24" customHeight="1" collapsed="1">
      <c r="A29" s="2"/>
      <c r="B29" s="2"/>
      <c r="C29" s="8" t="str">
        <v>三、模型信息与计算口径（默认折叠，点左侧 + 展开）</v>
      </c>
      <c r="D29" s="8"/>
      <c r="E29" s="8"/>
      <c r="F29" s="8"/>
      <c r="G29" s="8"/>
      <c r="H29" s="8"/>
      <c r="I29" s="8"/>
      <c r="J29" s="8"/>
      <c r="K29" s="8"/>
      <c r="L29" s="8"/>
    </row>
    <row r="30" ht="20" customHeight="1" outlineLevel="1" hidden="1">
      <c r="A30" s="2"/>
      <c r="B30" s="2"/>
      <c r="C30" s="48" t="str">
        <v>Quote 信息</v>
      </c>
      <c r="D30" s="2"/>
      <c r="E30" s="2"/>
      <c r="F30" s="48" t="str">
        <v>协议与曲线参数</v>
      </c>
      <c r="G30" s="2"/>
      <c r="H30" s="2"/>
      <c r="I30" s="48" t="str">
        <v>预算中间计算</v>
      </c>
      <c r="J30" s="2"/>
      <c r="K30" s="2"/>
      <c r="L30" s="2"/>
    </row>
    <row r="31" ht="36" customHeight="1" outlineLevel="1" hidden="1">
      <c r="A31" s="2"/>
      <c r="B31" s="2"/>
      <c r="C31" s="35" t="str">
        <v>Quote 名称</v>
      </c>
      <c r="D31" s="66">
        <f>VLOOKUP($D$7,'Quote参数'!$E$9:$J$62,2,FALSE)</f>
      </c>
      <c r="E31" s="35"/>
      <c r="F31" s="35" t="str">
        <v>内盘基础费</v>
      </c>
      <c r="G31" s="63">
        <f>1%</f>
      </c>
      <c r="H31" s="2"/>
      <c r="I31" s="35" t="str">
        <v>一套内盘打满 / Quote</v>
      </c>
      <c r="J31" s="60">
        <f>IF(1-$G$31-$J$7&gt;0,$G$34/(1-$G$31-$J$7),"")</f>
      </c>
      <c r="K31" s="2"/>
      <c r="L31" s="2"/>
    </row>
    <row r="32" ht="36" customHeight="1" outlineLevel="1" hidden="1">
      <c r="A32" s="2"/>
      <c r="B32" s="2"/>
      <c r="C32" s="35" t="str">
        <v>Quote 合约</v>
      </c>
      <c r="D32" s="69">
        <f>VLOOKUP($D$7,'Quote参数'!$E$9:$J$62,3,FALSE)</f>
      </c>
      <c r="E32" s="35"/>
      <c r="F32" s="35" t="str">
        <v>外盘 Hook 费</v>
      </c>
      <c r="G32" s="63">
        <f>1%</f>
      </c>
      <c r="H32" s="2"/>
      <c r="I32" s="35" t="str">
        <v>目标+1% Pool TOKEN</v>
      </c>
      <c r="J32" s="71">
        <f>IF($J$22&lt;$G$23,$D$35*(1-$J$22)-$G$41,"")</f>
      </c>
      <c r="K32" s="2"/>
      <c r="L32" s="2"/>
    </row>
    <row r="33" ht="20" customHeight="1" outlineLevel="1" hidden="1">
      <c r="A33" s="2"/>
      <c r="B33" s="2"/>
      <c r="C33" s="2"/>
      <c r="D33" s="66"/>
      <c r="E33" s="35"/>
      <c r="F33" s="35" t="str">
        <v>毕业控筹率</v>
      </c>
      <c r="G33" s="63">
        <f>$G$34/($G$36+$G$34)</f>
      </c>
      <c r="H33" s="2"/>
      <c r="I33" s="35" t="str">
        <v>目标+1% Pool Quote</v>
      </c>
      <c r="J33" s="60">
        <f>IF($J$32="","",$G$40/$J$32)</f>
      </c>
      <c r="K33" s="2"/>
      <c r="L33" s="2"/>
    </row>
    <row r="34" ht="20" customHeight="1" outlineLevel="1" hidden="1">
      <c r="A34" s="2"/>
      <c r="B34" s="2"/>
      <c r="C34" s="35" t="str">
        <v>Decimals</v>
      </c>
      <c r="D34" s="67">
        <f>VLOOKUP($D$7,'Quote参数'!$E$9:$J$62,4,FALSE)</f>
      </c>
      <c r="E34" s="2"/>
      <c r="F34" s="35" t="str">
        <v>毕业真实 Quote</v>
      </c>
      <c r="G34" s="60">
        <f>VLOOKUP($D$7,'Quote参数'!$E$9:$J$62,6,FALSE)</f>
      </c>
      <c r="H34" s="2"/>
      <c r="I34" s="35" t="str">
        <v>外盘净增加 / Quote</v>
      </c>
      <c r="J34" s="60">
        <f>IF($J$33="","",MAX(0,$J$33-$G$34))</f>
      </c>
      <c r="K34" s="2"/>
      <c r="L34" s="2"/>
    </row>
    <row r="35" ht="20" customHeight="1" outlineLevel="1" hidden="1">
      <c r="A35" s="2"/>
      <c r="B35" s="2"/>
      <c r="C35" s="35" t="str">
        <v>总供应量</v>
      </c>
      <c r="D35" s="64">
        <f>1000000000</f>
      </c>
      <c r="E35" s="2"/>
      <c r="F35" s="35" t="str">
        <v>内盘初始 TOKEN</v>
      </c>
      <c r="G35" s="71">
        <f>$D$35</f>
      </c>
      <c r="H35" s="2"/>
      <c r="I35" s="35" t="str">
        <v>外盘含费投入 / Quote</v>
      </c>
      <c r="J35" s="60">
        <f>IF($J$32="","",$G$40/($G$38-MAX(0,($J$22-$G$33)*$D$35)/(1-$G$32-$J$7))-$G$34)</f>
      </c>
      <c r="K35" s="2"/>
      <c r="L35" s="2"/>
    </row>
    <row r="36" ht="36" customHeight="1" outlineLevel="1" hidden="1">
      <c r="A36" s="2"/>
      <c r="B36" s="2"/>
      <c r="C36" s="35" t="str">
        <v>协议参数证据</v>
      </c>
      <c r="D36" s="72">
        <f>VLOOKUP($D$7,'Quote参数'!$E$9:$P$62,12,FALSE)</f>
      </c>
      <c r="E36" s="35"/>
      <c r="F36" s="35" t="str">
        <v>phantom Quote</v>
      </c>
      <c r="G36" s="60">
        <f>VLOOKUP($D$7,'Quote参数'!$E$9:$J$62,5,FALSE)</f>
      </c>
      <c r="H36" s="2"/>
      <c r="I36" s="35" t="str">
        <v>目标+1% FDV / Quote</v>
      </c>
      <c r="J36" s="60">
        <f>IF($J$33="","",$J$33/$J$32*$D$35)</f>
      </c>
      <c r="K36" s="2"/>
      <c r="L36" s="2"/>
    </row>
    <row r="37" ht="20" customHeight="1" outlineLevel="1" hidden="1">
      <c r="A37" s="2"/>
      <c r="B37" s="2"/>
      <c r="C37" s="35" t="str">
        <v>外盘机制</v>
      </c>
      <c r="D37" s="66" t="str">
        <v>Uniswap V4 / exact-input</v>
      </c>
      <c r="E37" s="35"/>
      <c r="F37" s="35" t="str">
        <v>内盘 k</v>
      </c>
      <c r="G37" s="68">
        <f>$G$36*$D$35</f>
      </c>
      <c r="H37" s="2"/>
      <c r="I37" s="35" t="str">
        <v>洗筹单边费率</v>
      </c>
      <c r="J37" s="63">
        <f>$G$32+$J$7</f>
      </c>
      <c r="K37" s="2"/>
      <c r="L37" s="2"/>
    </row>
    <row r="38" ht="36" customHeight="1" outlineLevel="1" hidden="1">
      <c r="A38" s="2"/>
      <c r="B38" s="2"/>
      <c r="C38" s="35" t="str">
        <v>费用方向</v>
      </c>
      <c r="D38" s="66" t="str">
        <v>Hook + Creator Tax 从 Meme 输出扣除</v>
      </c>
      <c r="E38" s="35"/>
      <c r="F38" s="35" t="str">
        <v>外盘初始 TOKEN</v>
      </c>
      <c r="G38" s="71">
        <f>$D$35*$G$36*$G$34/($G$36+$G$34)^2</f>
      </c>
      <c r="H38" s="2"/>
      <c r="I38" s="35" t="str">
        <v>预算缓冲</v>
      </c>
      <c r="J38" s="59" t="n">
        <v>0.01</v>
      </c>
      <c r="K38" s="2"/>
      <c r="L38" s="2"/>
    </row>
    <row r="39" ht="36" customHeight="1" outlineLevel="1" hidden="1">
      <c r="A39" s="2"/>
      <c r="B39" s="2"/>
      <c r="C39" s="35" t="str">
        <v>洗筹口径</v>
      </c>
      <c r="D39" s="66" t="str">
        <v>目标+1% FDV ×（Hook + Creator Tax）×2</v>
      </c>
      <c r="E39" s="35"/>
      <c r="F39" s="35" t="str">
        <v>外盘初始 Quote</v>
      </c>
      <c r="G39" s="60">
        <f>$G$34</f>
      </c>
      <c r="H39" s="2"/>
      <c r="I39" s="35" t="str">
        <v>分红与回购口径</v>
      </c>
      <c r="J39" s="73" t="str">
        <v>不抵扣分红 / 回购收益</v>
      </c>
      <c r="K39" s="35"/>
      <c r="L39" s="35"/>
    </row>
    <row r="40" ht="20" customHeight="1" outlineLevel="1" hidden="1">
      <c r="A40" s="2"/>
      <c r="B40" s="2"/>
      <c r="C40" s="2"/>
      <c r="D40" s="66"/>
      <c r="E40" s="35"/>
      <c r="F40" s="35" t="str">
        <v>外盘 k</v>
      </c>
      <c r="G40" s="68">
        <f>$G$38*$G$34</f>
      </c>
      <c r="H40" s="2"/>
      <c r="I40" s="2"/>
      <c r="J40" s="66"/>
      <c r="K40" s="35"/>
      <c r="L40" s="35"/>
    </row>
    <row r="41" ht="36" customHeight="1" outlineLevel="1" hidden="1">
      <c r="A41" s="2"/>
      <c r="B41" s="2"/>
      <c r="C41" s="2"/>
      <c r="D41" s="60"/>
      <c r="E41" s="2"/>
      <c r="F41" s="35" t="str">
        <v>Locker TOKEN</v>
      </c>
      <c r="G41" s="71">
        <f>$D$35*$G$36^2/($G$36+$G$34)^2</f>
      </c>
      <c r="H41" s="2"/>
      <c r="I41" s="35" t="str">
        <v>输入检查</v>
      </c>
      <c r="J41" s="66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41" s="35"/>
      <c r="L41" s="35"/>
    </row>
    <row r="42" ht="36" customHeight="1" outlineLevel="1" hidden="1">
      <c r="A42" s="2"/>
      <c r="B42" s="2"/>
      <c r="C42" s="2"/>
      <c r="D42" s="60"/>
      <c r="E42" s="2"/>
      <c r="F42" s="35" t="str">
        <v>Snipe 窗口</v>
      </c>
      <c r="G42" s="73" t="str">
        <v>3 秒；默认豁免或避开</v>
      </c>
      <c r="H42" s="2"/>
      <c r="I42" s="2"/>
      <c r="J42" s="60"/>
      <c r="K42" s="2"/>
      <c r="L42" s="2"/>
    </row>
    <row r="43" ht="36" customHeight="1" outlineLevel="1" hidden="1">
      <c r="A43" s="2"/>
      <c r="B43" s="2"/>
      <c r="C43" s="2"/>
      <c r="D43" s="60"/>
      <c r="E43" s="2"/>
      <c r="F43" s="35" t="str">
        <v>Creator Tax 上限</v>
      </c>
      <c r="G43" s="63">
        <f>10%</f>
      </c>
      <c r="H43" s="2"/>
      <c r="I43" s="2"/>
      <c r="J43" s="60"/>
      <c r="K43" s="2"/>
      <c r="L43" s="2"/>
    </row>
    <row r="44" ht="6" customHeight="1" outlineLevel="1" hidden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ht="6" customHeight="1" outlineLevel="1" hidden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ht="6" customHeight="1" outlineLevel="1" hidden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ht="24" customHeight="1">
      <c r="A47" s="2"/>
      <c r="B47" s="2"/>
      <c r="C47" s="8" t="str">
        <v>内盘曲线</v>
      </c>
      <c r="D47" s="8"/>
      <c r="E47" s="8"/>
      <c r="F47" s="8"/>
      <c r="G47" s="8"/>
      <c r="H47" s="8"/>
      <c r="I47" s="8"/>
      <c r="J47" s="8"/>
      <c r="K47" s="8"/>
      <c r="L47" s="8"/>
    </row>
    <row r="48" ht="30" customHeight="1">
      <c r="A48" s="2"/>
      <c r="B48" s="2"/>
      <c r="C48" s="77" t="str">
        <v>控筹率</v>
      </c>
      <c r="D48" s="77" t="str">
        <v>pooled TOKEN</v>
      </c>
      <c r="E48" s="77" t="str">
        <v>pooled Quote</v>
      </c>
      <c r="F48" s="77" t="str">
        <v>价格 / Quote</v>
      </c>
      <c r="G48" s="77" t="str">
        <v>价格 / USDT</v>
      </c>
      <c r="H48" s="77" t="str">
        <v>市值 / Quote</v>
      </c>
      <c r="I48" s="77" t="str">
        <v>市值 / USDT</v>
      </c>
      <c r="J48" s="77" t="str">
        <v>区间净投入
/ Quote</v>
      </c>
      <c r="K48" s="77" t="str">
        <v>区间含费
/ Quote</v>
      </c>
      <c r="L48" s="77" t="str">
        <v>理论累计所需
/ Quote</v>
      </c>
    </row>
    <row r="49" ht="20" customHeight="1">
      <c r="A49" s="2"/>
      <c r="B49" s="2"/>
      <c r="C49" s="78" t="n">
        <v>0</v>
      </c>
      <c r="D49" s="81">
        <f>$D$35*(1-C49)</f>
      </c>
      <c r="E49" s="26">
        <f>$G$37/D49</f>
      </c>
      <c r="F49" s="84">
        <f>IF(OR(D49="",E49=""),"",E49/D49)</f>
      </c>
      <c r="G49" s="84">
        <f>IF(OR($D$24="",NOT(ISNUMBER(F49))),"",F49*$D$24)</f>
      </c>
      <c r="H49" s="26">
        <f>IF(NOT(ISNUMBER(F49)),"",F49*$D$35)</f>
      </c>
      <c r="I49" s="26">
        <f>IF(OR($D$24="",NOT(ISNUMBER(H49))),"",H49*$D$24)</f>
      </c>
      <c r="J49" s="26">
        <f>0</f>
      </c>
      <c r="K49" s="26">
        <f>J49/(1-$G$31-$J$7)</f>
      </c>
      <c r="L49" s="90">
        <f>SUM($K$49:K49)</f>
      </c>
    </row>
    <row r="50" ht="20" customHeight="1">
      <c r="A50" s="2"/>
      <c r="B50" s="2"/>
      <c r="C50" s="79" t="n">
        <v>0.1</v>
      </c>
      <c r="D50" s="82">
        <f>$D$35*(1-C50)</f>
      </c>
      <c r="E50" s="27">
        <f>$G$37/D50</f>
      </c>
      <c r="F50" s="85">
        <f>IF(OR(D50="",E50=""),"",E50/D50)</f>
      </c>
      <c r="G50" s="85">
        <f>IF(OR($D$24="",NOT(ISNUMBER(F50))),"",F50*$D$24)</f>
      </c>
      <c r="H50" s="27">
        <f>IF(NOT(ISNUMBER(F50)),"",F50*$D$35)</f>
      </c>
      <c r="I50" s="27">
        <f>IF(OR($D$24="",NOT(ISNUMBER(H50))),"",H50*$D$24)</f>
      </c>
      <c r="J50" s="27">
        <f>E50-E49</f>
      </c>
      <c r="K50" s="27">
        <f>J50/(1-$G$31-$J$7)</f>
      </c>
      <c r="L50" s="91">
        <f>SUM($K$49:K50)</f>
      </c>
    </row>
    <row r="51" ht="20" customHeight="1">
      <c r="A51" s="2"/>
      <c r="B51" s="2"/>
      <c r="C51" s="79" t="n">
        <v>0.2</v>
      </c>
      <c r="D51" s="82">
        <f>$D$35*(1-C51)</f>
      </c>
      <c r="E51" s="27">
        <f>$G$37/D51</f>
      </c>
      <c r="F51" s="85">
        <f>IF(OR(D51="",E51=""),"",E51/D51)</f>
      </c>
      <c r="G51" s="85">
        <f>IF(OR($D$24="",NOT(ISNUMBER(F51))),"",F51*$D$24)</f>
      </c>
      <c r="H51" s="27">
        <f>IF(NOT(ISNUMBER(F51)),"",F51*$D$35)</f>
      </c>
      <c r="I51" s="27">
        <f>IF(OR($D$24="",NOT(ISNUMBER(H51))),"",H51*$D$24)</f>
      </c>
      <c r="J51" s="27">
        <f>E51-E50</f>
      </c>
      <c r="K51" s="27">
        <f>J51/(1-$G$31-$J$7)</f>
      </c>
      <c r="L51" s="91">
        <f>SUM($K$49:K51)</f>
      </c>
    </row>
    <row r="52" ht="20" customHeight="1">
      <c r="A52" s="2"/>
      <c r="B52" s="2"/>
      <c r="C52" s="79" t="n">
        <v>0.3</v>
      </c>
      <c r="D52" s="82">
        <f>$D$35*(1-C52)</f>
      </c>
      <c r="E52" s="27">
        <f>$G$37/D52</f>
      </c>
      <c r="F52" s="85">
        <f>IF(OR(D52="",E52=""),"",E52/D52)</f>
      </c>
      <c r="G52" s="85">
        <f>IF(OR($D$24="",NOT(ISNUMBER(F52))),"",F52*$D$24)</f>
      </c>
      <c r="H52" s="27">
        <f>IF(NOT(ISNUMBER(F52)),"",F52*$D$35)</f>
      </c>
      <c r="I52" s="27">
        <f>IF(OR($D$24="",NOT(ISNUMBER(H52))),"",H52*$D$24)</f>
      </c>
      <c r="J52" s="27">
        <f>E52-E51</f>
      </c>
      <c r="K52" s="27">
        <f>J52/(1-$G$31-$J$7)</f>
      </c>
      <c r="L52" s="91">
        <f>SUM($K$49:K52)</f>
      </c>
    </row>
    <row r="53" ht="20" customHeight="1">
      <c r="A53" s="2"/>
      <c r="B53" s="2"/>
      <c r="C53" s="79" t="n">
        <v>0.4</v>
      </c>
      <c r="D53" s="82">
        <f>$D$35*(1-C53)</f>
      </c>
      <c r="E53" s="27">
        <f>$G$37/D53</f>
      </c>
      <c r="F53" s="85">
        <f>IF(OR(D53="",E53=""),"",E53/D53)</f>
      </c>
      <c r="G53" s="85">
        <f>IF(OR($D$24="",NOT(ISNUMBER(F53))),"",F53*$D$24)</f>
      </c>
      <c r="H53" s="27">
        <f>IF(NOT(ISNUMBER(F53)),"",F53*$D$35)</f>
      </c>
      <c r="I53" s="27">
        <f>IF(OR($D$24="",NOT(ISNUMBER(H53))),"",H53*$D$24)</f>
      </c>
      <c r="J53" s="27">
        <f>E53-E52</f>
      </c>
      <c r="K53" s="27">
        <f>J53/(1-$G$31-$J$7)</f>
      </c>
      <c r="L53" s="91">
        <f>SUM($K$49:K53)</f>
      </c>
    </row>
    <row r="54" ht="20" customHeight="1">
      <c r="A54" s="2"/>
      <c r="B54" s="2"/>
      <c r="C54" s="79" t="n">
        <v>0.5</v>
      </c>
      <c r="D54" s="82">
        <f>$D$35*(1-C54)</f>
      </c>
      <c r="E54" s="27">
        <f>$G$37/D54</f>
      </c>
      <c r="F54" s="85">
        <f>IF(OR(D54="",E54=""),"",E54/D54)</f>
      </c>
      <c r="G54" s="85">
        <f>IF(OR($D$24="",NOT(ISNUMBER(F54))),"",F54*$D$24)</f>
      </c>
      <c r="H54" s="27">
        <f>IF(NOT(ISNUMBER(F54)),"",F54*$D$35)</f>
      </c>
      <c r="I54" s="27">
        <f>IF(OR($D$24="",NOT(ISNUMBER(H54))),"",H54*$D$24)</f>
      </c>
      <c r="J54" s="27">
        <f>E54-E53</f>
      </c>
      <c r="K54" s="27">
        <f>J54/(1-$G$31-$J$7)</f>
      </c>
      <c r="L54" s="91">
        <f>SUM($K$49:K54)</f>
      </c>
    </row>
    <row r="55" ht="20" customHeight="1">
      <c r="A55" s="2"/>
      <c r="B55" s="2"/>
      <c r="C55" s="79" t="n">
        <v>0.6</v>
      </c>
      <c r="D55" s="82">
        <f>$D$35*(1-C55)</f>
      </c>
      <c r="E55" s="27">
        <f>$G$37/D55</f>
      </c>
      <c r="F55" s="85">
        <f>IF(OR(D55="",E55=""),"",E55/D55)</f>
      </c>
      <c r="G55" s="85">
        <f>IF(OR($D$24="",NOT(ISNUMBER(F55))),"",F55*$D$24)</f>
      </c>
      <c r="H55" s="27">
        <f>IF(NOT(ISNUMBER(F55)),"",F55*$D$35)</f>
      </c>
      <c r="I55" s="27">
        <f>IF(OR($D$24="",NOT(ISNUMBER(H55))),"",H55*$D$24)</f>
      </c>
      <c r="J55" s="27">
        <f>E55-E54</f>
      </c>
      <c r="K55" s="27">
        <f>J55/(1-$G$31-$J$7)</f>
      </c>
      <c r="L55" s="91">
        <f>SUM($K$49:K55)</f>
      </c>
    </row>
    <row r="56" ht="20" customHeight="1">
      <c r="A56" s="2"/>
      <c r="B56" s="2"/>
      <c r="C56" s="79" t="n">
        <v>0.7</v>
      </c>
      <c r="D56" s="82">
        <f>$D$35*(1-C56)</f>
      </c>
      <c r="E56" s="27">
        <f>$G$37/D56</f>
      </c>
      <c r="F56" s="85">
        <f>IF(OR(D56="",E56=""),"",E56/D56)</f>
      </c>
      <c r="G56" s="85">
        <f>IF(OR($D$24="",NOT(ISNUMBER(F56))),"",F56*$D$24)</f>
      </c>
      <c r="H56" s="27">
        <f>IF(NOT(ISNUMBER(F56)),"",F56*$D$35)</f>
      </c>
      <c r="I56" s="27">
        <f>IF(OR($D$24="",NOT(ISNUMBER(H56))),"",H56*$D$24)</f>
      </c>
      <c r="J56" s="27">
        <f>E56-E55</f>
      </c>
      <c r="K56" s="27">
        <f>J56/(1-$G$31-$J$7)</f>
      </c>
      <c r="L56" s="91">
        <f>SUM($K$49:K56)</f>
      </c>
    </row>
    <row r="57" ht="20" customHeight="1">
      <c r="A57" s="2"/>
      <c r="B57" s="2"/>
      <c r="C57" s="93">
        <f>$G$33</f>
      </c>
      <c r="D57" s="94">
        <f>$D$35*(1-C57)</f>
      </c>
      <c r="E57" s="95">
        <f>$G$37/D57</f>
      </c>
      <c r="F57" s="96">
        <f>IF(OR(D57="",E57=""),"",E57/D57)</f>
      </c>
      <c r="G57" s="96">
        <f>IF(OR($D$24="",NOT(ISNUMBER(F57))),"",F57*$D$24)</f>
      </c>
      <c r="H57" s="95">
        <f>IF(NOT(ISNUMBER(F57)),"",F57*$D$35)</f>
      </c>
      <c r="I57" s="95">
        <f>IF(OR($D$24="",NOT(ISNUMBER(H57))),"",H57*$D$24)</f>
      </c>
      <c r="J57" s="95">
        <f>E57-E56</f>
      </c>
      <c r="K57" s="95">
        <f>J57/(1-$G$31-$J$7)</f>
      </c>
      <c r="L57" s="92">
        <f>SUM($K$49:K57)</f>
      </c>
    </row>
    <row r="58" ht="20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ht="20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ht="24" customHeight="1">
      <c r="A60" s="2"/>
      <c r="B60" s="2"/>
      <c r="C60" s="8" t="str">
        <v>外盘曲线</v>
      </c>
      <c r="D60" s="8"/>
      <c r="E60" s="8"/>
      <c r="F60" s="8"/>
      <c r="G60" s="8"/>
      <c r="H60" s="8"/>
      <c r="I60" s="8"/>
      <c r="J60" s="8"/>
      <c r="K60" s="8"/>
      <c r="L60" s="8"/>
    </row>
    <row r="61" ht="30" customHeight="1">
      <c r="A61" s="2"/>
      <c r="B61" s="2"/>
      <c r="C61" s="77" t="str">
        <v>控筹率</v>
      </c>
      <c r="D61" s="77" t="str">
        <v>pooled TOKEN</v>
      </c>
      <c r="E61" s="77" t="str">
        <v>pooled Quote</v>
      </c>
      <c r="F61" s="77" t="str">
        <v>价格 / Quote</v>
      </c>
      <c r="G61" s="77" t="str">
        <v>价格 / USDT</v>
      </c>
      <c r="H61" s="77" t="str">
        <v>市值 / Quote</v>
      </c>
      <c r="I61" s="77" t="str">
        <v>市值 / USDT</v>
      </c>
      <c r="J61" s="77" t="str">
        <v>外盘净投入
/ Quote</v>
      </c>
      <c r="K61" s="77" t="str">
        <v>外盘含费
/ Quote</v>
      </c>
      <c r="L61" s="77" t="str">
        <v>理论累计所需
/ Quote</v>
      </c>
    </row>
    <row r="62" ht="20" customHeight="1">
      <c r="A62" s="2"/>
      <c r="B62" s="2"/>
      <c r="C62" s="97">
        <f>$G$33</f>
      </c>
      <c r="D62" s="98">
        <f>$G$38</f>
      </c>
      <c r="E62" s="99">
        <f>$G$34</f>
      </c>
      <c r="F62" s="100">
        <f>IF(OR(D62="",E62=""),"",E62/D62)</f>
      </c>
      <c r="G62" s="100">
        <f>IF(OR($D$24="",NOT(ISNUMBER(F62))),"",F62*$D$24)</f>
      </c>
      <c r="H62" s="99">
        <f>IF(NOT(ISNUMBER(F62)),"",F62*$D$35)</f>
      </c>
      <c r="I62" s="99">
        <f>IF(OR($D$24="",NOT(ISNUMBER(H62))),"",H62*$D$24)</f>
      </c>
      <c r="J62" s="99">
        <f>0</f>
      </c>
      <c r="K62" s="99">
        <f>0</f>
      </c>
      <c r="L62" s="90">
        <f>$J$31</f>
      </c>
    </row>
    <row r="63" ht="20" customHeight="1">
      <c r="A63" s="2"/>
      <c r="B63" s="2"/>
      <c r="C63" s="79" t="n">
        <v>0.75</v>
      </c>
      <c r="D63" s="82">
        <f>IF(C63&lt;$G$23,$D$35*(1-C63)-$G$41,"")</f>
      </c>
      <c r="E63" s="27">
        <f>IF(D63="","",$G$40/D63)</f>
      </c>
      <c r="F63" s="85">
        <f>IF(OR(D63="",E63=""),"",E63/D63)</f>
      </c>
      <c r="G63" s="85">
        <f>IF(OR($D$24="",NOT(ISNUMBER(F63))),"",F63*$D$24)</f>
      </c>
      <c r="H63" s="27">
        <f>IF(NOT(ISNUMBER(F63)),"",F63*$D$35)</f>
      </c>
      <c r="I63" s="27">
        <f>IF(OR($D$24="",NOT(ISNUMBER(H63))),"",H63*$D$24)</f>
      </c>
      <c r="J63" s="27">
        <f>IF(E63="","",MAX(0,E63-$G$34))</f>
      </c>
      <c r="K63" s="27">
        <f>IF(D63="","",$G$40/($G$38-MAX(0,(C63-$G$33)*$D$35)/(1-$G$32-$J$7))-$G$34)</f>
      </c>
      <c r="L63" s="91">
        <f>IF(K63="","",$J$31+K63)</f>
      </c>
    </row>
    <row r="64" ht="20" customHeight="1">
      <c r="A64" s="2"/>
      <c r="B64" s="2"/>
      <c r="C64" s="79" t="n">
        <v>0.8</v>
      </c>
      <c r="D64" s="82">
        <f>IF(C64&lt;$G$23,$D$35*(1-C64)-$G$41,"")</f>
      </c>
      <c r="E64" s="27">
        <f>IF(D64="","",$G$40/D64)</f>
      </c>
      <c r="F64" s="85">
        <f>IF(OR(D64="",E64=""),"",E64/D64)</f>
      </c>
      <c r="G64" s="85">
        <f>IF(OR($D$24="",NOT(ISNUMBER(F64))),"",F64*$D$24)</f>
      </c>
      <c r="H64" s="27">
        <f>IF(NOT(ISNUMBER(F64)),"",F64*$D$35)</f>
      </c>
      <c r="I64" s="27">
        <f>IF(OR($D$24="",NOT(ISNUMBER(H64))),"",H64*$D$24)</f>
      </c>
      <c r="J64" s="27">
        <f>IF(E64="","",MAX(0,E64-$G$34))</f>
      </c>
      <c r="K64" s="27">
        <f>IF(D64="","",$G$40/($G$38-MAX(0,(C64-$G$33)*$D$35)/(1-$G$32-$J$7))-$G$34)</f>
      </c>
      <c r="L64" s="91">
        <f>IF(K64="","",$J$31+K64)</f>
      </c>
    </row>
    <row r="65" ht="20" customHeight="1">
      <c r="A65" s="2"/>
      <c r="B65" s="2"/>
      <c r="C65" s="79" t="n">
        <v>0.82</v>
      </c>
      <c r="D65" s="82">
        <f>IF(C65&lt;$G$23,$D$35*(1-C65)-$G$41,"")</f>
      </c>
      <c r="E65" s="27">
        <f>IF(D65="","",$G$40/D65)</f>
      </c>
      <c r="F65" s="85">
        <f>IF(OR(D65="",E65=""),"",E65/D65)</f>
      </c>
      <c r="G65" s="85">
        <f>IF(OR($D$24="",NOT(ISNUMBER(F65))),"",F65*$D$24)</f>
      </c>
      <c r="H65" s="27">
        <f>IF(NOT(ISNUMBER(F65)),"",F65*$D$35)</f>
      </c>
      <c r="I65" s="27">
        <f>IF(OR($D$24="",NOT(ISNUMBER(H65))),"",H65*$D$24)</f>
      </c>
      <c r="J65" s="27">
        <f>IF(E65="","",MAX(0,E65-$G$34))</f>
      </c>
      <c r="K65" s="27">
        <f>IF(D65="","",$G$40/($G$38-MAX(0,(C65-$G$33)*$D$35)/(1-$G$32-$J$7))-$G$34)</f>
      </c>
      <c r="L65" s="91">
        <f>IF(K65="","",$J$31+K65)</f>
      </c>
    </row>
    <row r="66" ht="20" customHeight="1">
      <c r="A66" s="2"/>
      <c r="B66" s="2"/>
      <c r="C66" s="79" t="n">
        <v>0.84</v>
      </c>
      <c r="D66" s="82">
        <f>IF(C66&lt;$G$23,$D$35*(1-C66)-$G$41,"")</f>
      </c>
      <c r="E66" s="27">
        <f>IF(D66="","",$G$40/D66)</f>
      </c>
      <c r="F66" s="85">
        <f>IF(OR(D66="",E66=""),"",E66/D66)</f>
      </c>
      <c r="G66" s="85">
        <f>IF(OR($D$24="",NOT(ISNUMBER(F66))),"",F66*$D$24)</f>
      </c>
      <c r="H66" s="27">
        <f>IF(NOT(ISNUMBER(F66)),"",F66*$D$35)</f>
      </c>
      <c r="I66" s="27">
        <f>IF(OR($D$24="",NOT(ISNUMBER(H66))),"",H66*$D$24)</f>
      </c>
      <c r="J66" s="27">
        <f>IF(E66="","",MAX(0,E66-$G$34))</f>
      </c>
      <c r="K66" s="27">
        <f>IF(D66="","",$G$40/($G$38-MAX(0,(C66-$G$33)*$D$35)/(1-$G$32-$J$7))-$G$34)</f>
      </c>
      <c r="L66" s="91">
        <f>IF(K66="","",$J$31+K66)</f>
      </c>
    </row>
    <row r="67" ht="20" customHeight="1">
      <c r="A67" s="2"/>
      <c r="B67" s="2"/>
      <c r="C67" s="79" t="n">
        <v>0.86</v>
      </c>
      <c r="D67" s="82">
        <f>IF(C67&lt;$G$23,$D$35*(1-C67)-$G$41,"")</f>
      </c>
      <c r="E67" s="27">
        <f>IF(D67="","",$G$40/D67)</f>
      </c>
      <c r="F67" s="85">
        <f>IF(OR(D67="",E67=""),"",E67/D67)</f>
      </c>
      <c r="G67" s="85">
        <f>IF(OR($D$24="",NOT(ISNUMBER(F67))),"",F67*$D$24)</f>
      </c>
      <c r="H67" s="27">
        <f>IF(NOT(ISNUMBER(F67)),"",F67*$D$35)</f>
      </c>
      <c r="I67" s="27">
        <f>IF(OR($D$24="",NOT(ISNUMBER(H67))),"",H67*$D$24)</f>
      </c>
      <c r="J67" s="27">
        <f>IF(E67="","",MAX(0,E67-$G$34))</f>
      </c>
      <c r="K67" s="27">
        <f>IF(D67="","",$G$40/($G$38-MAX(0,(C67-$G$33)*$D$35)/(1-$G$32-$J$7))-$G$34)</f>
      </c>
      <c r="L67" s="91">
        <f>IF(K67="","",$J$31+K67)</f>
      </c>
    </row>
    <row r="68" ht="20" customHeight="1">
      <c r="A68" s="2"/>
      <c r="B68" s="2"/>
      <c r="C68" s="79" t="n">
        <v>0.88</v>
      </c>
      <c r="D68" s="82">
        <f>IF(C68&lt;$G$23,$D$35*(1-C68)-$G$41,"")</f>
      </c>
      <c r="E68" s="27">
        <f>IF(D68="","",$G$40/D68)</f>
      </c>
      <c r="F68" s="85">
        <f>IF(OR(D68="",E68=""),"",E68/D68)</f>
      </c>
      <c r="G68" s="85">
        <f>IF(OR($D$24="",NOT(ISNUMBER(F68))),"",F68*$D$24)</f>
      </c>
      <c r="H68" s="27">
        <f>IF(NOT(ISNUMBER(F68)),"",F68*$D$35)</f>
      </c>
      <c r="I68" s="27">
        <f>IF(OR($D$24="",NOT(ISNUMBER(H68))),"",H68*$D$24)</f>
      </c>
      <c r="J68" s="27">
        <f>IF(E68="","",MAX(0,E68-$G$34))</f>
      </c>
      <c r="K68" s="27">
        <f>IF(D68="","",$G$40/($G$38-MAX(0,(C68-$G$33)*$D$35)/(1-$G$32-$J$7))-$G$34)</f>
      </c>
      <c r="L68" s="91">
        <f>IF(K68="","",$J$31+K68)</f>
      </c>
    </row>
    <row r="69" ht="20" customHeight="1">
      <c r="A69" s="2"/>
      <c r="B69" s="2"/>
      <c r="C69" s="79" t="n">
        <v>0.89</v>
      </c>
      <c r="D69" s="82">
        <f>IF(C69&lt;$G$23,$D$35*(1-C69)-$G$41,"")</f>
      </c>
      <c r="E69" s="27">
        <f>IF(D69="","",$G$40/D69)</f>
      </c>
      <c r="F69" s="85">
        <f>IF(OR(D69="",E69=""),"",E69/D69)</f>
      </c>
      <c r="G69" s="85">
        <f>IF(OR($D$24="",NOT(ISNUMBER(F69))),"",F69*$D$24)</f>
      </c>
      <c r="H69" s="27">
        <f>IF(NOT(ISNUMBER(F69)),"",F69*$D$35)</f>
      </c>
      <c r="I69" s="27">
        <f>IF(OR($D$24="",NOT(ISNUMBER(H69))),"",H69*$D$24)</f>
      </c>
      <c r="J69" s="27">
        <f>IF(E69="","",MAX(0,E69-$G$34))</f>
      </c>
      <c r="K69" s="27">
        <f>IF(D69="","",$G$40/($G$38-MAX(0,(C69-$G$33)*$D$35)/(1-$G$32-$J$7))-$G$34)</f>
      </c>
      <c r="L69" s="91">
        <f>IF(K69="","",$J$31+K69)</f>
      </c>
    </row>
    <row r="70" ht="20" customHeight="1">
      <c r="A70" s="2"/>
      <c r="B70" s="2"/>
      <c r="C70" s="79" t="n">
        <v>0.9</v>
      </c>
      <c r="D70" s="82">
        <f>IF(C70&lt;$G$23,$D$35*(1-C70)-$G$41,"")</f>
      </c>
      <c r="E70" s="27">
        <f>IF(D70="","",$G$40/D70)</f>
      </c>
      <c r="F70" s="85">
        <f>IF(OR(D70="",E70=""),"",E70/D70)</f>
      </c>
      <c r="G70" s="85">
        <f>IF(OR($D$24="",NOT(ISNUMBER(F70))),"",F70*$D$24)</f>
      </c>
      <c r="H70" s="27">
        <f>IF(NOT(ISNUMBER(F70)),"",F70*$D$35)</f>
      </c>
      <c r="I70" s="27">
        <f>IF(OR($D$24="",NOT(ISNUMBER(H70))),"",H70*$D$24)</f>
      </c>
      <c r="J70" s="27">
        <f>IF(E70="","",MAX(0,E70-$G$34))</f>
      </c>
      <c r="K70" s="27">
        <f>IF(D70="","",$G$40/($G$38-MAX(0,(C70-$G$33)*$D$35)/(1-$G$32-$J$7))-$G$34)</f>
      </c>
      <c r="L70" s="91">
        <f>IF(K70="","",$J$31+K70)</f>
      </c>
    </row>
    <row r="71" ht="20" customHeight="1">
      <c r="A71" s="2"/>
      <c r="B71" s="2"/>
      <c r="C71" s="79" t="n">
        <v>0.905</v>
      </c>
      <c r="D71" s="82">
        <f>IF(C71&lt;$G$23,$D$35*(1-C71)-$G$41,"")</f>
      </c>
      <c r="E71" s="27">
        <f>IF(D71="","",$G$40/D71)</f>
      </c>
      <c r="F71" s="85">
        <f>IF(OR(D71="",E71=""),"",E71/D71)</f>
      </c>
      <c r="G71" s="85">
        <f>IF(OR($D$24="",NOT(ISNUMBER(F71))),"",F71*$D$24)</f>
      </c>
      <c r="H71" s="27">
        <f>IF(NOT(ISNUMBER(F71)),"",F71*$D$35)</f>
      </c>
      <c r="I71" s="27">
        <f>IF(OR($D$24="",NOT(ISNUMBER(H71))),"",H71*$D$24)</f>
      </c>
      <c r="J71" s="27">
        <f>IF(E71="","",MAX(0,E71-$G$34))</f>
      </c>
      <c r="K71" s="27">
        <f>IF(D71="","",$G$40/($G$38-MAX(0,(C71-$G$33)*$D$35)/(1-$G$32-$J$7))-$G$34)</f>
      </c>
      <c r="L71" s="91">
        <f>IF(K71="","",$J$31+K71)</f>
      </c>
    </row>
    <row r="72" ht="20" customHeight="1">
      <c r="A72" s="2"/>
      <c r="B72" s="2"/>
      <c r="C72" s="79" t="n">
        <v>0.91</v>
      </c>
      <c r="D72" s="82">
        <f>IF(C72&lt;$G$23,$D$35*(1-C72)-$G$41,"")</f>
      </c>
      <c r="E72" s="27">
        <f>IF(D72="","",$G$40/D72)</f>
      </c>
      <c r="F72" s="85">
        <f>IF(OR(D72="",E72=""),"",E72/D72)</f>
      </c>
      <c r="G72" s="85">
        <f>IF(OR($D$24="",NOT(ISNUMBER(F72))),"",F72*$D$24)</f>
      </c>
      <c r="H72" s="27">
        <f>IF(NOT(ISNUMBER(F72)),"",F72*$D$35)</f>
      </c>
      <c r="I72" s="27">
        <f>IF(OR($D$24="",NOT(ISNUMBER(H72))),"",H72*$D$24)</f>
      </c>
      <c r="J72" s="27">
        <f>IF(E72="","",MAX(0,E72-$G$34))</f>
      </c>
      <c r="K72" s="27">
        <f>IF(D72="","",$G$40/($G$38-MAX(0,(C72-$G$33)*$D$35)/(1-$G$32-$J$7))-$G$34)</f>
      </c>
      <c r="L72" s="91">
        <f>IF(K72="","",$J$31+K72)</f>
      </c>
    </row>
    <row r="73" ht="20" customHeight="1">
      <c r="A73" s="2"/>
      <c r="B73" s="2"/>
      <c r="C73" s="79" t="n">
        <v>0.915</v>
      </c>
      <c r="D73" s="82">
        <f>IF(C73&lt;$G$23,$D$35*(1-C73)-$G$41,"")</f>
      </c>
      <c r="E73" s="27">
        <f>IF(D73="","",$G$40/D73)</f>
      </c>
      <c r="F73" s="85">
        <f>IF(OR(D73="",E73=""),"",E73/D73)</f>
      </c>
      <c r="G73" s="85">
        <f>IF(OR($D$24="",NOT(ISNUMBER(F73))),"",F73*$D$24)</f>
      </c>
      <c r="H73" s="27">
        <f>IF(NOT(ISNUMBER(F73)),"",F73*$D$35)</f>
      </c>
      <c r="I73" s="27">
        <f>IF(OR($D$24="",NOT(ISNUMBER(H73))),"",H73*$D$24)</f>
      </c>
      <c r="J73" s="27">
        <f>IF(E73="","",MAX(0,E73-$G$34))</f>
      </c>
      <c r="K73" s="27">
        <f>IF(D73="","",$G$40/($G$38-MAX(0,(C73-$G$33)*$D$35)/(1-$G$32-$J$7))-$G$34)</f>
      </c>
      <c r="L73" s="91">
        <f>IF(K73="","",$J$31+K73)</f>
      </c>
    </row>
    <row r="74" ht="20" customHeight="1">
      <c r="A74" s="2"/>
      <c r="B74" s="2"/>
      <c r="C74" s="79" t="n">
        <v>0.918</v>
      </c>
      <c r="D74" s="82">
        <f>IF(C74&lt;$G$23,$D$35*(1-C74)-$G$41,"")</f>
      </c>
      <c r="E74" s="27">
        <f>IF(D74="","",$G$40/D74)</f>
      </c>
      <c r="F74" s="85">
        <f>IF(OR(D74="",E74=""),"",E74/D74)</f>
      </c>
      <c r="G74" s="85">
        <f>IF(OR($D$24="",NOT(ISNUMBER(F74))),"",F74*$D$24)</f>
      </c>
      <c r="H74" s="27">
        <f>IF(NOT(ISNUMBER(F74)),"",F74*$D$35)</f>
      </c>
      <c r="I74" s="27">
        <f>IF(OR($D$24="",NOT(ISNUMBER(H74))),"",H74*$D$24)</f>
      </c>
      <c r="J74" s="27">
        <f>IF(E74="","",MAX(0,E74-$G$34))</f>
      </c>
      <c r="K74" s="27">
        <f>IF(D74="","",$G$40/($G$38-MAX(0,(C74-$G$33)*$D$35)/(1-$G$32-$J$7))-$G$34)</f>
      </c>
      <c r="L74" s="91">
        <f>IF(K74="","",$J$31+K74)</f>
      </c>
    </row>
    <row r="75" ht="20" customHeight="1">
      <c r="A75" s="2"/>
      <c r="B75" s="2"/>
      <c r="C75" s="80" t="n">
        <v>0.9183673469387755</v>
      </c>
      <c r="D75" s="83">
        <f>IF(C75&lt;$G$23,$D$35*(1-C75)-$G$41,"")</f>
      </c>
      <c r="E75" s="28">
        <f>IF(D75="","",$G$40/D75)</f>
      </c>
      <c r="F75" s="86">
        <f>IF(OR(D75="",E75=""),"",E75/D75)</f>
      </c>
      <c r="G75" s="86">
        <f>IF(OR($D$24="",NOT(ISNUMBER(F75))),"",F75*$D$24)</f>
      </c>
      <c r="H75" s="28">
        <f>IF(NOT(ISNUMBER(F75)),"",F75*$D$35)</f>
      </c>
      <c r="I75" s="28">
        <f>IF(OR($D$24="",NOT(ISNUMBER(H75))),"",H75*$D$24)</f>
      </c>
      <c r="J75" s="28">
        <f>IF(E75="","",MAX(0,E75-$G$34))</f>
      </c>
      <c r="K75" s="28">
        <f>IF(D75="","",$G$40/($G$38-MAX(0,(C75-$G$33)*$D$35)/(1-$G$32-$J$7))-$G$34)</f>
      </c>
      <c r="L75" s="92">
        <f>IF(K75="","",$J$31+K75)</f>
      </c>
    </row>
    <row r="76" ht="20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ht="20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ht="24" customHeight="1">
      <c r="A78" s="2"/>
      <c r="B78" s="2"/>
      <c r="C78" s="102" t="str">
        <v>外盘回落参考</v>
      </c>
      <c r="D78" s="102"/>
      <c r="E78" s="102"/>
      <c r="F78" s="102"/>
      <c r="G78" s="102"/>
      <c r="H78" s="102"/>
      <c r="I78" s="102"/>
      <c r="J78" s="102"/>
      <c r="K78" s="102"/>
      <c r="L78" s="102"/>
    </row>
    <row r="79" ht="30" customHeight="1">
      <c r="A79" s="2"/>
      <c r="B79" s="2"/>
      <c r="C79" s="77" t="str">
        <v>控筹率</v>
      </c>
      <c r="D79" s="77" t="str">
        <v>pooled TOKEN</v>
      </c>
      <c r="E79" s="77" t="str">
        <v>pooled Quote</v>
      </c>
      <c r="F79" s="77" t="str">
        <v>价格 / Quote</v>
      </c>
      <c r="G79" s="77" t="str">
        <v>价格 / USDT</v>
      </c>
      <c r="H79" s="77" t="str">
        <v>市值 / Quote</v>
      </c>
      <c r="I79" s="77" t="str">
        <v>市值 / USDT</v>
      </c>
      <c r="J79" s="77" t="str">
        <v>较毕业点回撤</v>
      </c>
      <c r="K79" s="77" t="str"/>
      <c r="L79" s="77" t="str"/>
    </row>
    <row r="80" ht="20" customHeight="1">
      <c r="A80" s="2"/>
      <c r="B80" s="2"/>
      <c r="C80" s="97" t="n">
        <v>0.7142857142857143</v>
      </c>
      <c r="D80" s="98">
        <f>$D$35*(1-C80)-$G$41</f>
      </c>
      <c r="E80" s="99">
        <f>$G$40/D80</f>
      </c>
      <c r="F80" s="100">
        <f>IF(OR(D80="",E80=""),"",E80/D80)</f>
      </c>
      <c r="G80" s="100">
        <f>IF(OR($D$24="",NOT(ISNUMBER(F80))),"",F80*$D$24)</f>
      </c>
      <c r="H80" s="99">
        <f>IF(NOT(ISNUMBER(F80)),"",F80*$D$35)</f>
      </c>
      <c r="I80" s="99">
        <f>IF(OR($D$24="",NOT(ISNUMBER(H80))),"",H80*$D$24)</f>
      </c>
      <c r="J80" s="97">
        <f>IF($H$80&gt;0,1-H80/$H$80,0)</f>
      </c>
      <c r="K80" s="99"/>
      <c r="L80" s="99"/>
    </row>
    <row r="81" ht="20" customHeight="1">
      <c r="A81" s="2"/>
      <c r="B81" s="2"/>
      <c r="C81" s="79" t="n">
        <v>0.7</v>
      </c>
      <c r="D81" s="82">
        <f>$D$35*(1-C81)-$G$41</f>
      </c>
      <c r="E81" s="27">
        <f>$G$40/D81</f>
      </c>
      <c r="F81" s="85">
        <f>IF(OR(D81="",E81=""),"",E81/D81)</f>
      </c>
      <c r="G81" s="85">
        <f>IF(OR($D$24="",NOT(ISNUMBER(F81))),"",F81*$D$24)</f>
      </c>
      <c r="H81" s="27">
        <f>IF(NOT(ISNUMBER(F81)),"",F81*$D$35)</f>
      </c>
      <c r="I81" s="27">
        <f>IF(OR($D$24="",NOT(ISNUMBER(H81))),"",H81*$D$24)</f>
      </c>
      <c r="J81" s="79">
        <f>IF($H$80&gt;0,1-H81/$H$80,0)</f>
      </c>
      <c r="K81" s="27"/>
      <c r="L81" s="27"/>
    </row>
    <row r="82" ht="20" customHeight="1">
      <c r="A82" s="2"/>
      <c r="B82" s="2"/>
      <c r="C82" s="79" t="n">
        <v>0.6</v>
      </c>
      <c r="D82" s="82">
        <f>$D$35*(1-C82)-$G$41</f>
      </c>
      <c r="E82" s="27">
        <f>$G$40/D82</f>
      </c>
      <c r="F82" s="85">
        <f>IF(OR(D82="",E82=""),"",E82/D82)</f>
      </c>
      <c r="G82" s="85">
        <f>IF(OR($D$24="",NOT(ISNUMBER(F82))),"",F82*$D$24)</f>
      </c>
      <c r="H82" s="27">
        <f>IF(NOT(ISNUMBER(F82)),"",F82*$D$35)</f>
      </c>
      <c r="I82" s="27">
        <f>IF(OR($D$24="",NOT(ISNUMBER(H82))),"",H82*$D$24)</f>
      </c>
      <c r="J82" s="79">
        <f>IF($H$80&gt;0,1-H82/$H$80,0)</f>
      </c>
      <c r="K82" s="27"/>
      <c r="L82" s="27"/>
    </row>
    <row r="83" ht="20" customHeight="1">
      <c r="A83" s="2"/>
      <c r="B83" s="2"/>
      <c r="C83" s="79" t="n">
        <v>0.5</v>
      </c>
      <c r="D83" s="82">
        <f>$D$35*(1-C83)-$G$41</f>
      </c>
      <c r="E83" s="27">
        <f>$G$40/D83</f>
      </c>
      <c r="F83" s="85">
        <f>IF(OR(D83="",E83=""),"",E83/D83)</f>
      </c>
      <c r="G83" s="85">
        <f>IF(OR($D$24="",NOT(ISNUMBER(F83))),"",F83*$D$24)</f>
      </c>
      <c r="H83" s="27">
        <f>IF(NOT(ISNUMBER(F83)),"",F83*$D$35)</f>
      </c>
      <c r="I83" s="27">
        <f>IF(OR($D$24="",NOT(ISNUMBER(H83))),"",H83*$D$24)</f>
      </c>
      <c r="J83" s="79">
        <f>IF($H$80&gt;0,1-H83/$H$80,0)</f>
      </c>
      <c r="K83" s="27"/>
      <c r="L83" s="27"/>
    </row>
    <row r="84" ht="20" customHeight="1">
      <c r="A84" s="2"/>
      <c r="B84" s="2"/>
      <c r="C84" s="79" t="n">
        <v>0.4</v>
      </c>
      <c r="D84" s="82">
        <f>$D$35*(1-C84)-$G$41</f>
      </c>
      <c r="E84" s="27">
        <f>$G$40/D84</f>
      </c>
      <c r="F84" s="85">
        <f>IF(OR(D84="",E84=""),"",E84/D84)</f>
      </c>
      <c r="G84" s="85">
        <f>IF(OR($D$24="",NOT(ISNUMBER(F84))),"",F84*$D$24)</f>
      </c>
      <c r="H84" s="27">
        <f>IF(NOT(ISNUMBER(F84)),"",F84*$D$35)</f>
      </c>
      <c r="I84" s="27">
        <f>IF(OR($D$24="",NOT(ISNUMBER(H84))),"",H84*$D$24)</f>
      </c>
      <c r="J84" s="79">
        <f>IF($H$80&gt;0,1-H84/$H$80,0)</f>
      </c>
      <c r="K84" s="27"/>
      <c r="L84" s="27"/>
    </row>
    <row r="85" ht="20" customHeight="1">
      <c r="A85" s="2"/>
      <c r="B85" s="2"/>
      <c r="C85" s="79" t="n">
        <v>0.3</v>
      </c>
      <c r="D85" s="82">
        <f>$D$35*(1-C85)-$G$41</f>
      </c>
      <c r="E85" s="27">
        <f>$G$40/D85</f>
      </c>
      <c r="F85" s="85">
        <f>IF(OR(D85="",E85=""),"",E85/D85)</f>
      </c>
      <c r="G85" s="85">
        <f>IF(OR($D$24="",NOT(ISNUMBER(F85))),"",F85*$D$24)</f>
      </c>
      <c r="H85" s="27">
        <f>IF(NOT(ISNUMBER(F85)),"",F85*$D$35)</f>
      </c>
      <c r="I85" s="27">
        <f>IF(OR($D$24="",NOT(ISNUMBER(H85))),"",H85*$D$24)</f>
      </c>
      <c r="J85" s="79">
        <f>IF($H$80&gt;0,1-H85/$H$80,0)</f>
      </c>
      <c r="K85" s="27"/>
      <c r="L85" s="27"/>
    </row>
    <row r="86" ht="20" customHeight="1">
      <c r="A86" s="2"/>
      <c r="B86" s="2"/>
      <c r="C86" s="79" t="n">
        <v>0.2</v>
      </c>
      <c r="D86" s="82">
        <f>$D$35*(1-C86)-$G$41</f>
      </c>
      <c r="E86" s="27">
        <f>$G$40/D86</f>
      </c>
      <c r="F86" s="85">
        <f>IF(OR(D86="",E86=""),"",E86/D86)</f>
      </c>
      <c r="G86" s="85">
        <f>IF(OR($D$24="",NOT(ISNUMBER(F86))),"",F86*$D$24)</f>
      </c>
      <c r="H86" s="27">
        <f>IF(NOT(ISNUMBER(F86)),"",F86*$D$35)</f>
      </c>
      <c r="I86" s="27">
        <f>IF(OR($D$24="",NOT(ISNUMBER(H86))),"",H86*$D$24)</f>
      </c>
      <c r="J86" s="79">
        <f>IF($H$80&gt;0,1-H86/$H$80,0)</f>
      </c>
      <c r="K86" s="27"/>
      <c r="L86" s="27"/>
    </row>
    <row r="87" ht="20" customHeight="1">
      <c r="A87" s="2"/>
      <c r="B87" s="2"/>
      <c r="C87" s="79" t="n">
        <v>0.1</v>
      </c>
      <c r="D87" s="82">
        <f>$D$35*(1-C87)-$G$41</f>
      </c>
      <c r="E87" s="27">
        <f>$G$40/D87</f>
      </c>
      <c r="F87" s="85">
        <f>IF(OR(D87="",E87=""),"",E87/D87)</f>
      </c>
      <c r="G87" s="85">
        <f>IF(OR($D$24="",NOT(ISNUMBER(F87))),"",F87*$D$24)</f>
      </c>
      <c r="H87" s="27">
        <f>IF(NOT(ISNUMBER(F87)),"",F87*$D$35)</f>
      </c>
      <c r="I87" s="27">
        <f>IF(OR($D$24="",NOT(ISNUMBER(H87))),"",H87*$D$24)</f>
      </c>
      <c r="J87" s="79">
        <f>IF($H$80&gt;0,1-H87/$H$80,0)</f>
      </c>
      <c r="K87" s="27"/>
      <c r="L87" s="27"/>
    </row>
    <row r="88" ht="20" customHeight="1">
      <c r="A88" s="2"/>
      <c r="B88" s="2"/>
      <c r="C88" s="80" t="n">
        <v>0</v>
      </c>
      <c r="D88" s="83">
        <f>$D$35*(1-C88)-$G$41</f>
      </c>
      <c r="E88" s="28">
        <f>$G$40/D88</f>
      </c>
      <c r="F88" s="86">
        <f>IF(OR(D88="",E88=""),"",E88/D88)</f>
      </c>
      <c r="G88" s="86">
        <f>IF(OR($D$24="",NOT(ISNUMBER(F88))),"",F88*$D$24)</f>
      </c>
      <c r="H88" s="28">
        <f>IF(NOT(ISNUMBER(F88)),"",F88*$D$35)</f>
      </c>
      <c r="I88" s="28">
        <f>IF(OR($D$24="",NOT(ISNUMBER(H88))),"",H88*$D$24)</f>
      </c>
      <c r="J88" s="80">
        <f>IF($H$80&gt;0,1-H88/$H$80,0)</f>
      </c>
      <c r="K88" s="103" t="str">
        <v>沉没成本 / Quote</v>
      </c>
      <c r="L88" s="28">
        <f>E88</f>
      </c>
    </row>
    <row r="89" ht="20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ht="20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ht="20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ht="20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ht="20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ht="20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ht="20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ht="20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ht="20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ht="20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ht="20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ht="20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ht="20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ht="20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ht="20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ht="20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ht="20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ht="20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ht="20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ht="20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ht="20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ht="20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ht="20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ht="20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ht="20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ht="20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ht="20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ht="20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ht="20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ht="20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ht="20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ht="20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ht="20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ht="20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ht="20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ht="20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ht="20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ht="20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ht="20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ht="20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ht="20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ht="20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ht="20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ht="20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ht="20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ht="20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ht="20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ht="20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ht="20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ht="20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ht="20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ht="20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</sheetData>
  <mergeCells>
    <mergeCell ref="C3:L3"/>
    <mergeCell ref="K8:L8"/>
    <mergeCell ref="K10:L10"/>
    <mergeCell ref="K11:L12"/>
    <mergeCell ref="C13:L13"/>
    <mergeCell ref="C19:L19"/>
    <mergeCell ref="I28:L28"/>
    <mergeCell ref="I25:L25"/>
    <mergeCell ref="J23:L23"/>
    <mergeCell ref="G24:H24"/>
    <mergeCell ref="D32:E33"/>
    <mergeCell ref="D31:E31"/>
    <mergeCell ref="D36:E36"/>
    <mergeCell ref="D37:E37"/>
    <mergeCell ref="D38:E38"/>
    <mergeCell ref="D39:E40"/>
    <mergeCell ref="J39:L40"/>
    <mergeCell ref="J24:L24"/>
    <mergeCell ref="J41:L41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2492.22340544782</v>
      </c>
      <c r="T9" s="29">
        <v>46283.319202858795</v>
      </c>
      <c r="U9" s="32" t="inlineStr">
        <is>
          <t>https://api.coingecko.com/api/v3/simple/price?ids=tether,ethereum,binancecoin&amp;vs_currencies=usd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337.67634954441365</v>
      </c>
      <c r="T10" s="30">
        <v>46283.31890171296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2.7223085176229445</v>
      </c>
      <c r="T11" s="30">
        <v>46283.31890751157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46283.31891328703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46283.31891908565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46283.31892493055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46283.31893068287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46283.31893646991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46283.31894229166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177.19325988438194</v>
      </c>
      <c r="T18" s="30">
        <v>46283.318948101856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46283.31895386574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86.2531426649799</v>
      </c>
      <c r="T20" s="30">
        <v>46283.31895965277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46283.318965451384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8.777443271894565</v>
      </c>
      <c r="T22" s="30">
        <v>46283.31897125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46283.31897706018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46283.318982847224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403.86247537912146</v>
      </c>
      <c r="T25" s="30">
        <v>46283.31898863426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46283.31899443287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349.16609284673405</v>
      </c>
      <c r="T27" s="30">
        <v>46283.319000208336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28.334027255112332</v>
      </c>
      <c r="T28" s="30">
        <v>46283.31900599537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46283.319011782405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46283.31901756945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46283.31902337963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1156.5007126042883</v>
      </c>
      <c r="T32" s="30">
        <v>46283.31902918982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46283.31903496527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687.4429516229762</v>
      </c>
      <c r="T34" s="30">
        <v>46283.31904077547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46283.319046550925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46283.31905237269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46283.3190581713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135.63501849568433</v>
      </c>
      <c r="T38" s="30">
        <v>46283.31906393519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995.1538904991431</v>
      </c>
      <c r="T39" s="30">
        <v>46283.3190697338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46283.319081331014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46283.319087129625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222.3885855205214</v>
      </c>
      <c r="T42" s="30">
        <v>46283.3190755324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46283.319092881946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46283.31909866898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724.1640911492946</v>
      </c>
      <c r="T45" s="30">
        <v>46283.319104490736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47.830560315147245</v>
      </c>
      <c r="T46" s="30">
        <v>46283.31911027778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154.42094896472207</v>
      </c>
      <c r="T47" s="30">
        <v>46283.31911606481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46283.31912184028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101.96646756449468</v>
      </c>
      <c r="T49" s="30">
        <v>46283.31912763889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46283.31913341435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46283.319139189814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46283.31914501158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46283.319150787036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46283.319156655096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155.87217960830785</v>
      </c>
      <c r="T55" s="30">
        <v>46283.31916237269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765.3089820167502</v>
      </c>
      <c r="T56" s="30">
        <v>46283.31916814815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369.4432879081461</v>
      </c>
      <c r="T57" s="30">
        <v>46283.31917391204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46283.31917971065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46283.31918549768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46283.31919128472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46283.319197060184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46283.319202858795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