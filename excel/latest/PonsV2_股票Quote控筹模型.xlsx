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4dc4a989c418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302c7757af445bf"/>
    <sheet name="Quote参数" sheetId="2" r:id="R6ca9761c17d0484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a0e6942b3c44c5" /><Relationship Type="http://schemas.openxmlformats.org/officeDocument/2006/relationships/theme" Target="/xl/theme/theme1.xml" Id="Re662f608f2894144" /><Relationship Type="http://schemas.openxmlformats.org/officeDocument/2006/relationships/sharedStrings" Target="/xl/sharedStrings.xml" Id="R3254243ae3d4469a" /><Relationship Type="http://schemas.openxmlformats.org/officeDocument/2006/relationships/worksheet" Target="/xl/worksheets/sheet1.xml" Id="R8302c7757af445bf" /><Relationship Type="http://schemas.openxmlformats.org/officeDocument/2006/relationships/worksheet" Target="/xl/worksheets/sheet2.xml" Id="R6ca9761c17d048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17">
        <f>IF(ISNUMBER($D$26),(IF(LEFT($D$30,2)&lt;&gt;"可达","",IF($D$22="","",SUM($D$22,$D$23,$D$24,$D$25))))+$D$26,"")</f>
      </c>
      <c r="E18" s="62">
        <f>$D$7</f>
      </c>
      <c r="F18" s="107" t="str">
        <v>原生币 Gas 储备</v>
      </c>
      <c r="G18" s="74">
        <f>$D$32*MAX(0,$G$11)</f>
      </c>
      <c r="H18" s="62" t="str">
        <v>ETH</v>
      </c>
      <c r="I18" s="107" t="str">
        <v>总折算 / USDT</v>
      </c>
      <c r="J18" s="117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18">
        <f>IF(ISNUMBER($D$18),IF($D$18=0,0,IF($D$33&gt;0,$D$18*$D$33,"")),"")</f>
      </c>
      <c r="E19" s="106" t="str">
        <v>USDT</v>
      </c>
      <c r="F19" s="107" t="str">
        <v>Gas 折算 / USDT</v>
      </c>
      <c r="G19" s="118">
        <f>IF($G$18=0,0,IF($J$19="","",$G$18*$J$19))</f>
      </c>
      <c r="H19" s="106" t="str">
        <v>USDT</v>
      </c>
      <c r="I19" s="107" t="str">
        <v>原生币价格 / USDT</v>
      </c>
      <c r="J19" s="119">
        <f>IF($D$7="ETH",$D$33,IF(VLOOKUP("ETH",'Quote参数'!$E$9:$S$62,15,FALSE)&gt;0,VLOOKUP("ETH",'Quote参数'!$E$9:$S$62,15,FALSE),""))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"&amp;TEXT($D$31,"0%")&amp;" 理论资金"</f>
      </c>
      <c r="D22" s="118">
        <f>IF(LEFT($D$30,2)&lt;&gt;"可达","",IF($J$45="","",$J$41+$J$45))</f>
      </c>
      <c r="E22" s="106">
        <f>$D$7</f>
      </c>
      <c r="F22" s="106"/>
      <c r="G22" s="106"/>
      <c r="H22" s="106"/>
      <c r="I22" s="115" t="str">
        <v>内盘</v>
      </c>
      <c r="J22" s="116"/>
      <c r="K22" s="116"/>
      <c r="L22" s="116"/>
    </row>
    <row r="23" ht="20" customHeight="1">
      <c r="A23" s="2"/>
      <c r="B23" s="2"/>
      <c r="C23" s="107" t="str">
        <v>额外内盘资金</v>
      </c>
      <c r="D23" s="118">
        <f>IF(LEFT($D$30,2)&lt;&gt;"可达","",IF($J$41="","",$J$41*MAX(0,$G$7-1)))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0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18">
        <f>IF(LEFT($D$30,2)&lt;&gt;"可达","",IF($J$46="","",$J$46*($G$42+$J$7)*2))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0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18">
        <f>$G$12</f>
      </c>
      <c r="E25" s="106">
        <f>$D$7</f>
      </c>
      <c r="F25" s="106"/>
      <c r="G25" s="106"/>
      <c r="H25" s="106"/>
      <c r="I25" s="107" t="str">
        <v>卖出含税费率</v>
      </c>
      <c r="J25" s="120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18">
        <f>IF(LEFT($D$30,2)&lt;&gt;"可达","",0)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1">
        <f>$D$8*$J$54</f>
      </c>
      <c r="E27" s="106"/>
      <c r="F27" s="106"/>
      <c r="G27" s="106"/>
      <c r="H27" s="106"/>
      <c r="I27" s="115" t="str">
        <v>外盘 · Hook</v>
      </c>
      <c r="J27" s="116"/>
      <c r="K27" s="116"/>
      <c r="L27" s="116"/>
    </row>
    <row r="28" ht="20" customHeight="1">
      <c r="A28" s="2"/>
      <c r="B28" s="2"/>
      <c r="C28" s="107" t="str">
        <v>补回目标控筹率</v>
      </c>
      <c r="D28" s="120">
        <f>$D$8</f>
      </c>
      <c r="E28" s="106"/>
      <c r="F28" s="106"/>
      <c r="G28" s="106"/>
      <c r="H28" s="106"/>
      <c r="I28" s="107" t="str">
        <v>基础手续费</v>
      </c>
      <c r="J28" s="120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0">
        <f>$J$47*2</f>
      </c>
      <c r="E29" s="106"/>
      <c r="F29" s="106"/>
      <c r="G29" s="106"/>
      <c r="H29" s="106"/>
      <c r="I29" s="107" t="str">
        <v>买入含税费率</v>
      </c>
      <c r="J29" s="120">
        <f>$G$42+$J$7</f>
      </c>
      <c r="K29" s="106"/>
      <c r="L29" s="106"/>
    </row>
    <row r="30" ht="32" customHeight="1">
      <c r="A30" s="2"/>
      <c r="B30" s="2"/>
      <c r="C30" s="107" t="str">
        <v>目标是否可达</v>
      </c>
      <c r="D30" s="107">
        <f>IF($J$51&lt;&gt;"参数有效",$J$51,IF(OR($D$8&lt;0,$D$8&gt;=1),"目标控筹率无效",IF(OR($J$7&lt;0,$J$7&gt;$G$53),"Creator Tax无效",IF($D$31&gt;=$G$32,"目标+1%不可达",IF($J$9="否","可达；Snipe税未计","可达")))))</f>
      </c>
      <c r="E30" s="106"/>
      <c r="F30" s="106"/>
      <c r="G30" s="106"/>
      <c r="H30" s="106"/>
      <c r="I30" s="107" t="str">
        <v>卖出含税费率</v>
      </c>
      <c r="J30" s="120">
        <f>$G$42+$J$7</f>
      </c>
      <c r="K30" s="106"/>
      <c r="L30" s="106"/>
    </row>
    <row r="31" ht="20" customHeight="1">
      <c r="A31" s="2"/>
      <c r="B31" s="2"/>
      <c r="C31" s="107" t="str">
        <v>预算使用控筹率</v>
      </c>
      <c r="D31" s="120">
        <f>$D$8+1%</f>
      </c>
      <c r="E31" s="106"/>
      <c r="F31" s="106"/>
      <c r="G31" s="106"/>
      <c r="H31" s="106"/>
      <c r="I31" s="106"/>
      <c r="J31" s="106"/>
      <c r="K31" s="106"/>
      <c r="L31" s="106"/>
    </row>
    <row r="32" ht="20" customHeight="1">
      <c r="A32" s="2"/>
      <c r="B32" s="2"/>
      <c r="C32" s="107" t="str">
        <v>地址总数</v>
      </c>
      <c r="D32" s="118">
        <f>MAX(0,$G$8)*MAX(0,$G$7)+MAX(0,$G$9)+MAX(0,$G$10)</f>
      </c>
      <c r="E32" s="106"/>
      <c r="F32" s="107" t="str">
        <v>当前控筹上限</v>
      </c>
      <c r="G32" s="120">
        <f>MIN(1-$G$51/$D$45,$G$43+(1-$G$42-$J$7)*$G$48/$D$45)</f>
      </c>
      <c r="H32" s="106"/>
      <c r="I32" s="106"/>
      <c r="J32" s="106"/>
      <c r="K32" s="106"/>
      <c r="L32" s="106"/>
    </row>
    <row r="33" ht="20" customHeight="1">
      <c r="A33" s="2"/>
      <c r="B33" s="2"/>
      <c r="C33" s="107" t="str">
        <v>Quote 价格 / USDT</v>
      </c>
      <c r="D33" s="119">
        <f>IF($D$9&lt;&gt;"",IF(AND(ISNUMBER($D$9),$D$9&gt;0),$D$9,""),IF(VLOOKUP($D$7,'Quote参数'!$E$9:$S$62,15,FALSE)&gt;0,VLOOKUP($D$7,'Quote参数'!$E$9:$S$62,15,FALSE),""))</f>
      </c>
      <c r="E33" s="106"/>
      <c r="F33" s="106"/>
      <c r="G33" s="106"/>
      <c r="H33" s="106"/>
      <c r="I33" s="106"/>
      <c r="J33" s="106"/>
      <c r="K33" s="106"/>
      <c r="L33" s="106"/>
    </row>
    <row r="34" ht="20" customHeight="1">
      <c r="A34" s="2"/>
      <c r="B34" s="2"/>
      <c r="C34" s="107" t="str">
        <v>行情时间 / UTC</v>
      </c>
      <c r="D34" s="122">
        <f>IF(VLOOKUP($D$7,'Quote参数'!$E$9:$T$62,16,FALSE)=0,"",VLOOKUP($D$7,'Quote参数'!$E$9:$T$62,16,FALSE))</f>
      </c>
      <c r="E34" s="106"/>
      <c r="F34" s="106"/>
      <c r="G34" s="106"/>
      <c r="H34" s="106"/>
      <c r="I34" s="106"/>
      <c r="J34" s="106"/>
      <c r="K34" s="106"/>
      <c r="L34" s="106"/>
    </row>
    <row r="35" ht="20" customHeight="1">
      <c r="A35" s="2"/>
      <c r="B35" s="2"/>
      <c r="C35" s="107" t="str">
        <v>价格采用方式</v>
      </c>
      <c r="D35" s="106">
        <f>IF($D$9&lt;&gt;"","手动覆盖","每日行情")</f>
      </c>
      <c r="E35" s="106"/>
      <c r="F35" s="107">
        <f>IF($D$9&lt;&gt;"",IF($D$33="","手动价格无效","手动价格"),IF($D$33="","缺少价格","每日行情"))</f>
      </c>
      <c r="G35" s="107"/>
      <c r="H35" s="107"/>
      <c r="I35" s="106"/>
      <c r="J35" s="106"/>
      <c r="K35" s="106"/>
      <c r="L35" s="106"/>
    </row>
    <row r="36" ht="30" customHeight="1">
      <c r="A36" s="2"/>
      <c r="B36" s="2"/>
      <c r="C36" s="111" t="str">
        <v>Pons 按现有 Quote 洗筹损耗预算承担费用、持仓保持目标的口径，补回资金为 0；不代表免手续费。动态 Snipe Tax 未计入。</v>
      </c>
      <c r="D36" s="111"/>
      <c r="E36" s="111"/>
      <c r="F36" s="111"/>
      <c r="G36" s="111"/>
      <c r="H36" s="111"/>
      <c r="I36" s="111"/>
      <c r="J36" s="111"/>
      <c r="K36" s="111"/>
      <c r="L36" s="111"/>
    </row>
    <row r="37" ht="22" customHeight="1">
      <c r="A37" s="2"/>
      <c r="B37" s="2"/>
      <c r="C37" s="123" t="str">
        <v>沉没成本（模型参考，不重复计入预算）</v>
      </c>
      <c r="D37" s="123"/>
      <c r="E37" s="123"/>
      <c r="F37" s="123"/>
      <c r="G37" s="124">
        <f>E98</f>
      </c>
      <c r="H37" s="123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110" t="str">
        <v>三、模型信息与计算口径（默认折叠，点左侧 + 展开）</v>
      </c>
      <c r="D39" s="110"/>
      <c r="E39" s="110"/>
      <c r="F39" s="110"/>
      <c r="G39" s="110"/>
      <c r="H39" s="110"/>
      <c r="I39" s="110"/>
      <c r="J39" s="110"/>
      <c r="K39" s="110"/>
      <c r="L39" s="110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>
        <f>VLOOKUP($D$7,'Quote参数'!$E$9:$J$62,2,FALSE)</f>
      </c>
      <c r="E41"/>
      <c r="F41" t="str">
        <v>内盘基础费</v>
      </c>
      <c r="G41">
        <f>1%</f>
      </c>
      <c r="H41"/>
      <c r="I41" t="str">
        <v>一套内盘打满 / Quote</v>
      </c>
      <c r="J41">
        <f>IF(1-$G$41-$J$7&gt;0,$G$44/(1-$G$41-$J$7),"")</f>
      </c>
      <c r="K41"/>
      <c r="L41"/>
    </row>
    <row r="42" ht="36" customHeight="1" outlineLevel="1" hidden="1">
      <c r="A42"/>
      <c r="B42"/>
      <c r="C42" t="str">
        <v>Quote 合约</v>
      </c>
      <c r="D42">
        <f>VLOOKUP($D$7,'Quote参数'!$E$9:$J$62,3,FALSE)</f>
      </c>
      <c r="E42"/>
      <c r="F42" t="str">
        <v>外盘 Hook 费</v>
      </c>
      <c r="G42">
        <f>1%</f>
      </c>
      <c r="H42"/>
      <c r="I42" t="str">
        <v>目标+1% Pool TOKEN</v>
      </c>
      <c r="J42">
        <f>IF($D$31&lt;$G$32,$D$45*(1-$D$31)-$G$51,"")</f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>
        <f>$G$44/($G$46+$G$44)</f>
      </c>
      <c r="H43"/>
      <c r="I43" t="str">
        <v>目标+1% Pool Quote</v>
      </c>
      <c r="J43">
        <f>IF($J$42="","",$G$50/$J$42)</f>
      </c>
      <c r="K43"/>
      <c r="L43"/>
    </row>
    <row r="44" ht="6" customHeight="1" outlineLevel="1" hidden="1">
      <c r="A44"/>
      <c r="B44"/>
      <c r="C44" t="str">
        <v>Decimals</v>
      </c>
      <c r="D44">
        <f>VLOOKUP($D$7,'Quote参数'!$E$9:$J$62,4,FALSE)</f>
      </c>
      <c r="E44"/>
      <c r="F44" t="str">
        <v>毕业真实 Quote</v>
      </c>
      <c r="G44">
        <f>VLOOKUP($D$7,'Quote参数'!$E$9:$J$62,6,FALSE)</f>
      </c>
      <c r="H44"/>
      <c r="I44" t="str">
        <v>外盘净增加 / Quote</v>
      </c>
      <c r="J44">
        <f>IF($J$43="","",MAX(0,$J$43-$G$44))</f>
      </c>
      <c r="K44"/>
      <c r="L44"/>
    </row>
    <row r="45" ht="6" customHeight="1" outlineLevel="1" hidden="1">
      <c r="A45"/>
      <c r="B45"/>
      <c r="C45" t="str">
        <v>总供应量</v>
      </c>
      <c r="D45">
        <f>1000000000</f>
      </c>
      <c r="E45"/>
      <c r="F45" t="str">
        <v>内盘初始 TOKEN</v>
      </c>
      <c r="G45">
        <f>$D$45</f>
      </c>
      <c r="H45"/>
      <c r="I45" t="str">
        <v>外盘含费投入 / Quote</v>
      </c>
      <c r="J45">
        <f>IF($J$42="","",$G$50/($G$48-MAX(0,($D$31-$G$43)*$D$45)/(1-$G$42-$J$7))-$G$44)</f>
      </c>
      <c r="K45"/>
      <c r="L45"/>
    </row>
    <row r="46" ht="6" customHeight="1" outlineLevel="1" hidden="1">
      <c r="A46"/>
      <c r="B46"/>
      <c r="C46" t="str">
        <v>协议参数证据</v>
      </c>
      <c r="D46">
        <f>VLOOKUP($D$7,'Quote参数'!$E$9:$P$62,12,FALSE)</f>
      </c>
      <c r="E46"/>
      <c r="F46" t="str">
        <v>phantom Quote</v>
      </c>
      <c r="G46">
        <f>VLOOKUP($D$7,'Quote参数'!$E$9:$J$62,5,FALSE)</f>
      </c>
      <c r="H46"/>
      <c r="I46" t="str">
        <v>目标+1% FDV / Quote</v>
      </c>
      <c r="J46">
        <f>IF($J$43="","",$J$43/$J$42*$D$45)</f>
      </c>
      <c r="K46"/>
      <c r="L46"/>
    </row>
    <row r="47" ht="24" customHeight="1" outlineLevel="1" hidden="1">
      <c r="A47"/>
      <c r="B47"/>
      <c r="C47" t="str">
        <v>外盘机制</v>
      </c>
      <c r="D47" t="str">
        <v>Uniswap V4 / exact-input</v>
      </c>
      <c r="E47"/>
      <c r="F47" t="str">
        <v>内盘 k</v>
      </c>
      <c r="G47">
        <f>$G$46*$D$45</f>
      </c>
      <c r="H47"/>
      <c r="I47" t="str">
        <v>洗筹单边费率</v>
      </c>
      <c r="J47">
        <f>$G$42+$J$7</f>
      </c>
      <c r="K47"/>
      <c r="L47"/>
    </row>
    <row r="48" ht="30" customHeight="1" outlineLevel="1" hidden="1">
      <c r="A48"/>
      <c r="B48"/>
      <c r="C48" t="str">
        <v>费用方向</v>
      </c>
      <c r="D48" t="str">
        <v>Hook + Creator Tax 从 Meme 输出扣除</v>
      </c>
      <c r="E48"/>
      <c r="F48" t="str">
        <v>外盘初始 TOKEN</v>
      </c>
      <c r="G48">
        <f>$D$45*$G$46*$G$44/($G$46+$G$44)^2</f>
      </c>
      <c r="H48"/>
      <c r="I48" t="str">
        <v>预算缓冲</v>
      </c>
      <c r="J48" t="n">
        <v>0.01</v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×（Hook + Creator Tax）×2</v>
      </c>
      <c r="E49"/>
      <c r="F49" t="str">
        <v>外盘初始 Quote</v>
      </c>
      <c r="G49">
        <f>$G$44</f>
      </c>
      <c r="H49"/>
      <c r="I49" t="str">
        <v>分红与回购口径</v>
      </c>
      <c r="J49" t="str">
        <v>不抵扣分红 / 回购收益</v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>
        <f>$G$48*$G$44</f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Locker TOKEN</v>
      </c>
      <c r="G51">
        <f>$D$45*$G$46^2/($G$46+$G$44)^2</f>
      </c>
      <c r="H51"/>
      <c r="I51" t="str">
        <v>输入检查</v>
      </c>
      <c r="J51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/>
      <c r="L51"/>
    </row>
    <row r="52" ht="20" customHeight="1" outlineLevel="1" hidden="1">
      <c r="A52"/>
      <c r="B52"/>
      <c r="C52"/>
      <c r="D52"/>
      <c r="E52"/>
      <c r="F52" t="str">
        <v>Snipe 窗口</v>
      </c>
      <c r="G52" t="str">
        <v>3 秒；默认豁免或避开</v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Creator Tax 上限</v>
      </c>
      <c r="G53">
        <f>10%</f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8" t="str">
        <v>洗后持仓保留比例</v>
      </c>
      <c r="J54">
        <f>1</f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8" t="str">
        <v>目标外盘 Pool TOKEN</v>
      </c>
      <c r="J55"/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8" t="str">
        <v>洗后外盘 Pool TOKEN</v>
      </c>
      <c r="J56"/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25">
        <f>$D$45*(1-C59)</f>
      </c>
      <c r="E59" s="125">
        <f>$G$47/D59</f>
      </c>
      <c r="F59">
        <f>IF(OR(D59="",E59=""),"",E59/D59)</f>
      </c>
      <c r="G59">
        <f>IF(OR($D$33="",NOT(ISNUMBER(F59))),"",F59*$D$33)</f>
      </c>
      <c r="H59" s="125">
        <f>IF(NOT(ISNUMBER(F59)),"",F59*$D$45)</f>
      </c>
      <c r="I59" s="125">
        <f>IF(OR($D$33="",NOT(ISNUMBER(H59))),"",H59*$D$33)</f>
      </c>
      <c r="J59" s="125">
        <f>0</f>
      </c>
      <c r="K59" s="125">
        <f>J59/(1-$G$41-$J$7)</f>
      </c>
      <c r="L59" s="125">
        <f>SUM($K$59:K59)</f>
      </c>
    </row>
    <row r="60" ht="24" customHeight="1">
      <c r="A60"/>
      <c r="B60"/>
      <c r="C60" t="n">
        <v>0.1</v>
      </c>
      <c r="D60" s="125">
        <f>$D$45*(1-C60)</f>
      </c>
      <c r="E60" s="125">
        <f>$G$47/D60</f>
      </c>
      <c r="F60">
        <f>IF(OR(D60="",E60=""),"",E60/D60)</f>
      </c>
      <c r="G60">
        <f>IF(OR($D$33="",NOT(ISNUMBER(F60))),"",F60*$D$33)</f>
      </c>
      <c r="H60" s="125">
        <f>IF(NOT(ISNUMBER(F60)),"",F60*$D$45)</f>
      </c>
      <c r="I60" s="125">
        <f>IF(OR($D$33="",NOT(ISNUMBER(H60))),"",H60*$D$33)</f>
      </c>
      <c r="J60" s="125">
        <f>E60-E59</f>
      </c>
      <c r="K60" s="125">
        <f>J60/(1-$G$41-$J$7)</f>
      </c>
      <c r="L60" s="125">
        <f>SUM($K$59:K60)</f>
      </c>
    </row>
    <row r="61" ht="30" customHeight="1">
      <c r="A61"/>
      <c r="B61"/>
      <c r="C61" t="n">
        <v>0.2</v>
      </c>
      <c r="D61" s="125">
        <f>$D$45*(1-C61)</f>
      </c>
      <c r="E61" s="125">
        <f>$G$47/D61</f>
      </c>
      <c r="F61">
        <f>IF(OR(D61="",E61=""),"",E61/D61)</f>
      </c>
      <c r="G61">
        <f>IF(OR($D$33="",NOT(ISNUMBER(F61))),"",F61*$D$33)</f>
      </c>
      <c r="H61" s="125">
        <f>IF(NOT(ISNUMBER(F61)),"",F61*$D$45)</f>
      </c>
      <c r="I61" s="125">
        <f>IF(OR($D$33="",NOT(ISNUMBER(H61))),"",H61*$D$33)</f>
      </c>
      <c r="J61" s="125">
        <f>E61-E60</f>
      </c>
      <c r="K61" s="125">
        <f>J61/(1-$G$41-$J$7)</f>
      </c>
      <c r="L61" s="125">
        <f>SUM($K$59:K61)</f>
      </c>
    </row>
    <row r="62" ht="20" customHeight="1">
      <c r="A62"/>
      <c r="B62"/>
      <c r="C62" t="n">
        <v>0.3</v>
      </c>
      <c r="D62" s="125">
        <f>$D$45*(1-C62)</f>
      </c>
      <c r="E62" s="125">
        <f>$G$47/D62</f>
      </c>
      <c r="F62">
        <f>IF(OR(D62="",E62=""),"",E62/D62)</f>
      </c>
      <c r="G62">
        <f>IF(OR($D$33="",NOT(ISNUMBER(F62))),"",F62*$D$33)</f>
      </c>
      <c r="H62" s="125">
        <f>IF(NOT(ISNUMBER(F62)),"",F62*$D$45)</f>
      </c>
      <c r="I62" s="125">
        <f>IF(OR($D$33="",NOT(ISNUMBER(H62))),"",H62*$D$33)</f>
      </c>
      <c r="J62" s="125">
        <f>E62-E61</f>
      </c>
      <c r="K62" s="125">
        <f>J62/(1-$G$41-$J$7)</f>
      </c>
      <c r="L62" s="125">
        <f>SUM($K$59:K62)</f>
      </c>
    </row>
    <row r="63" ht="20" customHeight="1">
      <c r="A63"/>
      <c r="B63"/>
      <c r="C63" t="n">
        <v>0.4</v>
      </c>
      <c r="D63" s="125">
        <f>$D$45*(1-C63)</f>
      </c>
      <c r="E63" s="125">
        <f>$G$47/D63</f>
      </c>
      <c r="F63">
        <f>IF(OR(D63="",E63=""),"",E63/D63)</f>
      </c>
      <c r="G63">
        <f>IF(OR($D$33="",NOT(ISNUMBER(F63))),"",F63*$D$33)</f>
      </c>
      <c r="H63" s="125">
        <f>IF(NOT(ISNUMBER(F63)),"",F63*$D$45)</f>
      </c>
      <c r="I63" s="125">
        <f>IF(OR($D$33="",NOT(ISNUMBER(H63))),"",H63*$D$33)</f>
      </c>
      <c r="J63" s="125">
        <f>E63-E62</f>
      </c>
      <c r="K63" s="125">
        <f>J63/(1-$G$41-$J$7)</f>
      </c>
      <c r="L63" s="125">
        <f>SUM($K$59:K63)</f>
      </c>
    </row>
    <row r="64" ht="20" customHeight="1">
      <c r="A64"/>
      <c r="B64"/>
      <c r="C64" t="n">
        <v>0.5</v>
      </c>
      <c r="D64" s="125">
        <f>$D$45*(1-C64)</f>
      </c>
      <c r="E64" s="125">
        <f>$G$47/D64</f>
      </c>
      <c r="F64">
        <f>IF(OR(D64="",E64=""),"",E64/D64)</f>
      </c>
      <c r="G64">
        <f>IF(OR($D$33="",NOT(ISNUMBER(F64))),"",F64*$D$33)</f>
      </c>
      <c r="H64" s="125">
        <f>IF(NOT(ISNUMBER(F64)),"",F64*$D$45)</f>
      </c>
      <c r="I64" s="125">
        <f>IF(OR($D$33="",NOT(ISNUMBER(H64))),"",H64*$D$33)</f>
      </c>
      <c r="J64" s="125">
        <f>E64-E63</f>
      </c>
      <c r="K64" s="125">
        <f>J64/(1-$G$41-$J$7)</f>
      </c>
      <c r="L64" s="125">
        <f>SUM($K$59:K64)</f>
      </c>
    </row>
    <row r="65" ht="20" customHeight="1">
      <c r="A65"/>
      <c r="B65"/>
      <c r="C65" t="n">
        <v>0.6</v>
      </c>
      <c r="D65" s="125">
        <f>$D$45*(1-C65)</f>
      </c>
      <c r="E65" s="125">
        <f>$G$47/D65</f>
      </c>
      <c r="F65">
        <f>IF(OR(D65="",E65=""),"",E65/D65)</f>
      </c>
      <c r="G65">
        <f>IF(OR($D$33="",NOT(ISNUMBER(F65))),"",F65*$D$33)</f>
      </c>
      <c r="H65" s="125">
        <f>IF(NOT(ISNUMBER(F65)),"",F65*$D$45)</f>
      </c>
      <c r="I65" s="125">
        <f>IF(OR($D$33="",NOT(ISNUMBER(H65))),"",H65*$D$33)</f>
      </c>
      <c r="J65" s="125">
        <f>E65-E64</f>
      </c>
      <c r="K65" s="125">
        <f>J65/(1-$G$41-$J$7)</f>
      </c>
      <c r="L65" s="125">
        <f>SUM($K$59:K65)</f>
      </c>
    </row>
    <row r="66" ht="20" customHeight="1">
      <c r="A66"/>
      <c r="B66"/>
      <c r="C66" t="n">
        <v>0.7</v>
      </c>
      <c r="D66" s="125">
        <f>$D$45*(1-C66)</f>
      </c>
      <c r="E66" s="125">
        <f>$G$47/D66</f>
      </c>
      <c r="F66">
        <f>IF(OR(D66="",E66=""),"",E66/D66)</f>
      </c>
      <c r="G66">
        <f>IF(OR($D$33="",NOT(ISNUMBER(F66))),"",F66*$D$33)</f>
      </c>
      <c r="H66" s="125">
        <f>IF(NOT(ISNUMBER(F66)),"",F66*$D$45)</f>
      </c>
      <c r="I66" s="125">
        <f>IF(OR($D$33="",NOT(ISNUMBER(H66))),"",H66*$D$33)</f>
      </c>
      <c r="J66" s="125">
        <f>E66-E65</f>
      </c>
      <c r="K66" s="125">
        <f>J66/(1-$G$41-$J$7)</f>
      </c>
      <c r="L66" s="125">
        <f>SUM($K$59:K66)</f>
      </c>
    </row>
    <row r="67" ht="20" customHeight="1">
      <c r="A67"/>
      <c r="B67"/>
      <c r="C67">
        <f>$G$43</f>
      </c>
      <c r="D67" s="125">
        <f>$D$45*(1-C67)</f>
      </c>
      <c r="E67" s="125">
        <f>$G$47/D67</f>
      </c>
      <c r="F67">
        <f>IF(OR(D67="",E67=""),"",E67/D67)</f>
      </c>
      <c r="G67">
        <f>IF(OR($D$33="",NOT(ISNUMBER(F67))),"",F67*$D$33)</f>
      </c>
      <c r="H67" s="125">
        <f>IF(NOT(ISNUMBER(F67)),"",F67*$D$45)</f>
      </c>
      <c r="I67" s="125">
        <f>IF(OR($D$33="",NOT(ISNUMBER(H67))),"",H67*$D$33)</f>
      </c>
      <c r="J67" s="125">
        <f>E67-E66</f>
      </c>
      <c r="K67" s="125">
        <f>J67/(1-$G$41-$J$7)</f>
      </c>
      <c r="L67" s="125">
        <f>SUM($K$59:K67)</f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>
        <f>$G$43</f>
      </c>
      <c r="D72" s="125">
        <f>$G$48</f>
      </c>
      <c r="E72" s="125">
        <f>$G$44</f>
      </c>
      <c r="F72">
        <f>IF(OR(D72="",E72=""),"",E72/D72)</f>
      </c>
      <c r="G72">
        <f>IF(OR($D$33="",NOT(ISNUMBER(F72))),"",F72*$D$33)</f>
      </c>
      <c r="H72" s="125">
        <f>IF(NOT(ISNUMBER(F72)),"",F72*$D$45)</f>
      </c>
      <c r="I72" s="125">
        <f>IF(OR($D$33="",NOT(ISNUMBER(H72))),"",H72*$D$33)</f>
      </c>
      <c r="J72" s="125">
        <f>0</f>
      </c>
      <c r="K72" s="125">
        <f>0</f>
      </c>
      <c r="L72" s="125">
        <f>$J$41</f>
      </c>
    </row>
    <row r="73" ht="20" customHeight="1">
      <c r="A73"/>
      <c r="B73"/>
      <c r="C73" t="n">
        <v>0.75</v>
      </c>
      <c r="D73" s="125">
        <f>IF(C73&lt;$G$32,$D$45*(1-C73)-$G$51,"")</f>
      </c>
      <c r="E73" s="125">
        <f>IF(D73="","",$G$50/D73)</f>
      </c>
      <c r="F73">
        <f>IF(OR(D73="",E73=""),"",E73/D73)</f>
      </c>
      <c r="G73">
        <f>IF(OR($D$33="",NOT(ISNUMBER(F73))),"",F73*$D$33)</f>
      </c>
      <c r="H73" s="125">
        <f>IF(NOT(ISNUMBER(F73)),"",F73*$D$45)</f>
      </c>
      <c r="I73" s="125">
        <f>IF(OR($D$33="",NOT(ISNUMBER(H73))),"",H73*$D$33)</f>
      </c>
      <c r="J73" s="125">
        <f>IF(E73="","",MAX(0,E73-$G$44))</f>
      </c>
      <c r="K73" s="125">
        <f>IF(D73="","",$G$50/($G$48-MAX(0,(C73-$G$43)*$D$45)/(1-$G$42-$J$7))-$G$44)</f>
      </c>
      <c r="L73" s="125">
        <f>IF(K73="","",$J$41+K73)</f>
      </c>
    </row>
    <row r="74" ht="20" customHeight="1">
      <c r="A74"/>
      <c r="B74"/>
      <c r="C74" t="n">
        <v>0.8</v>
      </c>
      <c r="D74" s="125">
        <f>IF(C74&lt;$G$32,$D$45*(1-C74)-$G$51,"")</f>
      </c>
      <c r="E74" s="125">
        <f>IF(D74="","",$G$50/D74)</f>
      </c>
      <c r="F74">
        <f>IF(OR(D74="",E74=""),"",E74/D74)</f>
      </c>
      <c r="G74">
        <f>IF(OR($D$33="",NOT(ISNUMBER(F74))),"",F74*$D$33)</f>
      </c>
      <c r="H74" s="125">
        <f>IF(NOT(ISNUMBER(F74)),"",F74*$D$45)</f>
      </c>
      <c r="I74" s="125">
        <f>IF(OR($D$33="",NOT(ISNUMBER(H74))),"",H74*$D$33)</f>
      </c>
      <c r="J74" s="125">
        <f>IF(E74="","",MAX(0,E74-$G$44))</f>
      </c>
      <c r="K74" s="125">
        <f>IF(D74="","",$G$50/($G$48-MAX(0,(C74-$G$43)*$D$45)/(1-$G$42-$J$7))-$G$44)</f>
      </c>
      <c r="L74" s="125">
        <f>IF(K74="","",$J$41+K74)</f>
      </c>
    </row>
    <row r="75" ht="20" customHeight="1">
      <c r="A75"/>
      <c r="B75"/>
      <c r="C75" t="n">
        <v>0.82</v>
      </c>
      <c r="D75" s="125">
        <f>IF(C75&lt;$G$32,$D$45*(1-C75)-$G$51,"")</f>
      </c>
      <c r="E75" s="125">
        <f>IF(D75="","",$G$50/D75)</f>
      </c>
      <c r="F75">
        <f>IF(OR(D75="",E75=""),"",E75/D75)</f>
      </c>
      <c r="G75">
        <f>IF(OR($D$33="",NOT(ISNUMBER(F75))),"",F75*$D$33)</f>
      </c>
      <c r="H75" s="125">
        <f>IF(NOT(ISNUMBER(F75)),"",F75*$D$45)</f>
      </c>
      <c r="I75" s="125">
        <f>IF(OR($D$33="",NOT(ISNUMBER(H75))),"",H75*$D$33)</f>
      </c>
      <c r="J75" s="125">
        <f>IF(E75="","",MAX(0,E75-$G$44))</f>
      </c>
      <c r="K75" s="125">
        <f>IF(D75="","",$G$50/($G$48-MAX(0,(C75-$G$43)*$D$45)/(1-$G$42-$J$7))-$G$44)</f>
      </c>
      <c r="L75" s="125">
        <f>IF(K75="","",$J$41+K75)</f>
      </c>
    </row>
    <row r="76" ht="20" customHeight="1">
      <c r="A76"/>
      <c r="B76"/>
      <c r="C76" t="n">
        <v>0.84</v>
      </c>
      <c r="D76" s="125">
        <f>IF(C76&lt;$G$32,$D$45*(1-C76)-$G$51,"")</f>
      </c>
      <c r="E76" s="125">
        <f>IF(D76="","",$G$50/D76)</f>
      </c>
      <c r="F76">
        <f>IF(OR(D76="",E76=""),"",E76/D76)</f>
      </c>
      <c r="G76">
        <f>IF(OR($D$33="",NOT(ISNUMBER(F76))),"",F76*$D$33)</f>
      </c>
      <c r="H76" s="125">
        <f>IF(NOT(ISNUMBER(F76)),"",F76*$D$45)</f>
      </c>
      <c r="I76" s="125">
        <f>IF(OR($D$33="",NOT(ISNUMBER(H76))),"",H76*$D$33)</f>
      </c>
      <c r="J76" s="125">
        <f>IF(E76="","",MAX(0,E76-$G$44))</f>
      </c>
      <c r="K76" s="125">
        <f>IF(D76="","",$G$50/($G$48-MAX(0,(C76-$G$43)*$D$45)/(1-$G$42-$J$7))-$G$44)</f>
      </c>
      <c r="L76" s="125">
        <f>IF(K76="","",$J$41+K76)</f>
      </c>
    </row>
    <row r="77" ht="20" customHeight="1">
      <c r="A77"/>
      <c r="B77"/>
      <c r="C77" t="n">
        <v>0.86</v>
      </c>
      <c r="D77" s="125">
        <f>IF(C77&lt;$G$32,$D$45*(1-C77)-$G$51,"")</f>
      </c>
      <c r="E77" s="125">
        <f>IF(D77="","",$G$50/D77)</f>
      </c>
      <c r="F77">
        <f>IF(OR(D77="",E77=""),"",E77/D77)</f>
      </c>
      <c r="G77">
        <f>IF(OR($D$33="",NOT(ISNUMBER(F77))),"",F77*$D$33)</f>
      </c>
      <c r="H77" s="125">
        <f>IF(NOT(ISNUMBER(F77)),"",F77*$D$45)</f>
      </c>
      <c r="I77" s="125">
        <f>IF(OR($D$33="",NOT(ISNUMBER(H77))),"",H77*$D$33)</f>
      </c>
      <c r="J77" s="125">
        <f>IF(E77="","",MAX(0,E77-$G$44))</f>
      </c>
      <c r="K77" s="125">
        <f>IF(D77="","",$G$50/($G$48-MAX(0,(C77-$G$43)*$D$45)/(1-$G$42-$J$7))-$G$44)</f>
      </c>
      <c r="L77" s="125">
        <f>IF(K77="","",$J$41+K77)</f>
      </c>
    </row>
    <row r="78" ht="24" customHeight="1">
      <c r="A78"/>
      <c r="B78"/>
      <c r="C78" t="n">
        <v>0.88</v>
      </c>
      <c r="D78" s="125">
        <f>IF(C78&lt;$G$32,$D$45*(1-C78)-$G$51,"")</f>
      </c>
      <c r="E78" s="125">
        <f>IF(D78="","",$G$50/D78)</f>
      </c>
      <c r="F78">
        <f>IF(OR(D78="",E78=""),"",E78/D78)</f>
      </c>
      <c r="G78">
        <f>IF(OR($D$33="",NOT(ISNUMBER(F78))),"",F78*$D$33)</f>
      </c>
      <c r="H78" s="125">
        <f>IF(NOT(ISNUMBER(F78)),"",F78*$D$45)</f>
      </c>
      <c r="I78" s="125">
        <f>IF(OR($D$33="",NOT(ISNUMBER(H78))),"",H78*$D$33)</f>
      </c>
      <c r="J78" s="125">
        <f>IF(E78="","",MAX(0,E78-$G$44))</f>
      </c>
      <c r="K78" s="125">
        <f>IF(D78="","",$G$50/($G$48-MAX(0,(C78-$G$43)*$D$45)/(1-$G$42-$J$7))-$G$44)</f>
      </c>
      <c r="L78" s="125">
        <f>IF(K78="","",$J$41+K78)</f>
      </c>
    </row>
    <row r="79" ht="30" customHeight="1">
      <c r="A79"/>
      <c r="B79"/>
      <c r="C79" t="n">
        <v>0.89</v>
      </c>
      <c r="D79" s="125">
        <f>IF(C79&lt;$G$32,$D$45*(1-C79)-$G$51,"")</f>
      </c>
      <c r="E79" s="125">
        <f>IF(D79="","",$G$50/D79)</f>
      </c>
      <c r="F79">
        <f>IF(OR(D79="",E79=""),"",E79/D79)</f>
      </c>
      <c r="G79">
        <f>IF(OR($D$33="",NOT(ISNUMBER(F79))),"",F79*$D$33)</f>
      </c>
      <c r="H79" s="125">
        <f>IF(NOT(ISNUMBER(F79)),"",F79*$D$45)</f>
      </c>
      <c r="I79" s="125">
        <f>IF(OR($D$33="",NOT(ISNUMBER(H79))),"",H79*$D$33)</f>
      </c>
      <c r="J79" s="125">
        <f>IF(E79="","",MAX(0,E79-$G$44))</f>
      </c>
      <c r="K79" s="125">
        <f>IF(D79="","",$G$50/($G$48-MAX(0,(C79-$G$43)*$D$45)/(1-$G$42-$J$7))-$G$44)</f>
      </c>
      <c r="L79" s="125">
        <f>IF(K79="","",$J$41+K79)</f>
      </c>
    </row>
    <row r="80" ht="20" customHeight="1">
      <c r="A80"/>
      <c r="B80"/>
      <c r="C80" t="n">
        <v>0.9</v>
      </c>
      <c r="D80" s="125">
        <f>IF(C80&lt;$G$32,$D$45*(1-C80)-$G$51,"")</f>
      </c>
      <c r="E80" s="125">
        <f>IF(D80="","",$G$50/D80)</f>
      </c>
      <c r="F80">
        <f>IF(OR(D80="",E80=""),"",E80/D80)</f>
      </c>
      <c r="G80">
        <f>IF(OR($D$33="",NOT(ISNUMBER(F80))),"",F80*$D$33)</f>
      </c>
      <c r="H80" s="125">
        <f>IF(NOT(ISNUMBER(F80)),"",F80*$D$45)</f>
      </c>
      <c r="I80" s="125">
        <f>IF(OR($D$33="",NOT(ISNUMBER(H80))),"",H80*$D$33)</f>
      </c>
      <c r="J80" s="125">
        <f>IF(E80="","",MAX(0,E80-$G$44))</f>
      </c>
      <c r="K80" s="125">
        <f>IF(D80="","",$G$50/($G$48-MAX(0,(C80-$G$43)*$D$45)/(1-$G$42-$J$7))-$G$44)</f>
      </c>
      <c r="L80" s="125">
        <f>IF(K80="","",$J$41+K80)</f>
      </c>
    </row>
    <row r="81" ht="20" customHeight="1">
      <c r="A81"/>
      <c r="B81"/>
      <c r="C81" t="n">
        <v>0.905</v>
      </c>
      <c r="D81" s="125">
        <f>IF(C81&lt;$G$32,$D$45*(1-C81)-$G$51,"")</f>
      </c>
      <c r="E81" s="125">
        <f>IF(D81="","",$G$50/D81)</f>
      </c>
      <c r="F81">
        <f>IF(OR(D81="",E81=""),"",E81/D81)</f>
      </c>
      <c r="G81">
        <f>IF(OR($D$33="",NOT(ISNUMBER(F81))),"",F81*$D$33)</f>
      </c>
      <c r="H81" s="125">
        <f>IF(NOT(ISNUMBER(F81)),"",F81*$D$45)</f>
      </c>
      <c r="I81" s="125">
        <f>IF(OR($D$33="",NOT(ISNUMBER(H81))),"",H81*$D$33)</f>
      </c>
      <c r="J81" s="125">
        <f>IF(E81="","",MAX(0,E81-$G$44))</f>
      </c>
      <c r="K81" s="125">
        <f>IF(D81="","",$G$50/($G$48-MAX(0,(C81-$G$43)*$D$45)/(1-$G$42-$J$7))-$G$44)</f>
      </c>
      <c r="L81" s="125">
        <f>IF(K81="","",$J$41+K81)</f>
      </c>
    </row>
    <row r="82" ht="20" customHeight="1">
      <c r="A82"/>
      <c r="B82"/>
      <c r="C82" t="n">
        <v>0.91</v>
      </c>
      <c r="D82" s="125">
        <f>IF(C82&lt;$G$32,$D$45*(1-C82)-$G$51,"")</f>
      </c>
      <c r="E82" s="125">
        <f>IF(D82="","",$G$50/D82)</f>
      </c>
      <c r="F82">
        <f>IF(OR(D82="",E82=""),"",E82/D82)</f>
      </c>
      <c r="G82">
        <f>IF(OR($D$33="",NOT(ISNUMBER(F82))),"",F82*$D$33)</f>
      </c>
      <c r="H82" s="125">
        <f>IF(NOT(ISNUMBER(F82)),"",F82*$D$45)</f>
      </c>
      <c r="I82" s="125">
        <f>IF(OR($D$33="",NOT(ISNUMBER(H82))),"",H82*$D$33)</f>
      </c>
      <c r="J82" s="125">
        <f>IF(E82="","",MAX(0,E82-$G$44))</f>
      </c>
      <c r="K82" s="125">
        <f>IF(D82="","",$G$50/($G$48-MAX(0,(C82-$G$43)*$D$45)/(1-$G$42-$J$7))-$G$44)</f>
      </c>
      <c r="L82" s="125">
        <f>IF(K82="","",$J$41+K82)</f>
      </c>
    </row>
    <row r="83" ht="20" customHeight="1">
      <c r="A83"/>
      <c r="B83"/>
      <c r="C83" t="n">
        <v>0.915</v>
      </c>
      <c r="D83" s="125">
        <f>IF(C83&lt;$G$32,$D$45*(1-C83)-$G$51,"")</f>
      </c>
      <c r="E83" s="125">
        <f>IF(D83="","",$G$50/D83)</f>
      </c>
      <c r="F83">
        <f>IF(OR(D83="",E83=""),"",E83/D83)</f>
      </c>
      <c r="G83">
        <f>IF(OR($D$33="",NOT(ISNUMBER(F83))),"",F83*$D$33)</f>
      </c>
      <c r="H83" s="125">
        <f>IF(NOT(ISNUMBER(F83)),"",F83*$D$45)</f>
      </c>
      <c r="I83" s="125">
        <f>IF(OR($D$33="",NOT(ISNUMBER(H83))),"",H83*$D$33)</f>
      </c>
      <c r="J83" s="125">
        <f>IF(E83="","",MAX(0,E83-$G$44))</f>
      </c>
      <c r="K83" s="125">
        <f>IF(D83="","",$G$50/($G$48-MAX(0,(C83-$G$43)*$D$45)/(1-$G$42-$J$7))-$G$44)</f>
      </c>
      <c r="L83" s="125">
        <f>IF(K83="","",$J$41+K83)</f>
      </c>
    </row>
    <row r="84" ht="20" customHeight="1">
      <c r="A84"/>
      <c r="B84"/>
      <c r="C84" t="n">
        <v>0.918</v>
      </c>
      <c r="D84" s="125">
        <f>IF(C84&lt;$G$32,$D$45*(1-C84)-$G$51,"")</f>
      </c>
      <c r="E84" s="125">
        <f>IF(D84="","",$G$50/D84)</f>
      </c>
      <c r="F84">
        <f>IF(OR(D84="",E84=""),"",E84/D84)</f>
      </c>
      <c r="G84">
        <f>IF(OR($D$33="",NOT(ISNUMBER(F84))),"",F84*$D$33)</f>
      </c>
      <c r="H84" s="125">
        <f>IF(NOT(ISNUMBER(F84)),"",F84*$D$45)</f>
      </c>
      <c r="I84" s="125">
        <f>IF(OR($D$33="",NOT(ISNUMBER(H84))),"",H84*$D$33)</f>
      </c>
      <c r="J84" s="125">
        <f>IF(E84="","",MAX(0,E84-$G$44))</f>
      </c>
      <c r="K84" s="125">
        <f>IF(D84="","",$G$50/($G$48-MAX(0,(C84-$G$43)*$D$45)/(1-$G$42-$J$7))-$G$44)</f>
      </c>
      <c r="L84" s="125">
        <f>IF(K84="","",$J$41+K84)</f>
      </c>
    </row>
    <row r="85" ht="20" customHeight="1">
      <c r="A85"/>
      <c r="B85"/>
      <c r="C85" t="n">
        <v>0.9183673469387755</v>
      </c>
      <c r="D85" s="125">
        <f>IF(C85&lt;$G$32,$D$45*(1-C85)-$G$51,"")</f>
      </c>
      <c r="E85" s="125">
        <f>IF(D85="","",$G$50/D85)</f>
      </c>
      <c r="F85">
        <f>IF(OR(D85="",E85=""),"",E85/D85)</f>
      </c>
      <c r="G85">
        <f>IF(OR($D$33="",NOT(ISNUMBER(F85))),"",F85*$D$33)</f>
      </c>
      <c r="H85" s="125">
        <f>IF(NOT(ISNUMBER(F85)),"",F85*$D$45)</f>
      </c>
      <c r="I85" s="125">
        <f>IF(OR($D$33="",NOT(ISNUMBER(H85))),"",H85*$D$33)</f>
      </c>
      <c r="J85" s="125">
        <f>IF(E85="","",MAX(0,E85-$G$44))</f>
      </c>
      <c r="K85" s="125">
        <f>IF(D85="","",$G$50/($G$48-MAX(0,(C85-$G$43)*$D$45)/(1-$G$42-$J$7))-$G$44)</f>
      </c>
      <c r="L85" s="125">
        <f>IF(K85="","",$J$41+K85)</f>
      </c>
    </row>
    <row r="86" ht="20" customHeight="1">
      <c r="A86"/>
      <c r="B86"/>
      <c r="C86"/>
      <c r="D86"/>
      <c r="E86"/>
      <c r="F86"/>
      <c r="G86"/>
      <c r="H86"/>
      <c r="I86"/>
      <c r="J86"/>
      <c r="K86"/>
      <c r="L86"/>
    </row>
    <row r="87" ht="20" customHeight="1">
      <c r="A87"/>
      <c r="B87"/>
      <c r="C87"/>
      <c r="D87"/>
      <c r="E87"/>
      <c r="F87"/>
      <c r="G87"/>
      <c r="H87"/>
      <c r="I87"/>
      <c r="J87"/>
      <c r="K87"/>
      <c r="L87"/>
    </row>
    <row r="88" ht="20" customHeight="1">
      <c r="A88"/>
      <c r="B88"/>
      <c r="C88" t="str">
        <v>外盘回落参考</v>
      </c>
      <c r="D88"/>
      <c r="E88"/>
      <c r="F88"/>
      <c r="G88"/>
      <c r="H88"/>
      <c r="I88"/>
      <c r="J88"/>
      <c r="K88"/>
      <c r="L88"/>
    </row>
    <row r="89" ht="20" customHeight="1">
      <c r="A89"/>
      <c r="B89"/>
      <c r="C89" t="str">
        <v>控筹率</v>
      </c>
      <c r="D89" t="str">
        <v>pooled TOKEN</v>
      </c>
      <c r="E89" t="str">
        <v>pooled Quote</v>
      </c>
      <c r="F89" t="str">
        <v>价格 / Quote</v>
      </c>
      <c r="G89" t="str">
        <v>价格 / USDT</v>
      </c>
      <c r="H89" t="str">
        <v>市值 / Quote</v>
      </c>
      <c r="I89" t="str">
        <v>市值 / USDT</v>
      </c>
      <c r="J89" t="str">
        <v>较毕业点回撤</v>
      </c>
      <c r="K89" t="str"/>
      <c r="L89" t="str"/>
    </row>
    <row r="90" ht="20" customHeight="1">
      <c r="A90"/>
      <c r="B90"/>
      <c r="C90" t="n">
        <v>0.7142857142857143</v>
      </c>
      <c r="D90" s="125">
        <f>$D$45*(1-C90)-$G$51</f>
      </c>
      <c r="E90" s="125">
        <f>$G$50/D90</f>
      </c>
      <c r="F90">
        <f>IF(OR(D90="",E90=""),"",E90/D90)</f>
      </c>
      <c r="G90">
        <f>IF(OR($D$33="",NOT(ISNUMBER(F90))),"",F90*$D$33)</f>
      </c>
      <c r="H90" s="125">
        <f>IF(NOT(ISNUMBER(F90)),"",F90*$D$45)</f>
      </c>
      <c r="I90" s="125">
        <f>IF(OR($D$33="",NOT(ISNUMBER(H90))),"",H90*$D$33)</f>
      </c>
      <c r="J90">
        <f>IF($H$90&gt;0,1-H90/$H$90,0)</f>
      </c>
      <c r="K90"/>
      <c r="L90"/>
    </row>
    <row r="91" ht="20" customHeight="1">
      <c r="A91"/>
      <c r="B91"/>
      <c r="C91" t="n">
        <v>0.7</v>
      </c>
      <c r="D91" s="125">
        <f>$D$45*(1-C91)-$G$51</f>
      </c>
      <c r="E91" s="125">
        <f>$G$50/D91</f>
      </c>
      <c r="F91">
        <f>IF(OR(D91="",E91=""),"",E91/D91)</f>
      </c>
      <c r="G91">
        <f>IF(OR($D$33="",NOT(ISNUMBER(F91))),"",F91*$D$33)</f>
      </c>
      <c r="H91" s="125">
        <f>IF(NOT(ISNUMBER(F91)),"",F91*$D$45)</f>
      </c>
      <c r="I91" s="125">
        <f>IF(OR($D$33="",NOT(ISNUMBER(H91))),"",H91*$D$33)</f>
      </c>
      <c r="J91">
        <f>IF($H$90&gt;0,1-H91/$H$90,0)</f>
      </c>
      <c r="K91"/>
      <c r="L91"/>
    </row>
    <row r="92" ht="20" customHeight="1">
      <c r="A92"/>
      <c r="B92"/>
      <c r="C92" t="n">
        <v>0.6</v>
      </c>
      <c r="D92" s="125">
        <f>$D$45*(1-C92)-$G$51</f>
      </c>
      <c r="E92" s="125">
        <f>$G$50/D92</f>
      </c>
      <c r="F92">
        <f>IF(OR(D92="",E92=""),"",E92/D92)</f>
      </c>
      <c r="G92">
        <f>IF(OR($D$33="",NOT(ISNUMBER(F92))),"",F92*$D$33)</f>
      </c>
      <c r="H92" s="125">
        <f>IF(NOT(ISNUMBER(F92)),"",F92*$D$45)</f>
      </c>
      <c r="I92" s="125">
        <f>IF(OR($D$33="",NOT(ISNUMBER(H92))),"",H92*$D$33)</f>
      </c>
      <c r="J92">
        <f>IF($H$90&gt;0,1-H92/$H$90,0)</f>
      </c>
      <c r="K92"/>
      <c r="L92"/>
    </row>
    <row r="93" ht="20" customHeight="1">
      <c r="A93"/>
      <c r="B93"/>
      <c r="C93" t="n">
        <v>0.5</v>
      </c>
      <c r="D93" s="125">
        <f>$D$45*(1-C93)-$G$51</f>
      </c>
      <c r="E93" s="125">
        <f>$G$50/D93</f>
      </c>
      <c r="F93">
        <f>IF(OR(D93="",E93=""),"",E93/D93)</f>
      </c>
      <c r="G93">
        <f>IF(OR($D$33="",NOT(ISNUMBER(F93))),"",F93*$D$33)</f>
      </c>
      <c r="H93" s="125">
        <f>IF(NOT(ISNUMBER(F93)),"",F93*$D$45)</f>
      </c>
      <c r="I93" s="125">
        <f>IF(OR($D$33="",NOT(ISNUMBER(H93))),"",H93*$D$33)</f>
      </c>
      <c r="J93">
        <f>IF($H$90&gt;0,1-H93/$H$90,0)</f>
      </c>
      <c r="K93"/>
      <c r="L93"/>
    </row>
    <row r="94" ht="20" customHeight="1">
      <c r="A94"/>
      <c r="B94"/>
      <c r="C94" t="n">
        <v>0.4</v>
      </c>
      <c r="D94" s="125">
        <f>$D$45*(1-C94)-$G$51</f>
      </c>
      <c r="E94" s="125">
        <f>$G$50/D94</f>
      </c>
      <c r="F94">
        <f>IF(OR(D94="",E94=""),"",E94/D94)</f>
      </c>
      <c r="G94">
        <f>IF(OR($D$33="",NOT(ISNUMBER(F94))),"",F94*$D$33)</f>
      </c>
      <c r="H94" s="125">
        <f>IF(NOT(ISNUMBER(F94)),"",F94*$D$45)</f>
      </c>
      <c r="I94" s="125">
        <f>IF(OR($D$33="",NOT(ISNUMBER(H94))),"",H94*$D$33)</f>
      </c>
      <c r="J94">
        <f>IF($H$90&gt;0,1-H94/$H$90,0)</f>
      </c>
      <c r="K94"/>
      <c r="L94"/>
    </row>
    <row r="95" ht="20" customHeight="1">
      <c r="A95"/>
      <c r="B95"/>
      <c r="C95" t="n">
        <v>0.3</v>
      </c>
      <c r="D95" s="125">
        <f>$D$45*(1-C95)-$G$51</f>
      </c>
      <c r="E95" s="125">
        <f>$G$50/D95</f>
      </c>
      <c r="F95">
        <f>IF(OR(D95="",E95=""),"",E95/D95)</f>
      </c>
      <c r="G95">
        <f>IF(OR($D$33="",NOT(ISNUMBER(F95))),"",F95*$D$33)</f>
      </c>
      <c r="H95" s="125">
        <f>IF(NOT(ISNUMBER(F95)),"",F95*$D$45)</f>
      </c>
      <c r="I95" s="125">
        <f>IF(OR($D$33="",NOT(ISNUMBER(H95))),"",H95*$D$33)</f>
      </c>
      <c r="J95">
        <f>IF($H$90&gt;0,1-H95/$H$90,0)</f>
      </c>
      <c r="K95"/>
      <c r="L95"/>
    </row>
    <row r="96" ht="20" customHeight="1">
      <c r="A96"/>
      <c r="B96"/>
      <c r="C96" t="n">
        <v>0.2</v>
      </c>
      <c r="D96" s="125">
        <f>$D$45*(1-C96)-$G$51</f>
      </c>
      <c r="E96" s="125">
        <f>$G$50/D96</f>
      </c>
      <c r="F96">
        <f>IF(OR(D96="",E96=""),"",E96/D96)</f>
      </c>
      <c r="G96">
        <f>IF(OR($D$33="",NOT(ISNUMBER(F96))),"",F96*$D$33)</f>
      </c>
      <c r="H96" s="125">
        <f>IF(NOT(ISNUMBER(F96)),"",F96*$D$45)</f>
      </c>
      <c r="I96" s="125">
        <f>IF(OR($D$33="",NOT(ISNUMBER(H96))),"",H96*$D$33)</f>
      </c>
      <c r="J96">
        <f>IF($H$90&gt;0,1-H96/$H$90,0)</f>
      </c>
      <c r="K96"/>
      <c r="L96"/>
    </row>
    <row r="97" ht="20" customHeight="1">
      <c r="A97"/>
      <c r="B97"/>
      <c r="C97" t="n">
        <v>0.1</v>
      </c>
      <c r="D97" s="125">
        <f>$D$45*(1-C97)-$G$51</f>
      </c>
      <c r="E97" s="125">
        <f>$G$50/D97</f>
      </c>
      <c r="F97">
        <f>IF(OR(D97="",E97=""),"",E97/D97)</f>
      </c>
      <c r="G97">
        <f>IF(OR($D$33="",NOT(ISNUMBER(F97))),"",F97*$D$33)</f>
      </c>
      <c r="H97" s="125">
        <f>IF(NOT(ISNUMBER(F97)),"",F97*$D$45)</f>
      </c>
      <c r="I97" s="125">
        <f>IF(OR($D$33="",NOT(ISNUMBER(H97))),"",H97*$D$33)</f>
      </c>
      <c r="J97">
        <f>IF($H$90&gt;0,1-H97/$H$90,0)</f>
      </c>
      <c r="K97"/>
      <c r="L97"/>
    </row>
    <row r="98" ht="20" customHeight="1">
      <c r="A98"/>
      <c r="B98"/>
      <c r="C98" t="n">
        <v>0</v>
      </c>
      <c r="D98" s="125">
        <f>$D$45*(1-C98)-$G$51</f>
      </c>
      <c r="E98" s="125">
        <f>$G$50/D98</f>
      </c>
      <c r="F98">
        <f>IF(OR(D98="",E98=""),"",E98/D98)</f>
      </c>
      <c r="G98">
        <f>IF(OR($D$33="",NOT(ISNUMBER(F98))),"",F98*$D$33)</f>
      </c>
      <c r="H98" s="125">
        <f>IF(NOT(ISNUMBER(F98)),"",F98*$D$45)</f>
      </c>
      <c r="I98" s="125">
        <f>IF(OR($D$33="",NOT(ISNUMBER(H98))),"",H98*$D$33)</f>
      </c>
      <c r="J98">
        <f>IF($H$90&gt;0,1-H98/$H$90,0)</f>
      </c>
      <c r="K98" t="str">
        <v>沉没成本 / Quote</v>
      </c>
      <c r="L98">
        <f>E98</f>
      </c>
    </row>
    <row r="99" ht="20" customHeight="1">
      <c r="A99"/>
      <c r="B99"/>
      <c r="C99"/>
      <c r="D99"/>
      <c r="E99"/>
      <c r="F99"/>
      <c r="G99"/>
      <c r="H99"/>
      <c r="I99"/>
      <c r="J99"/>
      <c r="K99"/>
      <c r="L99"/>
    </row>
    <row r="100" ht="20" customHeight="1">
      <c r="A100"/>
      <c r="B100"/>
      <c r="C100"/>
      <c r="D100"/>
      <c r="E100"/>
      <c r="F100"/>
      <c r="G100"/>
      <c r="H100"/>
      <c r="I100"/>
      <c r="J100"/>
      <c r="K100"/>
      <c r="L100"/>
    </row>
    <row r="101" ht="20" customHeight="1">
      <c r="A101"/>
      <c r="B101"/>
      <c r="C101"/>
      <c r="D101"/>
      <c r="E101"/>
      <c r="F101"/>
      <c r="G101"/>
      <c r="H101"/>
      <c r="I101"/>
      <c r="J101"/>
      <c r="K101"/>
      <c r="L101"/>
    </row>
    <row r="102" ht="20" customHeight="1">
      <c r="A102"/>
      <c r="B102"/>
      <c r="C102"/>
      <c r="D102"/>
      <c r="E102"/>
      <c r="F102"/>
      <c r="G102"/>
      <c r="H102"/>
      <c r="I102"/>
      <c r="J102"/>
      <c r="K102"/>
      <c r="L102"/>
    </row>
    <row r="103" ht="20" customHeight="1">
      <c r="A103"/>
      <c r="B103"/>
      <c r="C103"/>
      <c r="D103"/>
      <c r="E103"/>
      <c r="F103"/>
      <c r="G103"/>
      <c r="H103"/>
      <c r="I103"/>
      <c r="J103"/>
      <c r="K103"/>
      <c r="L103"/>
    </row>
    <row r="104" ht="20" customHeight="1">
      <c r="A104"/>
      <c r="B104"/>
      <c r="C104"/>
      <c r="D104"/>
      <c r="E104"/>
      <c r="F104"/>
      <c r="G104"/>
      <c r="H104"/>
      <c r="I104"/>
      <c r="J104"/>
      <c r="K104"/>
      <c r="L104"/>
    </row>
    <row r="105" ht="20" customHeight="1">
      <c r="A105"/>
      <c r="B105"/>
      <c r="C105"/>
      <c r="D105"/>
      <c r="E105"/>
      <c r="F105"/>
      <c r="G105"/>
      <c r="H105"/>
      <c r="I105"/>
      <c r="J105"/>
      <c r="K105"/>
      <c r="L105"/>
    </row>
    <row r="106" ht="20" customHeight="1">
      <c r="A106"/>
      <c r="B106"/>
      <c r="C106"/>
      <c r="D106"/>
      <c r="E106"/>
      <c r="F106"/>
      <c r="G106"/>
      <c r="H106"/>
      <c r="I106"/>
      <c r="J106"/>
      <c r="K106"/>
      <c r="L106"/>
    </row>
    <row r="107" ht="20" customHeight="1">
      <c r="A107"/>
      <c r="B107"/>
      <c r="C107"/>
      <c r="D107"/>
      <c r="E107"/>
      <c r="F107"/>
      <c r="G107"/>
      <c r="H107"/>
      <c r="I107"/>
      <c r="J107"/>
      <c r="K107"/>
      <c r="L107"/>
    </row>
    <row r="108" ht="20" customHeight="1">
      <c r="A108"/>
      <c r="B108"/>
      <c r="C108"/>
      <c r="D108"/>
      <c r="E108"/>
      <c r="F108"/>
      <c r="G108"/>
      <c r="H108"/>
      <c r="I108"/>
      <c r="J108"/>
      <c r="K108"/>
      <c r="L108"/>
    </row>
    <row r="109" ht="20" customHeight="1">
      <c r="A109"/>
      <c r="B109"/>
      <c r="C109"/>
      <c r="D109"/>
      <c r="E109"/>
      <c r="F109"/>
      <c r="G109"/>
      <c r="H109"/>
      <c r="I109"/>
      <c r="J109"/>
      <c r="K109"/>
      <c r="L109"/>
    </row>
    <row r="110" ht="20" customHeight="1">
      <c r="A110"/>
      <c r="B110"/>
      <c r="C110"/>
      <c r="D110"/>
      <c r="E110"/>
      <c r="F110"/>
      <c r="G110"/>
      <c r="H110"/>
      <c r="I110"/>
      <c r="J110"/>
      <c r="K110"/>
      <c r="L110"/>
    </row>
    <row r="111" ht="20" customHeight="1">
      <c r="A111"/>
      <c r="B111"/>
      <c r="C111"/>
      <c r="D111"/>
      <c r="E111"/>
      <c r="F111"/>
      <c r="G111"/>
      <c r="H111"/>
      <c r="I111"/>
      <c r="J111"/>
      <c r="K111"/>
      <c r="L111"/>
    </row>
    <row r="112" ht="20" customHeight="1">
      <c r="A112"/>
      <c r="B112"/>
      <c r="C112"/>
      <c r="D112"/>
      <c r="E112"/>
      <c r="F112"/>
      <c r="G112"/>
      <c r="H112"/>
      <c r="I112"/>
      <c r="J112"/>
      <c r="K112"/>
      <c r="L112"/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/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/>
      <c r="D116"/>
      <c r="E116"/>
      <c r="F116"/>
      <c r="G116"/>
      <c r="H116"/>
      <c r="I116"/>
      <c r="J116"/>
      <c r="K116"/>
      <c r="L116"/>
    </row>
    <row r="117" ht="20" customHeight="1">
      <c r="A117"/>
      <c r="B117"/>
      <c r="C117"/>
      <c r="D117"/>
      <c r="E117"/>
      <c r="F117"/>
      <c r="G117"/>
      <c r="H117"/>
      <c r="I117"/>
      <c r="J117"/>
      <c r="K117"/>
      <c r="L117"/>
    </row>
    <row r="118" ht="20" customHeight="1">
      <c r="A118"/>
      <c r="B118"/>
      <c r="C118"/>
      <c r="D118"/>
      <c r="E118"/>
      <c r="F118"/>
      <c r="G118"/>
      <c r="H118"/>
      <c r="I118"/>
      <c r="J118"/>
      <c r="K118"/>
      <c r="L118"/>
    </row>
    <row r="119" ht="20" customHeight="1">
      <c r="A119"/>
      <c r="B119"/>
      <c r="C119"/>
      <c r="D119"/>
      <c r="E119"/>
      <c r="F119"/>
      <c r="G119"/>
      <c r="H119"/>
      <c r="I119"/>
      <c r="J119"/>
      <c r="K119"/>
      <c r="L119"/>
    </row>
    <row r="120" ht="20" customHeight="1">
      <c r="A120"/>
      <c r="B120"/>
      <c r="C120"/>
      <c r="D120"/>
      <c r="E120"/>
      <c r="F120"/>
      <c r="G120"/>
      <c r="H120"/>
      <c r="I120"/>
      <c r="J120"/>
      <c r="K120"/>
      <c r="L120"/>
    </row>
    <row r="121" ht="20" customHeight="1">
      <c r="A121"/>
      <c r="B121"/>
      <c r="C121"/>
      <c r="D121"/>
      <c r="E121"/>
      <c r="F121"/>
      <c r="G121"/>
      <c r="H121"/>
      <c r="I121"/>
      <c r="J121"/>
      <c r="K121"/>
      <c r="L121"/>
    </row>
    <row r="122" ht="20" customHeight="1">
      <c r="A122"/>
      <c r="B122"/>
      <c r="C122"/>
      <c r="D122"/>
      <c r="E122"/>
      <c r="F122"/>
      <c r="G122"/>
      <c r="H122"/>
      <c r="I122"/>
      <c r="J122"/>
      <c r="K122"/>
      <c r="L122"/>
    </row>
    <row r="123" ht="20" customHeight="1">
      <c r="A123"/>
      <c r="B123"/>
      <c r="C123"/>
      <c r="D123"/>
      <c r="E123"/>
      <c r="F123"/>
      <c r="G123"/>
      <c r="H123"/>
      <c r="I123"/>
      <c r="J123"/>
      <c r="K123"/>
      <c r="L123"/>
    </row>
    <row r="124" ht="20" customHeight="1">
      <c r="A124"/>
      <c r="B124"/>
      <c r="C124"/>
      <c r="D124"/>
      <c r="E124"/>
      <c r="F124"/>
      <c r="G124"/>
      <c r="H124"/>
      <c r="I124"/>
      <c r="J124"/>
      <c r="K124"/>
      <c r="L124"/>
    </row>
    <row r="125" ht="20" customHeight="1">
      <c r="A125"/>
      <c r="B125"/>
      <c r="C125"/>
      <c r="D125"/>
      <c r="E125"/>
      <c r="F125"/>
      <c r="G125"/>
      <c r="H125"/>
      <c r="I125"/>
      <c r="J125"/>
      <c r="K125"/>
      <c r="L125"/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2501.338633822848</v>
      </c>
      <c r="T9" s="29">
        <v>46283.34975868055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335.40408726191083</v>
      </c>
      <c r="T10" s="30">
        <v>46283.349456550925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2.7122973158265054</v>
      </c>
      <c r="T11" s="30">
        <v>46283.34946334491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46283.34946857639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46283.34947450231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46283.34948023148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46283.34948679398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46283.349492430556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46283.34949822917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178.02078360371235</v>
      </c>
      <c r="T18" s="30">
        <v>46283.349504351856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46283.3495099537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86.2530563387189</v>
      </c>
      <c r="T20" s="30">
        <v>46283.349514768524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46283.34952186343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8.71738362392947</v>
      </c>
      <c r="T22" s="30">
        <v>46283.34952603009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46283.34953179398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46283.34953803241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403.5217829501588</v>
      </c>
      <c r="T25" s="30">
        <v>46283.34954460648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46283.34954983796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349.1657433846468</v>
      </c>
      <c r="T27" s="30">
        <v>46283.34955539352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28.293964988345127</v>
      </c>
      <c r="T28" s="30">
        <v>46283.34956188657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46283.34956761574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46283.349573368054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46283.34957922454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1151.6354352136261</v>
      </c>
      <c r="T32" s="30">
        <v>46283.34958501157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46283.34959200231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683.829203335225</v>
      </c>
      <c r="T34" s="30">
        <v>46283.349595995365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46283.34960244213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46283.34960841435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46283.34961388889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135.54480645106406</v>
      </c>
      <c r="T38" s="30">
        <v>46283.34961914352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995.5031912029489</v>
      </c>
      <c r="T39" s="30">
        <v>46283.34962496528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46283.34963667824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46283.34964212963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220.89709984356753</v>
      </c>
      <c r="T42" s="30">
        <v>46283.34963069444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46283.34964872685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46283.34965340278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720.5402976320944</v>
      </c>
      <c r="T45" s="30">
        <v>46283.34966047454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47.68038528633753</v>
      </c>
      <c r="T46" s="30">
        <v>46283.34966608796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154.7410656826332</v>
      </c>
      <c r="T47" s="30">
        <v>46283.34967207176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46283.34967752315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101.59605185592197</v>
      </c>
      <c r="T49" s="30">
        <v>46283.349683472225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46283.349689131945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46283.349695185185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46283.349700798615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46283.34970590278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46283.349711539355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156.24233725965894</v>
      </c>
      <c r="T55" s="30">
        <v>46283.34971766204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764.7167150576538</v>
      </c>
      <c r="T56" s="30">
        <v>46283.34972400463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368.3780161797042</v>
      </c>
      <c r="T57" s="30">
        <v>46283.34972859954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46283.34973488426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46283.34974016204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46283.34974641204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46283.34975175926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46283.34975868055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