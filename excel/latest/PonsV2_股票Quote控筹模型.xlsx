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d20f59c9a34164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918d13da31044a3f"/>
    <sheet name="Quote参数" sheetId="2" r:id="Rcab139deb5424cbf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27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74622909214154" /><Relationship Type="http://schemas.openxmlformats.org/officeDocument/2006/relationships/theme" Target="/xl/theme/theme1.xml" Id="Re79a4360cdaf4636" /><Relationship Type="http://schemas.openxmlformats.org/officeDocument/2006/relationships/sharedStrings" Target="/xl/sharedStrings.xml" Id="Rc97923f8f0264203" /><Relationship Type="http://schemas.openxmlformats.org/officeDocument/2006/relationships/worksheet" Target="/xl/worksheets/sheet1.xml" Id="R918d13da31044a3f" /><Relationship Type="http://schemas.openxmlformats.org/officeDocument/2006/relationships/worksheet" Target="/xl/worksheets/sheet2.xml" Id="Rcab139deb5424cb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ETH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IF(ISNUMBER($D$26),(IF(LEFT($D$51,2)&lt;&gt;"可达","",IF($D$22="","",SUM($D$22,$D$23,$D$24,$D$25))))+$D$26,"")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IF($D$7="ETH",$D$55,IF(VLOOKUP("ETH",'Quote参数'!$E$9:$S$62,15,FALSE)&gt;0,VLOOKUP("ETH",'Quote参数'!$E$9:$S$62,15,FALSE),""))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ht="20" customHeight="1">
      <c r="A24" s="2"/>
      <c r="B24" s="2"/>
      <c r="C24" s="107" t="str">
        <v>洗筹损耗</v>
      </c>
      <c r="D24" s="122">
        <f>IF(LEFT($D$51,2)&lt;&gt;"可达","",IF($J$46="","",$J$46*($G$42+$J$7)*2))</f>
      </c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恢复目标控筹资金</v>
      </c>
      <c r="D26" s="122">
        <f>IF(LEFT($D$51,2)&lt;&gt;"可达","",0)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补回目标控筹率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customHeight="1" hidden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customHeight="1" hidden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customHeight="1" hidden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customHeight="1" hidden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customHeight="1" hidden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0" customHeight="1">
      <c r="A36" s="2"/>
      <c r="B36" s="2"/>
      <c r="C36" s="115" t="str">
        <v>Pons 按现有 Quote 洗筹损耗预算承担费用、持仓保持目标的口径，补回资金为 0；不代表免手续费。动态 Snipe Tax 未计入。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customHeight="1" outlineLevel="1" hidden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customHeight="1" outlineLevel="1" hidden="1">
      <c r="A41"/>
      <c r="B41"/>
      <c r="C41" s="107" t="str">
        <v>Quote 名称</v>
      </c>
      <c r="D41" s="108">
        <f>VLOOKUP($D$7,'Quote参数'!$E$9:$J$62,2,FALSE)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customHeight="1" outlineLevel="1" hidden="1">
      <c r="A42"/>
      <c r="B42"/>
      <c r="C42" s="107" t="str">
        <v>Quote 合约</v>
      </c>
      <c r="D42" s="109">
        <f>VLOOKUP($D$7,'Quote参数'!$E$9:$J$62,3,FALSE)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customHeight="1" outlineLevel="1" hidden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customHeight="1" outlineLevel="1" hidden="1">
      <c r="A44"/>
      <c r="B44"/>
      <c r="C44" s="107" t="str">
        <v>Decimals</v>
      </c>
      <c r="D44" s="110">
        <f>VLOOKUP($D$7,'Quote参数'!$E$9:$J$62,4,FALSE)</f>
      </c>
      <c r="E44" s="107"/>
      <c r="F44" s="107" t="str">
        <v>毕业真实 Quote</v>
      </c>
      <c r="G44" s="108">
        <f>VLOOKUP($D$7,'Quote参数'!$E$9:$J$62,6,FALSE)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customHeight="1" outlineLevel="1" hidden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IF($J$42="","",$G$50/($G$48-MAX(0,($D$52-$G$43)*$D$45)/(1-$G$42-$J$7))-$G$44)</f>
      </c>
      <c r="K45" s="107"/>
      <c r="L45" s="107"/>
    </row>
    <row r="46" ht="30" customHeight="1" outlineLevel="1" hidden="1">
      <c r="A46"/>
      <c r="B46"/>
      <c r="C46" s="107" t="str">
        <v>协议参数证据</v>
      </c>
      <c r="D46" s="108">
        <f>VLOOKUP($D$7,'Quote参数'!$E$9:$P$62,12,FALSE)</f>
      </c>
      <c r="E46" s="107"/>
      <c r="F46" s="107" t="str">
        <v>phantom Quote</v>
      </c>
      <c r="G46" s="108">
        <f>VLOOKUP($D$7,'Quote参数'!$E$9:$J$62,5,FALSE)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customHeight="1" outlineLevel="1" hidden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customHeight="1" outlineLevel="1" hidden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customHeight="1" outlineLevel="1" hidden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customHeight="1" outlineLevel="1" hidden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customHeight="1" outlineLevel="1" hidden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customHeight="1" outlineLevel="1" hidden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customHeight="1" outlineLevel="1" hidden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customHeight="1" outlineLevel="1" hidden="1">
      <c r="A54"/>
      <c r="B54"/>
      <c r="C54" s="107" t="str">
        <v>当前控筹上限</v>
      </c>
      <c r="D54" s="113">
        <f>MIN(1-$G$51/$D$45,$G$43+(1-$G$42-$J$7)*$G$48/$D$45)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1</f>
      </c>
      <c r="K54" s="107"/>
      <c r="L54" s="107"/>
    </row>
    <row r="55" ht="30" customHeight="1" outlineLevel="1" hidden="1">
      <c r="A55"/>
      <c r="B55"/>
      <c r="C55" s="107" t="str">
        <v>Quote 价格 / USDT</v>
      </c>
      <c r="D55" s="108">
        <f>IF($D$9&lt;&gt;"",IF(AND(ISNUMBER($D$9),$D$9&gt;0),$D$9,""),IF(VLOOKUP($D$7,'Quote参数'!$E$9:$S$62,15,FALSE)&gt;0,VLOOKUP($D$7,'Quote参数'!$E$9:$S$62,15,FALSE),""))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/>
      <c r="K55" s="107"/>
      <c r="L55" s="107"/>
    </row>
    <row r="56" ht="30" customHeight="1" outlineLevel="1" hidden="1">
      <c r="A56"/>
      <c r="B56"/>
      <c r="C56" s="107" t="str">
        <v>行情时间 / UTC</v>
      </c>
      <c r="D56" s="150">
        <f>IF(VLOOKUP($D$7,'Quote参数'!$E$9:$T$62,16,FALSE)=0,"",VLOOKUP($D$7,'Quote参数'!$E$9:$T$62,16,FALSE))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/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IF(D73="","",$G$50/($G$48-MAX(0,(C73-$G$43)*$D$45)/(1-$G$42-$J$7))-$G$44)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IF(D74="","",$G$50/($G$48-MAX(0,(C74-$G$43)*$D$45)/(1-$G$42-$J$7))-$G$44)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IF(D75="","",$G$50/($G$48-MAX(0,(C75-$G$43)*$D$45)/(1-$G$42-$J$7))-$G$44)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IF(D76="","",$G$50/($G$48-MAX(0,(C76-$G$43)*$D$45)/(1-$G$42-$J$7))-$G$44)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IF(D77="","",$G$50/($G$48-MAX(0,(C77-$G$43)*$D$45)/(1-$G$42-$J$7))-$G$44)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IF(D78="","",$G$50/($G$48-MAX(0,(C78-$G$43)*$D$45)/(1-$G$42-$J$7))-$G$44)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IF(D79="","",$G$50/($G$48-MAX(0,(C79-$G$43)*$D$45)/(1-$G$42-$J$7))-$G$44)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IF(D80="","",$G$50/($G$48-MAX(0,(C80-$G$43)*$D$45)/(1-$G$42-$J$7))-$G$44)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IF(D81="","",$G$50/($G$48-MAX(0,(C81-$G$43)*$D$45)/(1-$G$42-$J$7))-$G$44)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IF(D82="","",$G$50/($G$48-MAX(0,(C82-$G$43)*$D$45)/(1-$G$42-$J$7))-$G$44)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IF(D83="","",$G$50/($G$48-MAX(0,(C83-$G$43)*$D$45)/(1-$G$42-$J$7))-$G$44)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IF(D84="","",$G$50/($G$48-MAX(0,(C84-$G$43)*$D$45)/(1-$G$42-$J$7))-$G$44)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IF(D85="","",$G$50/($G$48-MAX(0,(C85-$G$43)*$D$45)/(1-$G$42-$J$7))-$G$44)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'Quote参数'!$E$9:$E$62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 + 53 个股票 / ETF Quote。股票类参数为 Robinhood Chain 区块 54,430,299 快照；Factory owner 后续可更新新 Launch 参数。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60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35" t="str">
        <v>外盘成交口径</v>
      </c>
      <c r="I6" s="35"/>
      <c r="J6" s="35" t="str">
        <v>exact-input；Hook fee 与 Creator Tax 从 Meme 输出端扣除</v>
      </c>
      <c r="K6" s="35"/>
      <c r="L6" s="35"/>
      <c r="M6" s="35"/>
      <c r="N6" s="35"/>
      <c r="O6" s="35"/>
      <c r="P6" s="35"/>
      <c r="Q6" s="35"/>
      <c r="R6" s="35"/>
      <c r="S6" s="2"/>
      <c r="T6" s="2"/>
      <c r="U6" s="2"/>
      <c r="V6" s="2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Snipe 窗口</v>
      </c>
      <c r="I7" s="35"/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2506.0924165801803</v>
      </c>
      <c r="T9" s="29">
        <v>46283.39930128472</v>
      </c>
      <c r="U9" s="32" t="inlineStr">
        <is>
          <t>https://api.coingecko.com/api/v3/simple/price?ids=tether,ethereum,binancecoin,solana,hyperliquid,aster-2&amp;vs_currencies=usd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336.68170213362185</v>
      </c>
      <c r="T10" s="30">
        <v>46283.39899443287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>
        <v>2.732204889345702</v>
      </c>
      <c r="T11" s="30">
        <v>46283.39900023148</v>
      </c>
      <c r="U11" s="33" t="inlineStr">
        <is>
          <t>https://dexscreener.com/robinhood/0xcf38764ae8c92222af4358a701871a6235cfc7b7</t>
        </is>
      </c>
      <c r="V11" s="33" t="inlineStr">
        <is>
          <t>每日 Quote 代币池价；本地可手动更新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46283.39900600694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46283.39901180555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46283.399017592594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46283.399023391205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46283.39902916666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46283.399034965274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180.00526424824835</v>
      </c>
      <c r="T18" s="30">
        <v>46283.39904076389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46283.3990465625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87.38051607647371</v>
      </c>
      <c r="T20" s="30">
        <v>46283.39905234954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46283.39905814815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8.747058876513346</v>
      </c>
      <c r="T22" s="30">
        <v>46283.39906394676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46283.399069722225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46283.39907554398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405.81749471823764</v>
      </c>
      <c r="T25" s="30">
        <v>46283.39908135417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46283.39908710648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349.1517654747381</v>
      </c>
      <c r="T27" s="30">
        <v>46283.39909290509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28.442953463445</v>
      </c>
      <c r="T28" s="30">
        <v>46283.39909869213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46283.39910447916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46283.39911027777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46283.399116064815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1151.8495425808628</v>
      </c>
      <c r="T32" s="30">
        <v>46283.39912188658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46283.399127662036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686.1937583629989</v>
      </c>
      <c r="T34" s="30">
        <v>46283.39913351852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46283.39913925926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46283.3991452662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46283.399150868056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136.98054329844186</v>
      </c>
      <c r="T38" s="30">
        <v>46283.39915662037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996.7944130913647</v>
      </c>
      <c r="T39" s="30">
        <v>46283.399162430556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46283.39917494213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46283.39917981482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221.5788141029811</v>
      </c>
      <c r="T42" s="30">
        <v>46283.39916824074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46283.39918559028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46283.39919138889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721.6823976949398</v>
      </c>
      <c r="T45" s="30">
        <v>46283.399197164355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47.95870267305716</v>
      </c>
      <c r="T46" s="30">
        <v>46283.39920347222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155.88579984047126</v>
      </c>
      <c r="T47" s="30">
        <v>46283.39920873843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46283.39921452547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102.13142005598519</v>
      </c>
      <c r="T49" s="30">
        <v>46283.39922033565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46283.39922611111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46283.39923189815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46283.39923768519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46283.3992434838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46283.39924923611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155.92583214654226</v>
      </c>
      <c r="T55" s="30">
        <v>46283.39925505787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766.4184997292815</v>
      </c>
      <c r="T56" s="30">
        <v>46283.399260833336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369.15791043372</v>
      </c>
      <c r="T57" s="30">
        <v>46283.39926659722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46283.39927260417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46283.399278414356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46283.399283935185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46283.39928972222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46283.399295497686</v>
      </c>
      <c r="U62" s="34" t="inlineStr">
        <is>
          <t/>
        </is>
      </c>
      <c r="V62" s="34" t="inlineStr">
        <is>
          <t>暂无合格池价；可手动输入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