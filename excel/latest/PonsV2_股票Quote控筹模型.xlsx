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a760260054481f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595ba0064e4749df"/>
    <sheet name="Quote参数" sheetId="2" r:id="R1fa0ef5cf6d64459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23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13a77a7d7f4d59" /><Relationship Type="http://schemas.openxmlformats.org/officeDocument/2006/relationships/theme" Target="/xl/theme/theme1.xml" Id="R3ab9897c409e46f4" /><Relationship Type="http://schemas.openxmlformats.org/officeDocument/2006/relationships/sharedStrings" Target="/xl/sharedStrings.xml" Id="R66d8cf5bc36e4d3a" /><Relationship Type="http://schemas.openxmlformats.org/officeDocument/2006/relationships/worksheet" Target="/xl/worksheets/sheet1.xml" Id="R595ba0064e4749df" /><Relationship Type="http://schemas.openxmlformats.org/officeDocument/2006/relationships/worksheet" Target="/xl/worksheets/sheet2.xml" Id="R1fa0ef5cf6d6445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SLV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10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2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100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54" t="n"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手动价格只用于 USDT 换算，不改变 Quote 控筹预算。清空覆盖格后恢复自动取价。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IF(ISNUMBER($D$26),(IF(LEFT($D$30,2)&lt;&gt;"可达","",IF($D$22="","",SUM($D$22,$D$23,$D$24,$D$25))))+$D$26,"")</f>
      </c>
      <c r="E18" s="62">
        <f>$D$7</f>
      </c>
      <c r="F18" s="107" t="str">
        <v>原生币 Gas 储备</v>
      </c>
      <c r="G18" s="74">
        <f>$D$32*MAX(0,$G$11)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IF(ISNUMBER($D$18),IF($D$18=0,0,IF($D$33&gt;0,$D$18*$D$33,"")),"")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IF($D$7="ETH",$D$33,IF(VLOOKUP("ETH",'Quote参数'!$E$9:$S$62,15,FALSE)&gt;0,VLOOKUP("ETH",'Quote参数'!$E$9:$S$62,15,FALSE),""))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"&amp;TEXT($D$31,"0%")&amp;" 理论资金"</f>
      </c>
      <c r="D22" s="122">
        <f>IF(LEFT($D$30,2)&lt;&gt;"可达","",IF($J$45="","",$J$41+$J$45))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IF(LEFT($D$30,2)&lt;&gt;"可达","",IF($J$41="","",$J$41*MAX(0,$G$7-1)))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IF(LEFT($D$30,2)&lt;&gt;"可达","",IF($J$46="","",$J$46*($G$42+$J$7)*2))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恢复目标控筹资金</v>
      </c>
      <c r="D26" s="122">
        <f>IF(LEFT($D$30,2)&lt;&gt;"可达","",0)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 s="107" t="str">
        <v>目标是否可达</v>
      </c>
      <c r="D30" s="107">
        <f>IF($J$51&lt;&gt;"参数有效",$J$51,IF(OR($D$8&lt;0,$D$8&gt;=1),"目标控筹率无效",IF(OR($J$7&lt;0,$J$7&gt;$G$53),"Creator Tax无效",IF($D$31&gt;=$G$32,"目标+1%不可达",IF($J$9="否","可达；Snipe税未计","可达")))))</f>
      </c>
      <c r="E30" s="106"/>
      <c r="F30" s="106"/>
      <c r="G30" s="106"/>
      <c r="H30" s="106"/>
      <c r="I30" s="107" t="str">
        <v>卖出含税费率</v>
      </c>
      <c r="J30" s="124">
        <f>$G$42+$J$7</f>
      </c>
      <c r="K30" s="106"/>
      <c r="L30" s="106"/>
    </row>
    <row r="31" ht="20" customHeight="1">
      <c r="A31" s="2"/>
      <c r="B31" s="2"/>
      <c r="C31" s="107" t="str">
        <v>预算使用控筹率</v>
      </c>
      <c r="D31" s="124">
        <f>$D$8+1%</f>
      </c>
      <c r="E31" s="106"/>
      <c r="F31" s="106"/>
      <c r="G31" s="106"/>
      <c r="H31" s="106"/>
      <c r="I31" s="106"/>
      <c r="J31" s="106"/>
      <c r="K31" s="106"/>
      <c r="L31" s="106"/>
    </row>
    <row r="32" ht="20" customHeight="1">
      <c r="A32" s="2"/>
      <c r="B32" s="2"/>
      <c r="C32" s="107" t="str">
        <v>地址总数</v>
      </c>
      <c r="D32" s="122">
        <f>MAX(0,$G$8)*MAX(0,$G$7)+MAX(0,$G$9)+MAX(0,$G$10)</f>
      </c>
      <c r="E32" s="106"/>
      <c r="F32" s="107" t="str">
        <v>当前控筹上限</v>
      </c>
      <c r="G32" s="124">
        <f>MIN(1-$G$51/$D$45,$G$43+(1-$G$42-$J$7)*$G$48/$D$45)</f>
      </c>
      <c r="H32" s="106"/>
      <c r="I32" s="106"/>
      <c r="J32" s="106"/>
      <c r="K32" s="106"/>
      <c r="L32" s="106"/>
    </row>
    <row r="33" ht="20" customHeight="1">
      <c r="A33" s="2"/>
      <c r="B33" s="2"/>
      <c r="C33" s="107" t="str">
        <v>Quote 价格 / USDT</v>
      </c>
      <c r="D33" s="123">
        <f>IF($D$9&lt;&gt;"",IF(AND(ISNUMBER($D$9),$D$9&gt;0),$D$9,""),IF(VLOOKUP($D$7,'Quote参数'!$E$9:$S$62,15,FALSE)&gt;0,VLOOKUP($D$7,'Quote参数'!$E$9:$S$62,15,FALSE),""))</f>
      </c>
      <c r="E33" s="106"/>
      <c r="F33" s="106"/>
      <c r="G33" s="106"/>
      <c r="H33" s="106"/>
      <c r="I33" s="106"/>
      <c r="J33" s="106"/>
      <c r="K33" s="106"/>
      <c r="L33" s="106"/>
    </row>
    <row r="34" ht="20" customHeight="1">
      <c r="A34" s="2"/>
      <c r="B34" s="2"/>
      <c r="C34" s="107" t="str">
        <v>行情时间 / UTC</v>
      </c>
      <c r="D34" s="126">
        <f>IF(VLOOKUP($D$7,'Quote参数'!$E$9:$T$62,16,FALSE)=0,"",VLOOKUP($D$7,'Quote参数'!$E$9:$T$62,16,FALSE))</f>
      </c>
      <c r="E34" s="106"/>
      <c r="F34" s="106"/>
      <c r="G34" s="106"/>
      <c r="H34" s="106"/>
      <c r="I34" s="106"/>
      <c r="J34" s="106"/>
      <c r="K34" s="106"/>
      <c r="L34" s="106"/>
    </row>
    <row r="35" ht="20" customHeight="1">
      <c r="A35" s="2"/>
      <c r="B35" s="2"/>
      <c r="C35" s="107" t="str">
        <v>价格采用方式</v>
      </c>
      <c r="D35" s="106">
        <f>IF($D$9&lt;&gt;"","手动覆盖","每日行情")</f>
      </c>
      <c r="E35" s="106"/>
      <c r="F35" s="107">
        <f>IF($D$9&lt;&gt;"",IF($D$33="","手动价格无效","手动价格"),IF($D$33="","缺少价格","每日行情"))</f>
      </c>
      <c r="G35" s="107"/>
      <c r="H35" s="107"/>
      <c r="I35" s="106"/>
      <c r="J35" s="106"/>
      <c r="K35" s="106"/>
      <c r="L35" s="106"/>
    </row>
    <row r="36" ht="30" customHeight="1">
      <c r="A36" s="2"/>
      <c r="B36" s="2"/>
      <c r="C36" s="115" t="str">
        <v>Pons 按现有 Quote 洗筹损耗预算承担费用、持仓保持目标的口径，补回资金为 0；不代表免手续费。动态 Snipe Tax 未计入。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customHeight="1" outlineLevel="1" hidden="1">
      <c r="A41"/>
      <c r="B41"/>
      <c r="C41" s="107" t="str">
        <v>Quote 名称</v>
      </c>
      <c r="D41" s="108">
        <f>VLOOKUP($D$7,'Quote参数'!$E$9:$J$62,2,FALSE)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customHeight="1" outlineLevel="1" hidden="1">
      <c r="A42"/>
      <c r="B42"/>
      <c r="C42" s="107" t="str">
        <v>Quote 合约</v>
      </c>
      <c r="D42" s="109">
        <f>VLOOKUP($D$7,'Quote参数'!$E$9:$J$62,3,FALSE)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IF($D$31&lt;$G$32,$D$45*(1-$D$31)-$G$51,"")</f>
      </c>
      <c r="K42" s="107"/>
      <c r="L42" s="107"/>
    </row>
    <row r="43" ht="30" customHeight="1" outlineLevel="1" hidden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customHeight="1" outlineLevel="1" hidden="1">
      <c r="A44"/>
      <c r="B44"/>
      <c r="C44" s="107" t="str">
        <v>Decimals</v>
      </c>
      <c r="D44" s="110">
        <f>VLOOKUP($D$7,'Quote参数'!$E$9:$J$62,4,FALSE)</f>
      </c>
      <c r="E44" s="107"/>
      <c r="F44" s="107" t="str">
        <v>毕业真实 Quote</v>
      </c>
      <c r="G44" s="108">
        <f>VLOOKUP($D$7,'Quote参数'!$E$9:$J$62,6,FALSE)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customHeight="1" outlineLevel="1" hidden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IF($J$42="","",$G$50/($G$48-MAX(0,($D$31-$G$43)*$D$45)/(1-$G$42-$J$7))-$G$44)</f>
      </c>
      <c r="K45" s="107"/>
      <c r="L45" s="107"/>
    </row>
    <row r="46" ht="30" customHeight="1" outlineLevel="1" hidden="1">
      <c r="A46"/>
      <c r="B46"/>
      <c r="C46" s="107" t="str">
        <v>协议参数证据</v>
      </c>
      <c r="D46" s="108">
        <f>VLOOKUP($D$7,'Quote参数'!$E$9:$P$62,12,FALSE)</f>
      </c>
      <c r="E46" s="107"/>
      <c r="F46" s="107" t="str">
        <v>phantom Quote</v>
      </c>
      <c r="G46" s="108">
        <f>VLOOKUP($D$7,'Quote参数'!$E$9:$J$62,5,FALSE)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customHeight="1" outlineLevel="1" hidden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customHeight="1" outlineLevel="1" hidden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customHeight="1" outlineLevel="1" hidden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customHeight="1" outlineLevel="1" hidden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customHeight="1" outlineLevel="1" hidden="1">
      <c r="A51"/>
      <c r="B51"/>
      <c r="C51" s="107"/>
      <c r="D51" s="108"/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customHeight="1" outlineLevel="1" hidden="1">
      <c r="A52"/>
      <c r="B52"/>
      <c r="C52" s="107"/>
      <c r="D52" s="108"/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customHeight="1" outlineLevel="1" hidden="1">
      <c r="A53"/>
      <c r="B53"/>
      <c r="C53" s="107"/>
      <c r="D53" s="108"/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customHeight="1" outlineLevel="1" hidden="1">
      <c r="A54"/>
      <c r="B54"/>
      <c r="C54" s="107"/>
      <c r="D54" s="108"/>
      <c r="E54" s="107"/>
      <c r="F54" s="107"/>
      <c r="G54" s="108"/>
      <c r="H54" s="107"/>
      <c r="I54" s="107" t="str">
        <v>洗后持仓保留比例</v>
      </c>
      <c r="J54" s="112">
        <f>1</f>
      </c>
      <c r="K54" s="107"/>
      <c r="L54" s="107"/>
    </row>
    <row r="55" ht="30" customHeight="1" outlineLevel="1" hidden="1">
      <c r="A55"/>
      <c r="B55"/>
      <c r="C55" s="107"/>
      <c r="D55" s="108"/>
      <c r="E55" s="107"/>
      <c r="F55" s="107"/>
      <c r="G55" s="108"/>
      <c r="H55" s="107"/>
      <c r="I55" s="107" t="str">
        <v>目标外盘 Pool TOKEN</v>
      </c>
      <c r="J55" s="108"/>
      <c r="K55" s="107"/>
      <c r="L55" s="107"/>
    </row>
    <row r="56" ht="30" customHeight="1" outlineLevel="1" hidden="1">
      <c r="A56"/>
      <c r="B56"/>
      <c r="C56" s="107"/>
      <c r="D56" s="108"/>
      <c r="E56" s="107"/>
      <c r="F56" s="107"/>
      <c r="G56" s="108"/>
      <c r="H56" s="107"/>
      <c r="I56" s="107" t="str">
        <v>洗后外盘 Pool TOKEN</v>
      </c>
      <c r="J56" s="108"/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IF(OR($D$33="",NOT(ISNUMBER(F59))),"",F59*$D$33)</f>
      </c>
      <c r="H59" s="144">
        <f>IF(NOT(ISNUMBER(F59)),"",F59*$D$45)</f>
      </c>
      <c r="I59" s="144">
        <f>IF(OR($D$33="",NOT(ISNUMBER(H59))),"",H59*$D$33)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IF(OR($D$33="",NOT(ISNUMBER(F60))),"",F60*$D$33)</f>
      </c>
      <c r="H60" s="145">
        <f>IF(NOT(ISNUMBER(F60)),"",F60*$D$45)</f>
      </c>
      <c r="I60" s="145">
        <f>IF(OR($D$33="",NOT(ISNUMBER(H60))),"",H60*$D$33)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IF(OR($D$33="",NOT(ISNUMBER(F61))),"",F61*$D$33)</f>
      </c>
      <c r="H61" s="145">
        <f>IF(NOT(ISNUMBER(F61)),"",F61*$D$45)</f>
      </c>
      <c r="I61" s="145">
        <f>IF(OR($D$33="",NOT(ISNUMBER(H61))),"",H61*$D$33)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IF(OR($D$33="",NOT(ISNUMBER(F62))),"",F62*$D$33)</f>
      </c>
      <c r="H62" s="145">
        <f>IF(NOT(ISNUMBER(F62)),"",F62*$D$45)</f>
      </c>
      <c r="I62" s="145">
        <f>IF(OR($D$33="",NOT(ISNUMBER(H62))),"",H62*$D$33)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IF(OR($D$33="",NOT(ISNUMBER(F63))),"",F63*$D$33)</f>
      </c>
      <c r="H63" s="145">
        <f>IF(NOT(ISNUMBER(F63)),"",F63*$D$45)</f>
      </c>
      <c r="I63" s="145">
        <f>IF(OR($D$33="",NOT(ISNUMBER(H63))),"",H63*$D$33)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IF(OR($D$33="",NOT(ISNUMBER(F64))),"",F64*$D$33)</f>
      </c>
      <c r="H64" s="145">
        <f>IF(NOT(ISNUMBER(F64)),"",F64*$D$45)</f>
      </c>
      <c r="I64" s="145">
        <f>IF(OR($D$33="",NOT(ISNUMBER(H64))),"",H64*$D$33)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IF(OR($D$33="",NOT(ISNUMBER(F65))),"",F65*$D$33)</f>
      </c>
      <c r="H65" s="145">
        <f>IF(NOT(ISNUMBER(F65)),"",F65*$D$45)</f>
      </c>
      <c r="I65" s="145">
        <f>IF(OR($D$33="",NOT(ISNUMBER(H65))),"",H65*$D$33)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IF(OR($D$33="",NOT(ISNUMBER(F66))),"",F66*$D$33)</f>
      </c>
      <c r="H66" s="145">
        <f>IF(NOT(ISNUMBER(F66)),"",F66*$D$45)</f>
      </c>
      <c r="I66" s="145">
        <f>IF(OR($D$33="",NOT(ISNUMBER(H66))),"",H66*$D$33)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IF(OR($D$33="",NOT(ISNUMBER(F67))),"",F67*$D$33)</f>
      </c>
      <c r="H67" s="146">
        <f>IF(NOT(ISNUMBER(F67)),"",F67*$D$45)</f>
      </c>
      <c r="I67" s="146">
        <f>IF(OR($D$33="",NOT(ISNUMBER(H67))),"",H67*$D$33)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IF(OR($D$33="",NOT(ISNUMBER(F72))),"",F72*$D$33)</f>
      </c>
      <c r="H72" s="144">
        <f>IF(NOT(ISNUMBER(F72)),"",F72*$D$45)</f>
      </c>
      <c r="I72" s="144">
        <f>IF(OR($D$33="",NOT(ISNUMBER(H72))),"",H72*$D$33)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IF(C73&lt;$G$32,$D$45*(1-C73)-$G$51,"")</f>
      </c>
      <c r="E73" s="145">
        <f>IF(D73="","",$G$50/D73)</f>
      </c>
      <c r="F73" s="136">
        <f>IF(OR(D73="",E73=""),"",E73/D73)</f>
      </c>
      <c r="G73" s="136">
        <f>IF(OR($D$33="",NOT(ISNUMBER(F73))),"",F73*$D$33)</f>
      </c>
      <c r="H73" s="145">
        <f>IF(NOT(ISNUMBER(F73)),"",F73*$D$45)</f>
      </c>
      <c r="I73" s="145">
        <f>IF(OR($D$33="",NOT(ISNUMBER(H73))),"",H73*$D$33)</f>
      </c>
      <c r="J73" s="145">
        <f>IF(E73="","",MAX(0,E73-$G$44))</f>
      </c>
      <c r="K73" s="145">
        <f>IF(D73="","",$G$50/($G$48-MAX(0,(C73-$G$43)*$D$45)/(1-$G$42-$J$7))-$G$44)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IF(C74&lt;$G$32,$D$45*(1-C74)-$G$51,"")</f>
      </c>
      <c r="E74" s="145">
        <f>IF(D74="","",$G$50/D74)</f>
      </c>
      <c r="F74" s="136">
        <f>IF(OR(D74="",E74=""),"",E74/D74)</f>
      </c>
      <c r="G74" s="136">
        <f>IF(OR($D$33="",NOT(ISNUMBER(F74))),"",F74*$D$33)</f>
      </c>
      <c r="H74" s="145">
        <f>IF(NOT(ISNUMBER(F74)),"",F74*$D$45)</f>
      </c>
      <c r="I74" s="145">
        <f>IF(OR($D$33="",NOT(ISNUMBER(H74))),"",H74*$D$33)</f>
      </c>
      <c r="J74" s="145">
        <f>IF(E74="","",MAX(0,E74-$G$44))</f>
      </c>
      <c r="K74" s="145">
        <f>IF(D74="","",$G$50/($G$48-MAX(0,(C74-$G$43)*$D$45)/(1-$G$42-$J$7))-$G$44)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IF(C75&lt;$G$32,$D$45*(1-C75)-$G$51,"")</f>
      </c>
      <c r="E75" s="145">
        <f>IF(D75="","",$G$50/D75)</f>
      </c>
      <c r="F75" s="136">
        <f>IF(OR(D75="",E75=""),"",E75/D75)</f>
      </c>
      <c r="G75" s="136">
        <f>IF(OR($D$33="",NOT(ISNUMBER(F75))),"",F75*$D$33)</f>
      </c>
      <c r="H75" s="145">
        <f>IF(NOT(ISNUMBER(F75)),"",F75*$D$45)</f>
      </c>
      <c r="I75" s="145">
        <f>IF(OR($D$33="",NOT(ISNUMBER(H75))),"",H75*$D$33)</f>
      </c>
      <c r="J75" s="145">
        <f>IF(E75="","",MAX(0,E75-$G$44))</f>
      </c>
      <c r="K75" s="145">
        <f>IF(D75="","",$G$50/($G$48-MAX(0,(C75-$G$43)*$D$45)/(1-$G$42-$J$7))-$G$44)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IF(C76&lt;$G$32,$D$45*(1-C76)-$G$51,"")</f>
      </c>
      <c r="E76" s="145">
        <f>IF(D76="","",$G$50/D76)</f>
      </c>
      <c r="F76" s="136">
        <f>IF(OR(D76="",E76=""),"",E76/D76)</f>
      </c>
      <c r="G76" s="136">
        <f>IF(OR($D$33="",NOT(ISNUMBER(F76))),"",F76*$D$33)</f>
      </c>
      <c r="H76" s="145">
        <f>IF(NOT(ISNUMBER(F76)),"",F76*$D$45)</f>
      </c>
      <c r="I76" s="145">
        <f>IF(OR($D$33="",NOT(ISNUMBER(H76))),"",H76*$D$33)</f>
      </c>
      <c r="J76" s="145">
        <f>IF(E76="","",MAX(0,E76-$G$44))</f>
      </c>
      <c r="K76" s="145">
        <f>IF(D76="","",$G$50/($G$48-MAX(0,(C76-$G$43)*$D$45)/(1-$G$42-$J$7))-$G$44)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IF(C77&lt;$G$32,$D$45*(1-C77)-$G$51,"")</f>
      </c>
      <c r="E77" s="145">
        <f>IF(D77="","",$G$50/D77)</f>
      </c>
      <c r="F77" s="136">
        <f>IF(OR(D77="",E77=""),"",E77/D77)</f>
      </c>
      <c r="G77" s="136">
        <f>IF(OR($D$33="",NOT(ISNUMBER(F77))),"",F77*$D$33)</f>
      </c>
      <c r="H77" s="145">
        <f>IF(NOT(ISNUMBER(F77)),"",F77*$D$45)</f>
      </c>
      <c r="I77" s="145">
        <f>IF(OR($D$33="",NOT(ISNUMBER(H77))),"",H77*$D$33)</f>
      </c>
      <c r="J77" s="145">
        <f>IF(E77="","",MAX(0,E77-$G$44))</f>
      </c>
      <c r="K77" s="145">
        <f>IF(D77="","",$G$50/($G$48-MAX(0,(C77-$G$43)*$D$45)/(1-$G$42-$J$7))-$G$44)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IF(C78&lt;$G$32,$D$45*(1-C78)-$G$51,"")</f>
      </c>
      <c r="E78" s="145">
        <f>IF(D78="","",$G$50/D78)</f>
      </c>
      <c r="F78" s="136">
        <f>IF(OR(D78="",E78=""),"",E78/D78)</f>
      </c>
      <c r="G78" s="136">
        <f>IF(OR($D$33="",NOT(ISNUMBER(F78))),"",F78*$D$33)</f>
      </c>
      <c r="H78" s="145">
        <f>IF(NOT(ISNUMBER(F78)),"",F78*$D$45)</f>
      </c>
      <c r="I78" s="145">
        <f>IF(OR($D$33="",NOT(ISNUMBER(H78))),"",H78*$D$33)</f>
      </c>
      <c r="J78" s="145">
        <f>IF(E78="","",MAX(0,E78-$G$44))</f>
      </c>
      <c r="K78" s="145">
        <f>IF(D78="","",$G$50/($G$48-MAX(0,(C78-$G$43)*$D$45)/(1-$G$42-$J$7))-$G$44)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IF(C79&lt;$G$32,$D$45*(1-C79)-$G$51,"")</f>
      </c>
      <c r="E79" s="145">
        <f>IF(D79="","",$G$50/D79)</f>
      </c>
      <c r="F79" s="136">
        <f>IF(OR(D79="",E79=""),"",E79/D79)</f>
      </c>
      <c r="G79" s="136">
        <f>IF(OR($D$33="",NOT(ISNUMBER(F79))),"",F79*$D$33)</f>
      </c>
      <c r="H79" s="145">
        <f>IF(NOT(ISNUMBER(F79)),"",F79*$D$45)</f>
      </c>
      <c r="I79" s="145">
        <f>IF(OR($D$33="",NOT(ISNUMBER(H79))),"",H79*$D$33)</f>
      </c>
      <c r="J79" s="145">
        <f>IF(E79="","",MAX(0,E79-$G$44))</f>
      </c>
      <c r="K79" s="145">
        <f>IF(D79="","",$G$50/($G$48-MAX(0,(C79-$G$43)*$D$45)/(1-$G$42-$J$7))-$G$44)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IF(C80&lt;$G$32,$D$45*(1-C80)-$G$51,"")</f>
      </c>
      <c r="E80" s="145">
        <f>IF(D80="","",$G$50/D80)</f>
      </c>
      <c r="F80" s="136">
        <f>IF(OR(D80="",E80=""),"",E80/D80)</f>
      </c>
      <c r="G80" s="136">
        <f>IF(OR($D$33="",NOT(ISNUMBER(F80))),"",F80*$D$33)</f>
      </c>
      <c r="H80" s="145">
        <f>IF(NOT(ISNUMBER(F80)),"",F80*$D$45)</f>
      </c>
      <c r="I80" s="145">
        <f>IF(OR($D$33="",NOT(ISNUMBER(H80))),"",H80*$D$33)</f>
      </c>
      <c r="J80" s="145">
        <f>IF(E80="","",MAX(0,E80-$G$44))</f>
      </c>
      <c r="K80" s="145">
        <f>IF(D80="","",$G$50/($G$48-MAX(0,(C80-$G$43)*$D$45)/(1-$G$42-$J$7))-$G$44)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IF(C81&lt;$G$32,$D$45*(1-C81)-$G$51,"")</f>
      </c>
      <c r="E81" s="145">
        <f>IF(D81="","",$G$50/D81)</f>
      </c>
      <c r="F81" s="136">
        <f>IF(OR(D81="",E81=""),"",E81/D81)</f>
      </c>
      <c r="G81" s="136">
        <f>IF(OR($D$33="",NOT(ISNUMBER(F81))),"",F81*$D$33)</f>
      </c>
      <c r="H81" s="145">
        <f>IF(NOT(ISNUMBER(F81)),"",F81*$D$45)</f>
      </c>
      <c r="I81" s="145">
        <f>IF(OR($D$33="",NOT(ISNUMBER(H81))),"",H81*$D$33)</f>
      </c>
      <c r="J81" s="145">
        <f>IF(E81="","",MAX(0,E81-$G$44))</f>
      </c>
      <c r="K81" s="145">
        <f>IF(D81="","",$G$50/($G$48-MAX(0,(C81-$G$43)*$D$45)/(1-$G$42-$J$7))-$G$44)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IF(C82&lt;$G$32,$D$45*(1-C82)-$G$51,"")</f>
      </c>
      <c r="E82" s="145">
        <f>IF(D82="","",$G$50/D82)</f>
      </c>
      <c r="F82" s="136">
        <f>IF(OR(D82="",E82=""),"",E82/D82)</f>
      </c>
      <c r="G82" s="136">
        <f>IF(OR($D$33="",NOT(ISNUMBER(F82))),"",F82*$D$33)</f>
      </c>
      <c r="H82" s="145">
        <f>IF(NOT(ISNUMBER(F82)),"",F82*$D$45)</f>
      </c>
      <c r="I82" s="145">
        <f>IF(OR($D$33="",NOT(ISNUMBER(H82))),"",H82*$D$33)</f>
      </c>
      <c r="J82" s="145">
        <f>IF(E82="","",MAX(0,E82-$G$44))</f>
      </c>
      <c r="K82" s="145">
        <f>IF(D82="","",$G$50/($G$48-MAX(0,(C82-$G$43)*$D$45)/(1-$G$42-$J$7))-$G$44)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IF(C83&lt;$G$32,$D$45*(1-C83)-$G$51,"")</f>
      </c>
      <c r="E83" s="145">
        <f>IF(D83="","",$G$50/D83)</f>
      </c>
      <c r="F83" s="136">
        <f>IF(OR(D83="",E83=""),"",E83/D83)</f>
      </c>
      <c r="G83" s="136">
        <f>IF(OR($D$33="",NOT(ISNUMBER(F83))),"",F83*$D$33)</f>
      </c>
      <c r="H83" s="145">
        <f>IF(NOT(ISNUMBER(F83)),"",F83*$D$45)</f>
      </c>
      <c r="I83" s="145">
        <f>IF(OR($D$33="",NOT(ISNUMBER(H83))),"",H83*$D$33)</f>
      </c>
      <c r="J83" s="145">
        <f>IF(E83="","",MAX(0,E83-$G$44))</f>
      </c>
      <c r="K83" s="145">
        <f>IF(D83="","",$G$50/($G$48-MAX(0,(C83-$G$43)*$D$45)/(1-$G$42-$J$7))-$G$44)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IF(C84&lt;$G$32,$D$45*(1-C84)-$G$51,"")</f>
      </c>
      <c r="E84" s="145">
        <f>IF(D84="","",$G$50/D84)</f>
      </c>
      <c r="F84" s="136">
        <f>IF(OR(D84="",E84=""),"",E84/D84)</f>
      </c>
      <c r="G84" s="136">
        <f>IF(OR($D$33="",NOT(ISNUMBER(F84))),"",F84*$D$33)</f>
      </c>
      <c r="H84" s="145">
        <f>IF(NOT(ISNUMBER(F84)),"",F84*$D$45)</f>
      </c>
      <c r="I84" s="145">
        <f>IF(OR($D$33="",NOT(ISNUMBER(H84))),"",H84*$D$33)</f>
      </c>
      <c r="J84" s="145">
        <f>IF(E84="","",MAX(0,E84-$G$44))</f>
      </c>
      <c r="K84" s="145">
        <f>IF(D84="","",$G$50/($G$48-MAX(0,(C84-$G$43)*$D$45)/(1-$G$42-$J$7))-$G$44)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IF(C85&lt;$G$32,$D$45*(1-C85)-$G$51,"")</f>
      </c>
      <c r="E85" s="146">
        <f>IF(D85="","",$G$50/D85)</f>
      </c>
      <c r="F85" s="137">
        <f>IF(OR(D85="",E85=""),"",E85/D85)</f>
      </c>
      <c r="G85" s="137">
        <f>IF(OR($D$33="",NOT(ISNUMBER(F85))),"",F85*$D$33)</f>
      </c>
      <c r="H85" s="146">
        <f>IF(NOT(ISNUMBER(F85)),"",F85*$D$45)</f>
      </c>
      <c r="I85" s="146">
        <f>IF(OR($D$33="",NOT(ISNUMBER(H85))),"",H85*$D$33)</f>
      </c>
      <c r="J85" s="146">
        <f>IF(E85="","",MAX(0,E85-$G$44))</f>
      </c>
      <c r="K85" s="146">
        <f>IF(D85="","",$G$50/($G$48-MAX(0,(C85-$G$43)*$D$45)/(1-$G$42-$J$7))-$G$44)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IF(OR($D$33="",NOT(ISNUMBER(F90))),"",F90*$D$33)</f>
      </c>
      <c r="H90" s="144">
        <f>IF(NOT(ISNUMBER(F90)),"",F90*$D$45)</f>
      </c>
      <c r="I90" s="144">
        <f>IF(OR($D$33="",NOT(ISNUMBER(H90))),"",H90*$D$33)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IF(OR($D$33="",NOT(ISNUMBER(F91))),"",F91*$D$33)</f>
      </c>
      <c r="H91" s="145">
        <f>IF(NOT(ISNUMBER(F91)),"",F91*$D$45)</f>
      </c>
      <c r="I91" s="145">
        <f>IF(OR($D$33="",NOT(ISNUMBER(H91))),"",H91*$D$33)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IF(OR($D$33="",NOT(ISNUMBER(F92))),"",F92*$D$33)</f>
      </c>
      <c r="H92" s="145">
        <f>IF(NOT(ISNUMBER(F92)),"",F92*$D$45)</f>
      </c>
      <c r="I92" s="145">
        <f>IF(OR($D$33="",NOT(ISNUMBER(H92))),"",H92*$D$33)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IF(OR($D$33="",NOT(ISNUMBER(F93))),"",F93*$D$33)</f>
      </c>
      <c r="H93" s="145">
        <f>IF(NOT(ISNUMBER(F93)),"",F93*$D$45)</f>
      </c>
      <c r="I93" s="145">
        <f>IF(OR($D$33="",NOT(ISNUMBER(H93))),"",H93*$D$33)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IF(OR($D$33="",NOT(ISNUMBER(F94))),"",F94*$D$33)</f>
      </c>
      <c r="H94" s="145">
        <f>IF(NOT(ISNUMBER(F94)),"",F94*$D$45)</f>
      </c>
      <c r="I94" s="145">
        <f>IF(OR($D$33="",NOT(ISNUMBER(H94))),"",H94*$D$33)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IF(OR($D$33="",NOT(ISNUMBER(F95))),"",F95*$D$33)</f>
      </c>
      <c r="H95" s="145">
        <f>IF(NOT(ISNUMBER(F95)),"",F95*$D$45)</f>
      </c>
      <c r="I95" s="145">
        <f>IF(OR($D$33="",NOT(ISNUMBER(H95))),"",H95*$D$33)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IF(OR($D$33="",NOT(ISNUMBER(F96))),"",F96*$D$33)</f>
      </c>
      <c r="H96" s="145">
        <f>IF(NOT(ISNUMBER(F96)),"",F96*$D$45)</f>
      </c>
      <c r="I96" s="145">
        <f>IF(OR($D$33="",NOT(ISNUMBER(H96))),"",H96*$D$33)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IF(OR($D$33="",NOT(ISNUMBER(F97))),"",F97*$D$33)</f>
      </c>
      <c r="H97" s="145">
        <f>IF(NOT(ISNUMBER(F97)),"",F97*$D$45)</f>
      </c>
      <c r="I97" s="145">
        <f>IF(OR($D$33="",NOT(ISNUMBER(H97))),"",H97*$D$33)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IF(OR($D$33="",NOT(ISNUMBER(F98))),"",F98*$D$33)</f>
      </c>
      <c r="H98" s="146">
        <f>IF(NOT(ISNUMBER(F98)),"",F98*$D$45)</f>
      </c>
      <c r="I98" s="146">
        <f>IF(OR($D$33="",NOT(ISNUMBER(H98))),"",H98*$D$33)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34:F34"/>
    <mergeCell ref="F35:H35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30:D30">
    <cfRule type="containsText" dxfId="4" priority="5" operator="containsText" text="不可达"/>
    <cfRule type="containsText" dxfId="5" priority="6" operator="containsText" text="无效"/>
    <cfRule type="containsText" dxfId="6" priority="7" operator="containsText" text="缺少"/>
  </conditionalFormatting>
  <conditionalFormatting sqref="F35:F35">
    <cfRule type="containsText" dxfId="7" priority="8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2501.338633822848</v>
      </c>
      <c r="T9" s="29">
        <v>46283.34975868055</v>
      </c>
      <c r="U9" s="32" t="inlineStr">
        <is>
          <t>https://api.coingecko.com/api/v3/simple/price?ids=tether,ethereum,binancecoin&amp;vs_currencies=usd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335.40408726191083</v>
      </c>
      <c r="T10" s="30">
        <v>46283.349456550925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2.7122973158265054</v>
      </c>
      <c r="T11" s="30">
        <v>46283.34946334491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46283.34946857639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46283.34947450231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46283.34948023148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46283.34948679398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46283.349492430556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46283.34949822917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178.02078360371235</v>
      </c>
      <c r="T18" s="30">
        <v>46283.349504351856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46283.3495099537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86.2530563387189</v>
      </c>
      <c r="T20" s="30">
        <v>46283.349514768524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46283.34952186343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8.71738362392947</v>
      </c>
      <c r="T22" s="30">
        <v>46283.34952603009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46283.34953179398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46283.34953803241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403.5217829501588</v>
      </c>
      <c r="T25" s="30">
        <v>46283.34954460648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46283.34954983796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349.1657433846468</v>
      </c>
      <c r="T27" s="30">
        <v>46283.34955539352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28.293964988345127</v>
      </c>
      <c r="T28" s="30">
        <v>46283.34956188657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46283.34956761574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46283.349573368054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46283.34957922454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1151.6354352136261</v>
      </c>
      <c r="T32" s="30">
        <v>46283.34958501157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46283.34959200231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683.829203335225</v>
      </c>
      <c r="T34" s="30">
        <v>46283.349595995365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46283.34960244213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46283.34960841435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46283.34961388889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135.54480645106406</v>
      </c>
      <c r="T38" s="30">
        <v>46283.34961914352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995.5031912029489</v>
      </c>
      <c r="T39" s="30">
        <v>46283.34962496528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46283.34963667824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46283.34964212963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220.89709984356753</v>
      </c>
      <c r="T42" s="30">
        <v>46283.34963069444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46283.34964872685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46283.34965340278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720.5402976320944</v>
      </c>
      <c r="T45" s="30">
        <v>46283.34966047454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47.68038528633753</v>
      </c>
      <c r="T46" s="30">
        <v>46283.34966608796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154.7410656826332</v>
      </c>
      <c r="T47" s="30">
        <v>46283.34967207176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46283.34967752315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101.59605185592197</v>
      </c>
      <c r="T49" s="30">
        <v>46283.349683472225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46283.349689131945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46283.349695185185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46283.349700798615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46283.34970590278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46283.349711539355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156.24233725965894</v>
      </c>
      <c r="T55" s="30">
        <v>46283.34971766204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764.7167150576538</v>
      </c>
      <c r="T56" s="30">
        <v>46283.34972400463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368.3780161797042</v>
      </c>
      <c r="T57" s="30">
        <v>46283.34972859954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46283.34973488426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46283.34974016204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46283.34974641204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46283.34975175926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46283.34975868055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