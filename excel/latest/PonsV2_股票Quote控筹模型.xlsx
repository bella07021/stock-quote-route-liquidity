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7ce012420841d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29bd439ea94449d8"/>
    <sheet name="Quote参数" sheetId="2" r:id="R75525efca1a94dae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  <x:numFmt numFmtId="211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11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fa40a4a23d4c1b" /><Relationship Type="http://schemas.openxmlformats.org/officeDocument/2006/relationships/theme" Target="/xl/theme/theme1.xml" Id="Rf2523e5597f04fa4" /><Relationship Type="http://schemas.openxmlformats.org/officeDocument/2006/relationships/sharedStrings" Target="/xl/sharedStrings.xml" Id="R28025a8df59e49f9" /><Relationship Type="http://schemas.openxmlformats.org/officeDocument/2006/relationships/worksheet" Target="/xl/worksheets/sheet1.xml" Id="R29bd439ea94449d8" /><Relationship Type="http://schemas.openxmlformats.org/officeDocument/2006/relationships/worksheet" Target="/xl/worksheets/sheet2.xml" Id="R75525efca1a94d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IF(AND(LEFT($D$51,2)="可达",ISNUMBER($D$22),ISNUMBER($D$23),ISNUMBER($D$25),ISNUMBER($D$26)),SUM($D$22:$D$23,$D$25:$D$26),"")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IF($D$7="ETH",$D$55,IF(VLOOKUP("ETH",'Quote参数'!$E$9:$S$63,15,FALSE)&gt;0,VLOOKUP("ETH",'Quote参数'!$E$9:$S$63,15,FALSE),""))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customHeight="1" hidden="1">
      <c r="A24" s="2"/>
      <c r="B24" s="2"/>
      <c r="C24" s="107"/>
      <c r="D24" s="158"/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IF($D$51&lt;&gt;"可达","",IF(AND($J$55&gt;0,$J$56&gt;0),MAX(0,($G$50/$J$55-$G$50/$J$56)*(1/(1-$G$42-$J$7))),""))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原目标控筹率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VLOOKUP($D$7,'Quote参数'!$E$9:$J$63,2,FALSE)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VLOOKUP($D$7,'Quote参数'!$E$9:$J$63,3,FALSE)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VLOOKUP($D$7,'Quote参数'!$E$9:$J$63,4,FALSE)</f>
      </c>
      <c r="E44" s="107"/>
      <c r="F44" s="107" t="str">
        <v>毕业真实 Quote</v>
      </c>
      <c r="G44" s="108">
        <f>VLOOKUP($D$7,'Quote参数'!$E$9:$J$63,6,FALSE)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IF($J$42="","",($J$43-$G$44)/MAX(0.000000001,1-$G$42-$J$7))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VLOOKUP($D$7,'Quote参数'!$E$9:$P$63,12,FALSE)</f>
      </c>
      <c r="E46" s="107"/>
      <c r="F46" s="107" t="str">
        <v>phantom Quote</v>
      </c>
      <c r="G46" s="108">
        <f>VLOOKUP($D$7,'Quote参数'!$E$9:$J$63,5,FALSE)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1-$G$51/$D$45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MAX(0,1-$J$29)*MAX(0,1-$J$30)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IF($D$9&lt;&gt;"",IF(AND(ISNUMBER($D$9),$D$9&gt;0),$D$9,""),IF(VLOOKUP($D$7,'Quote参数'!$E$9:$S$63,15,FALSE)&gt;0,VLOOKUP($D$7,'Quote参数'!$E$9:$S$63,15,FALSE),""))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$G$48-($D$8-$G$43)*$D$45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IF(VLOOKUP($D$7,'Quote参数'!$E$9:$T$63,16,FALSE)=0,"",VLOOKUP($D$7,'Quote参数'!$E$9:$T$63,16,FALSE))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$G$48-($D$27-$G$43)*$D$45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IF(D73="","",MAX(0,$G$50/D73-$G$44)/MAX(0.000000001,1-$G$42-$J$7))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IF(D74="","",MAX(0,$G$50/D74-$G$44)/MAX(0.000000001,1-$G$42-$J$7))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IF(D75="","",MAX(0,$G$50/D75-$G$44)/MAX(0.000000001,1-$G$42-$J$7))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IF(D76="","",MAX(0,$G$50/D76-$G$44)/MAX(0.000000001,1-$G$42-$J$7))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IF(D77="","",MAX(0,$G$50/D77-$G$44)/MAX(0.000000001,1-$G$42-$J$7))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IF(D78="","",MAX(0,$G$50/D78-$G$44)/MAX(0.000000001,1-$G$42-$J$7))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IF(D79="","",MAX(0,$G$50/D79-$G$44)/MAX(0.000000001,1-$G$42-$J$7))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IF(D80="","",MAX(0,$G$50/D80-$G$44)/MAX(0.000000001,1-$G$42-$J$7))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IF(D81="","",MAX(0,$G$50/D81-$G$44)/MAX(0.000000001,1-$G$42-$J$7))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IF(D82="","",MAX(0,$G$50/D82-$G$44)/MAX(0.000000001,1-$G$42-$J$7))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IF(D83="","",MAX(0,$G$50/D83-$G$44)/MAX(0.000000001,1-$G$42-$J$7))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IF(D84="","",MAX(0,$G$50/D84-$G$44)/MAX(0.000000001,1-$G$42-$J$7))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IF(D85="","",MAX(0,$G$50/D85-$G$44)/MAX(0.000000001,1-$G$42-$J$7))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ETH、USDG 与股票 / ETF Quote。USDG 采用 TRAIN 发行参数快照，外盘 8,090 USDG；新币参数可变。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外盘卖出所得 Quote 用于回买；双边 Hook 与 Creator Tax 降低持币。恢复目标按外盘曲线差额及买入费另列。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USDG 参数依据</v>
      </c>
      <c r="I7" s="35" t="str">
        <v>https://robin.etherscan.io/tx/0x387e3237904e4822075066331564561c373b691fd47ad2d52b4f64fb4f398c84#eventlog</v>
      </c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2729.5370497260674</v>
      </c>
      <c r="T9" s="29">
        <v>46297.299946921295</v>
      </c>
      <c r="U9" s="32" t="inlineStr">
        <is>
          <t>https://api.coingecko.com/api/v3/simple/price?ids=tether,ethereum,binancecoin,solana,hyperliquid,aster-2&amp;vs_currencies=usd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331.3804082637039</v>
      </c>
      <c r="T10" s="30">
        <v>46297.29964009259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 t="inlineStr">
        <is>
          <t/>
        </is>
      </c>
      <c r="T11" s="30">
        <v>46297.299645879626</v>
      </c>
      <c r="U11" s="33" t="inlineStr">
        <is>
          <t/>
        </is>
      </c>
      <c r="V11" s="33" t="inlineStr">
        <is>
          <t>暂无合格池价；可手动输入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46297.299651678244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46297.29965775463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46297.29966326389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46297.2996690625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46297.299675057875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46297.299680613425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193.1885361264463</v>
      </c>
      <c r="T18" s="30">
        <v>46297.299686412036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46297.2996921875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>
        <v>83.63534150847707</v>
      </c>
      <c r="T20" s="30">
        <v>46297.29969798611</v>
      </c>
      <c r="U20" s="33" t="inlineStr">
        <is>
          <t>https://dexscreener.com/robinhood/0x754ddd4bf8e8635b4301a7f4af2ea7a82ab6cea7</t>
        </is>
      </c>
      <c r="V20" s="33" t="inlineStr">
        <is>
          <t>每日 Quote 代币池价；本地可手动更新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46297.29970378472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8.802667208164076</v>
      </c>
      <c r="T22" s="30">
        <v>46297.29970960648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46297.299715393514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46297.299721180556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384.566523656668</v>
      </c>
      <c r="T25" s="30">
        <v>46297.29972697917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46297.299732754625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342.0936543772763</v>
      </c>
      <c r="T27" s="30">
        <v>46297.29973854167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29.759016982145592</v>
      </c>
      <c r="T28" s="30">
        <v>46297.29974436343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46297.299750150465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46297.2997559375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46297.29976173611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>
        <v>1153.7195770318406</v>
      </c>
      <c r="T32" s="30">
        <v>46297.29976780093</v>
      </c>
      <c r="U32" s="33" t="inlineStr">
        <is>
          <t>https://dexscreener.com/robinhood/0x666ba98ab094793e276215448f2485fd8e3c3ce5</t>
        </is>
      </c>
      <c r="V32" s="33" t="inlineStr">
        <is>
          <t>每日 Quote 代币池价；本地可手动更新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46297.29977331019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729.150932732618</v>
      </c>
      <c r="T34" s="30">
        <v>46297.299779085646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46297.299785219904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46297.299790694444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46297.29979646991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164.16974343226</v>
      </c>
      <c r="T38" s="30">
        <v>46297.299802615744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1092.9211551099984</v>
      </c>
      <c r="T39" s="30">
        <v>46297.299808055555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46297.2998196875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46297.29982568287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232.0303051824703</v>
      </c>
      <c r="T42" s="30">
        <v>46297.29981387732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46297.299831226854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46297.29983704861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746.1760913556809</v>
      </c>
      <c r="T45" s="30">
        <v>46297.29984284722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43.02703719226926</v>
      </c>
      <c r="T46" s="30">
        <v>46297.29984859954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150.16550014654442</v>
      </c>
      <c r="T47" s="30">
        <v>46297.29985462963</v>
      </c>
      <c r="U47" s="33" t="inlineStr">
        <is>
          <t>https://dexscreener.com/robinhood/0xa541143f20d7b0643123064abf25f423e375b531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46297.29986016204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101.87086687266243</v>
      </c>
      <c r="T49" s="30">
        <v>46297.2998659375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46297.299871944444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46297.299877777776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46297.29988327546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46297.29988934028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46297.29989484954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149.29523645664636</v>
      </c>
      <c r="T55" s="30">
        <v>46297.29990063657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767.3024926552746</v>
      </c>
      <c r="T56" s="30">
        <v>46297.299906423614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356.11210196689603</v>
      </c>
      <c r="T57" s="30">
        <v>46297.29991219907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46297.299917986114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46297.299923796294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46297.29992979167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46297.299935324074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46297.299941122685</v>
      </c>
      <c r="U62" s="34" t="inlineStr">
        <is>
          <t/>
        </is>
      </c>
      <c r="V62" s="34" t="inlineStr">
        <is>
          <t>暂无合格池价；可手动输入</t>
        </is>
      </c>
    </row>
    <row r="63" ht="42" customHeight="1">
      <c r="C63" t="n">
        <v>55</v>
      </c>
      <c r="D63" t="str">
        <v>稳定币</v>
      </c>
      <c r="E63" t="str">
        <v>USDG</v>
      </c>
      <c r="F63" t="str">
        <v>Global Dollar</v>
      </c>
      <c r="G63" t="str">
        <v>​0x5fc5360D0400a0Fd4f2af552ADD042D716F1d168</v>
      </c>
      <c r="H63" t="n">
        <v>6</v>
      </c>
      <c r="I63" t="n">
        <v>3236</v>
      </c>
      <c r="J63" t="n">
        <v>8090</v>
      </c>
      <c r="K63">
        <f>J63/I63</f>
      </c>
      <c r="L63">
        <f>J63</f>
      </c>
      <c r="M63">
        <f>1000000000*I63*J63/(I63+J63)^2</f>
      </c>
      <c r="N63">
        <f>1000000000*I63^2/(I63+J63)^2</f>
      </c>
      <c r="O63">
        <f>1-N63/1000000000</f>
      </c>
      <c r="P63" t="n">
        <v>69045064</v>
      </c>
      <c r="Q63" t="str">
        <v>已发行实例 / ERC-20</v>
      </c>
      <c r="R63" t="str">
        <v>https://robinhoodchain.blockscout.com/address/0x5fc5360d0400a0fd4f2af552add042d716f1d168</v>
      </c>
      <c r="S63" s="155">
        <v>1.0003030918368265</v>
      </c>
      <c r="T63" s="156">
        <v>46297.299946921295</v>
      </c>
      <c r="U63" t="inlineStr">
        <is>
          <t>https://api.coingecko.com/api/v3/simple/price?ids=tether&amp;vs_currencies=usd</t>
        </is>
      </c>
      <c r="V63" s="157" t="inlineStr">
        <is>
          <t>USDG 按 1 USD 估算；本地可手动更新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