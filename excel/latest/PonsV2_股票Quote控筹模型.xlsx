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d20f59c9a3416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918d13da31044a3f"/>
    <sheet name="Quote参数" sheetId="2" r:id="Rcab139deb5424cbf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d74622909214154" /><Relationship Type="http://schemas.openxmlformats.org/officeDocument/2006/relationships/theme" Target="/xl/theme/theme1.xml" Id="Re79a4360cdaf4636" /><Relationship Type="http://schemas.openxmlformats.org/officeDocument/2006/relationships/sharedStrings" Target="/xl/sharedStrings.xml" Id="Rc97923f8f0264203" /><Relationship Type="http://schemas.openxmlformats.org/officeDocument/2006/relationships/worksheet" Target="/xl/worksheets/sheet1.xml" Id="R918d13da31044a3f" /><Relationship Type="http://schemas.openxmlformats.org/officeDocument/2006/relationships/worksheet" Target="/xl/worksheets/sheet2.xml" Id="Rcab139deb5424cb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ETH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IF(ISNUMBER($D$26),(IF(LEFT($D$51,2)&lt;&gt;"可达","",IF($D$22="","",SUM($D$22,$D$23,$D$24,$D$25))))+$D$26,"")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IF($D$7="ETH",$D$55,IF(VLOOKUP("ETH",'Quote参数'!$E$9:$S$62,15,FALSE)&gt;0,VLOOKUP("ETH",'Quote参数'!$E$9:$S$62,15,FALSE),""))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ht="20" customHeight="1">
      <c r="A24" s="2"/>
      <c r="B24" s="2"/>
      <c r="C24" s="107" t="str">
        <v>洗筹损耗</v>
      </c>
      <c r="D24" s="122">
        <f>IF(LEFT($D$51,2)&lt;&gt;"可达","",IF($J$46="","",$J$46*($G$42+$J$7)*2))</f>
      </c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恢复目标控筹资金</v>
      </c>
      <c r="D26" s="122">
        <f>IF(LEFT($D$51,2)&lt;&gt;"可达","",0)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补回目标控筹率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customHeight="1" hidden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customHeight="1" hidden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customHeight="1" hidden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customHeight="1" hidden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customHeight="1" hidden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0" customHeight="1">
      <c r="A36" s="2"/>
      <c r="B36" s="2"/>
      <c r="C36" s="115" t="str">
        <v>Pons 按现有 Quote 洗筹损耗预算承担费用、持仓保持目标的口径，补回资金为 0；不代表免手续费。动态 Snipe Tax 未计入。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customHeight="1" outlineLevel="1" hidden="1">
      <c r="A41"/>
      <c r="B41"/>
      <c r="C41" s="107" t="str">
        <v>Quote 名称</v>
      </c>
      <c r="D41" s="108">
        <f>VLOOKUP($D$7,'Quote参数'!$E$9:$J$62,2,FALSE)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customHeight="1" outlineLevel="1" hidden="1">
      <c r="A42"/>
      <c r="B42"/>
      <c r="C42" s="107" t="str">
        <v>Quote 合约</v>
      </c>
      <c r="D42" s="109">
        <f>VLOOKUP($D$7,'Quote参数'!$E$9:$J$62,3,FALSE)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customHeight="1" outlineLevel="1" hidden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customHeight="1" outlineLevel="1" hidden="1">
      <c r="A44"/>
      <c r="B44"/>
      <c r="C44" s="107" t="str">
        <v>Decimals</v>
      </c>
      <c r="D44" s="110">
        <f>VLOOKUP($D$7,'Quote参数'!$E$9:$J$62,4,FALSE)</f>
      </c>
      <c r="E44" s="107"/>
      <c r="F44" s="107" t="str">
        <v>毕业真实 Quote</v>
      </c>
      <c r="G44" s="108">
        <f>VLOOKUP($D$7,'Quote参数'!$E$9:$J$62,6,FALSE)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customHeight="1" outlineLevel="1" hidden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IF($J$42="","",$G$50/($G$48-MAX(0,($D$52-$G$43)*$D$45)/(1-$G$42-$J$7))-$G$44)</f>
      </c>
      <c r="K45" s="107"/>
      <c r="L45" s="107"/>
    </row>
    <row r="46" ht="30" customHeight="1" outlineLevel="1" hidden="1">
      <c r="A46"/>
      <c r="B46"/>
      <c r="C46" s="107" t="str">
        <v>协议参数证据</v>
      </c>
      <c r="D46" s="108">
        <f>VLOOKUP($D$7,'Quote参数'!$E$9:$P$62,12,FALSE)</f>
      </c>
      <c r="E46" s="107"/>
      <c r="F46" s="107" t="str">
        <v>phantom Quote</v>
      </c>
      <c r="G46" s="108">
        <f>VLOOKUP($D$7,'Quote参数'!$E$9:$J$62,5,FALSE)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customHeight="1" outlineLevel="1" hidden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customHeight="1" outlineLevel="1" hidden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customHeight="1" outlineLevel="1" hidden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customHeight="1" outlineLevel="1" hidden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customHeight="1" outlineLevel="1" hidden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customHeight="1" outlineLevel="1" hidden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customHeight="1" outlineLevel="1" hidden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customHeight="1" outlineLevel="1" hidden="1">
      <c r="A54"/>
      <c r="B54"/>
      <c r="C54" s="107" t="str">
        <v>当前控筹上限</v>
      </c>
      <c r="D54" s="113">
        <f>MIN(1-$G$51/$D$45,$G$43+(1-$G$42-$J$7)*$G$48/$D$45)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1</f>
      </c>
      <c r="K54" s="107"/>
      <c r="L54" s="107"/>
    </row>
    <row r="55" ht="30" customHeight="1" outlineLevel="1" hidden="1">
      <c r="A55"/>
      <c r="B55"/>
      <c r="C55" s="107" t="str">
        <v>Quote 价格 / USDT</v>
      </c>
      <c r="D55" s="108">
        <f>IF($D$9&lt;&gt;"",IF(AND(ISNUMBER($D$9),$D$9&gt;0),$D$9,""),IF(VLOOKUP($D$7,'Quote参数'!$E$9:$S$62,15,FALSE)&gt;0,VLOOKUP($D$7,'Quote参数'!$E$9:$S$62,15,FALSE),""))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/>
      <c r="K55" s="107"/>
      <c r="L55" s="107"/>
    </row>
    <row r="56" ht="30" customHeight="1" outlineLevel="1" hidden="1">
      <c r="A56"/>
      <c r="B56"/>
      <c r="C56" s="107" t="str">
        <v>行情时间 / UTC</v>
      </c>
      <c r="D56" s="150">
        <f>IF(VLOOKUP($D$7,'Quote参数'!$E$9:$T$62,16,FALSE)=0,"",VLOOKUP($D$7,'Quote参数'!$E$9:$T$62,16,FALSE))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/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IF(D73="","",$G$50/($G$48-MAX(0,(C73-$G$43)*$D$45)/(1-$G$42-$J$7))-$G$44)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IF(D74="","",$G$50/($G$48-MAX(0,(C74-$G$43)*$D$45)/(1-$G$42-$J$7))-$G$44)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IF(D75="","",$G$50/($G$48-MAX(0,(C75-$G$43)*$D$45)/(1-$G$42-$J$7))-$G$44)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IF(D76="","",$G$50/($G$48-MAX(0,(C76-$G$43)*$D$45)/(1-$G$42-$J$7))-$G$44)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IF(D77="","",$G$50/($G$48-MAX(0,(C77-$G$43)*$D$45)/(1-$G$42-$J$7))-$G$44)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IF(D78="","",$G$50/($G$48-MAX(0,(C78-$G$43)*$D$45)/(1-$G$42-$J$7))-$G$44)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IF(D79="","",$G$50/($G$48-MAX(0,(C79-$G$43)*$D$45)/(1-$G$42-$J$7))-$G$44)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IF(D80="","",$G$50/($G$48-MAX(0,(C80-$G$43)*$D$45)/(1-$G$42-$J$7))-$G$44)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IF(D81="","",$G$50/($G$48-MAX(0,(C81-$G$43)*$D$45)/(1-$G$42-$J$7))-$G$44)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IF(D82="","",$G$50/($G$48-MAX(0,(C82-$G$43)*$D$45)/(1-$G$42-$J$7))-$G$44)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IF(D83="","",$G$50/($G$48-MAX(0,(C83-$G$43)*$D$45)/(1-$G$42-$J$7))-$G$44)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IF(D84="","",$G$50/($G$48-MAX(0,(C84-$G$43)*$D$45)/(1-$G$42-$J$7))-$G$44)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IF(D85="","",$G$50/($G$48-MAX(0,(C85-$G$43)*$D$45)/(1-$G$42-$J$7))-$G$44)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'Quote参数'!$E$9:$E$62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 + 53 个股票 / ETF Quote。股票类参数为 Robinhood Chain 区块 54,430,299 快照；Factory owner 后续可更新新 Launch 参数。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60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35" t="str">
        <v>外盘成交口径</v>
      </c>
      <c r="I6" s="35"/>
      <c r="J6" s="35" t="str">
        <v>exact-input；Hook fee 与 Creator Tax 从 Meme 输出端扣除</v>
      </c>
      <c r="K6" s="35"/>
      <c r="L6" s="35"/>
      <c r="M6" s="35"/>
      <c r="N6" s="35"/>
      <c r="O6" s="35"/>
      <c r="P6" s="35"/>
      <c r="Q6" s="35"/>
      <c r="R6" s="35"/>
      <c r="S6" s="2"/>
      <c r="T6" s="2"/>
      <c r="U6" s="2"/>
      <c r="V6" s="2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Snipe 窗口</v>
      </c>
      <c r="I7" s="35"/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2511.6521129932194</v>
      </c>
      <c r="T9" s="29">
        <v>46283.42145649306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335.8070408086671</v>
      </c>
      <c r="T10" s="30">
        <v>46283.42114976852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>
        <v>2.7322541096404533</v>
      </c>
      <c r="T11" s="30">
        <v>46283.42115546296</v>
      </c>
      <c r="U11" s="33" t="inlineStr">
        <is>
          <t>https://dexscreener.com/robinhood/0xcf38764ae8c92222af4358a701871a6235cfc7b7</t>
        </is>
      </c>
      <c r="V11" s="33" t="inlineStr">
        <is>
          <t>每日 Quote 代币池价；本地可手动更新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46283.42116133102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46283.42116710648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46283.42117288194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46283.42117869213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46283.42118469907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46283.42119059028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179.25788775739986</v>
      </c>
      <c r="T18" s="30">
        <v>46283.42119611111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46283.42120189815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87.38209022443516</v>
      </c>
      <c r="T20" s="30">
        <v>46283.42120758102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46283.42121340278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8.747216453574199</v>
      </c>
      <c r="T22" s="30">
        <v>46283.42121925926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46283.42122496528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46283.42123076389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404.7339054720144</v>
      </c>
      <c r="T25" s="30">
        <v>46283.42123659722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46283.42124238426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349.15805539570147</v>
      </c>
      <c r="T27" s="30">
        <v>46283.42124815972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28.323366777591513</v>
      </c>
      <c r="T28" s="30">
        <v>46283.42125400463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46283.42125974537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46283.42126587963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46283.42127136574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>
        <v>1151.489979232867</v>
      </c>
      <c r="T32" s="30">
        <v>46283.42127712963</v>
      </c>
      <c r="U32" s="33" t="inlineStr">
        <is>
          <t>https://dexscreener.com/robinhood/0x666ba98ab094793e276215448f2485fd8e3c3ce5</t>
        </is>
      </c>
      <c r="V32" s="33" t="inlineStr">
        <is>
          <t>每日 Quote 代币池价；本地可手动更新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46283.42128295139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685.5255585858333</v>
      </c>
      <c r="T34" s="30">
        <v>46283.421288668986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46283.42129452546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46283.421300277776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46283.42130599537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136.72279630695326</v>
      </c>
      <c r="T38" s="30">
        <v>46283.421311875005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996.8123702054195</v>
      </c>
      <c r="T39" s="30">
        <v>46283.421317719905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46283.42132917824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46283.421335011575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221.00232691970874</v>
      </c>
      <c r="T42" s="30">
        <v>46283.42132347222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46283.42134072917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46283.42134652778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720.9347711862287</v>
      </c>
      <c r="T45" s="30">
        <v>46283.421352314814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47.86949233117321</v>
      </c>
      <c r="T46" s="30">
        <v>46283.42135820602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155.09795581354618</v>
      </c>
      <c r="T47" s="30">
        <v>46283.42136402778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46283.421369814816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101.58380664047839</v>
      </c>
      <c r="T49" s="30">
        <v>46283.42137552083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46283.42138144676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46283.42138712963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46283.42139292824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46283.421398715276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46283.42140450232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155.83856681762455</v>
      </c>
      <c r="T55" s="30">
        <v>46283.42141027778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763.109565391448</v>
      </c>
      <c r="T56" s="30">
        <v>46283.42141618055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368.6241148947882</v>
      </c>
      <c r="T57" s="30">
        <v>46283.421421875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46283.421427685185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46283.421433414354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46283.42143917824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46283.421444976855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46283.42145128472</v>
      </c>
      <c r="U62" s="34" t="inlineStr">
        <is>
          <t/>
        </is>
      </c>
      <c r="V62" s="34" t="inlineStr">
        <is>
          <t>暂无合格池价；可手动输入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