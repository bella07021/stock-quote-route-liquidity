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6b8eceeb0949b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7aedc8ed7d34244"/>
    <sheet name="Quote参数" sheetId="2" r:id="R2337eec321c940d1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04978b65ad413e" /><Relationship Type="http://schemas.openxmlformats.org/officeDocument/2006/relationships/theme" Target="/xl/theme/theme1.xml" Id="Rff22bf0c910a4b46" /><Relationship Type="http://schemas.openxmlformats.org/officeDocument/2006/relationships/sharedStrings" Target="/xl/sharedStrings.xml" Id="Rfdb43a5a9a3f4147" /><Relationship Type="http://schemas.openxmlformats.org/officeDocument/2006/relationships/worksheet" Target="/xl/worksheets/sheet1.xml" Id="Rd7aedc8ed7d34244" /><Relationship Type="http://schemas.openxmlformats.org/officeDocument/2006/relationships/worksheet" Target="/xl/worksheets/sheet2.xml" Id="R2337eec321c940d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IF(ISNUMBER($D$26),(IF(LEFT($D$51,2)&lt;&gt;"可达","",IF($D$22="","",SUM($D$22,$D$23,$D$24,$D$25))))+$D$26,"")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ht="20" customHeight="1">
      <c r="A24" s="2"/>
      <c r="B24" s="2"/>
      <c r="C24" s="107" t="str">
        <v>洗筹损耗</v>
      </c>
      <c r="D24" s="122">
        <f>IF(LEFT($D$51,2)&lt;&gt;"可达","",IF($J$46="","",$J$46*($G$42+$J$7)*2))</f>
      </c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IF(LEFT($D$51,2)&lt;&gt;"可达","",0)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补回目标控筹率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Pons V2 外盘手续费始终按 Quote leg 计收；Hook 某些方向暂存的 Meme 费用会在池内转换回 Quote，属于内部归集路径。按本模型口径不降低 TOKEN 控筹率，因此恢复目标控筹预留为 0。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1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$G$48-MAX(0,($D$8-$G$43)*$D$45)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$G$48-MAX(0,($D$27-$G$43)*$D$45)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费用始终按 Quote leg 计收；Hook 暂存的 Meme 费用会转换回 Quote。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2580.0817123580937</v>
      </c>
      <c r="T9" s="29">
        <v>46285.27349457176</v>
      </c>
      <c r="U9" s="32" t="inlineStr">
        <is>
          <t>https://api.coingecko.com/api/v3/simple/price?ids=tether,ethereum,binancecoin,solana,hyperliquid,aster-2&amp;vs_currencies=usd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334.9426372843646</v>
      </c>
      <c r="T10" s="30">
        <v>46285.27318768518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>
        <v>2.6810617004333714</v>
      </c>
      <c r="T11" s="30">
        <v>46285.27319353009</v>
      </c>
      <c r="U11" s="33" t="inlineStr">
        <is>
          <t>https://dexscreener.com/robinhood/0xcf38764ae8c92222af4358a701871a6235cfc7b7</t>
        </is>
      </c>
      <c r="V11" s="33" t="inlineStr">
        <is>
          <t>每日 Quote 代币池价；本地可手动更新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46285.27319930556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46285.273205115736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46285.27321087963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46285.27321663194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46285.27322246528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46285.273228252314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192.1700993593463</v>
      </c>
      <c r="T18" s="30">
        <v>46285.273234050925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46285.27323954861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90.91600273708387</v>
      </c>
      <c r="T20" s="30">
        <v>46285.273245625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46285.27325148148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8.843502026802613</v>
      </c>
      <c r="T22" s="30">
        <v>46285.27325719907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46285.27326297454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46285.27326883102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400.1284508665432</v>
      </c>
      <c r="T25" s="30">
        <v>46285.27327459491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46285.273280092595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349.5884370210603</v>
      </c>
      <c r="T27" s="30">
        <v>46285.273286157404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27.690965622386464</v>
      </c>
      <c r="T28" s="30">
        <v>46285.273291631944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46285.273297430555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46285.27330356481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46285.273309027776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>
        <v>1149.547220699397</v>
      </c>
      <c r="T32" s="30">
        <v>46285.27331482639</v>
      </c>
      <c r="U32" s="33" t="inlineStr">
        <is>
          <t>https://dexscreener.com/robinhood/0x666ba98ab094793e276215448f2485fd8e3c3ce5</t>
        </is>
      </c>
      <c r="V32" s="33" t="inlineStr">
        <is>
          <t>每日 Quote 代币池价；本地可手动更新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46285.273321134264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669.7652270299038</v>
      </c>
      <c r="T34" s="30">
        <v>46285.273326724535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46285.2733328588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46285.27333861111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46285.273344155095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154.7412775459082</v>
      </c>
      <c r="T38" s="30">
        <v>46285.27334990741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998.9555864122192</v>
      </c>
      <c r="T39" s="30">
        <v>46285.27335563657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46285.27336726852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46285.27337311342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221.1215641393992</v>
      </c>
      <c r="T42" s="30">
        <v>46285.27336118056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46285.27337888889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46285.27338466435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720.4953161451934</v>
      </c>
      <c r="T45" s="30">
        <v>46285.2733905787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47.33874614347281</v>
      </c>
      <c r="T46" s="30">
        <v>46285.27339596065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150.76970480310203</v>
      </c>
      <c r="T47" s="30">
        <v>46285.273402025465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46285.27340775463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100.73989299762705</v>
      </c>
      <c r="T49" s="30">
        <v>46285.273413599534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46285.273419351855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46285.273425127314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46285.2734309375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46285.27343675926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46285.27344251158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152.61043373175778</v>
      </c>
      <c r="T55" s="30">
        <v>46285.27344795139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764.0325568925294</v>
      </c>
      <c r="T56" s="30">
        <v>46285.27345454861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362.95372967695204</v>
      </c>
      <c r="T57" s="30">
        <v>46285.27345984954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46285.27346563658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46285.273471423614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46285.273477222225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46285.27348305556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46285.27348880787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1.0003961568781237</v>
      </c>
      <c r="T63" s="156">
        <v>46285.27349457176</v>
      </c>
      <c r="U63" t="inlineStr">
        <is>
          <t>https://api.coingecko.com/api/v3/simple/price?ids=tether&amp;vs_currencies=usd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