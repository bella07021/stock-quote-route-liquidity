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85dfd958e44ae0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81efb20ad7014217"/>
    <sheet name="单币测算" sheetId="2" r:id="Race44d43fd85422b"/>
    <sheet name="全Quote预算" sheetId="3" r:id="R5d5f64c74dea4a1a"/>
    <sheet name="选中Quote曲线" sheetId="4" r:id="Rf2ab475e3ee74623"/>
    <sheet name="Quote参数" sheetId="5" r:id="R32cccb051ed843c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5">
    <x:numFmt numFmtId="200" formatCode="@"/>
    <x:numFmt numFmtId="201" formatCode="#,##0.00000000"/>
    <x:numFmt numFmtId="202" formatCode="0.0000x"/>
    <x:numFmt numFmtId="203" formatCode="0.0000%"/>
    <x:numFmt numFmtId="204" formatCode="0.00%"/>
    <x:numFmt numFmtId="205" formatCode="#,##0.000000"/>
    <x:numFmt numFmtId="206" formatCode="0"/>
    <x:numFmt numFmtId="207" formatCode="0.000000E+00"/>
    <x:numFmt numFmtId="208" formatCode="#,##0"/>
    <x:numFmt numFmtId="209" formatCode="#,##0.000"/>
    <x:numFmt numFmtId="210" formatCode="0.0000000000"/>
    <x:numFmt numFmtId="211" formatCode="0.0%"/>
    <x:numFmt numFmtId="212" formatCode="General"/>
    <x:numFmt numFmtId="213" formatCode="0.000000"/>
    <x:numFmt numFmtId="214" formatCode="yyyy-mm-dd hh:mm:ss"/>
  </x:numFmts>
  <x:fonts count="31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b/>
      <x:sz val="9"/>
      <x:color rgb="FF172033"/>
      <x:name val="Arial"/>
    </x:font>
    <x:font>
      <x:sz val="9"/>
      <x:color rgb="FF008000"/>
      <x:name val="Arial"/>
    </x:font>
    <x:font>
      <x:b/>
      <x:sz val="9"/>
      <x:color rgb="FFFFFFFF"/>
      <x:name val="Arial"/>
    </x:font>
    <x:font>
      <x:sz val="9"/>
      <x:color rgb="FF111827"/>
      <x:name val="Arial"/>
    </x:font>
    <x:font>
      <x:b/>
      <x:sz val="9"/>
      <x:color rgb="FF008000"/>
      <x:name val="Arial"/>
    </x:font>
    <x:font>
      <x:b/>
      <x:sz val="10"/>
      <x:color rgb="FFFFFFFF"/>
      <x:name val="Arial"/>
    </x:font>
    <x:font>
      <x:b/>
      <x:sz val="10"/>
      <x:color rgb="FF172033"/>
      <x:name val="Arial"/>
    </x:font>
    <x:font>
      <x:sz val="10"/>
      <x:color rgb="FF0000FF"/>
      <x:name val="Arial"/>
    </x:font>
    <x:font>
      <x:i/>
      <x:sz val="9"/>
      <x:color rgb="FF667085"/>
      <x:name val="Arial"/>
    </x:font>
    <x:font>
      <x:i/>
      <x:sz val="8"/>
      <x:color rgb="FF667085"/>
      <x:name val="Arial"/>
    </x:font>
    <x:font>
      <x:b/>
      <x:sz val="10"/>
      <x:color rgb="FF111827"/>
      <x:name val="Arial"/>
    </x:font>
    <x:font>
      <x:b/>
      <x:i/>
      <x:sz val="10"/>
      <x:color rgb="FF111827"/>
      <x:name val="Arial"/>
    </x:font>
    <x:font>
      <x:sz val="8"/>
      <x:color rgb="FF667085"/>
      <x:name val="Arial"/>
    </x:font>
    <x:font>
      <x:sz val="9"/>
      <x:color rgb="FF667085"/>
      <x:name val="Arial"/>
    </x:font>
    <x:font>
      <x:b/>
      <x:sz val="9"/>
      <x:color rgb="FF111827"/>
      <x:name val="Arial"/>
    </x:font>
    <x:font>
      <x:b/>
      <x:sz val="17"/>
      <x:color rgb="FFFFFFFF"/>
      <x:name val="Arial"/>
    </x:font>
    <x:font>
      <x:i/>
      <x:sz val="9"/>
      <x:color rgb="FF111827"/>
      <x:name val="Arial"/>
    </x:font>
    <x:font>
      <x:b/>
      <x:sz val="9"/>
      <x:color rgb="FF20557D"/>
      <x:name val="Arial"/>
    </x:font>
    <x:font>
      <x:sz val="9"/>
      <x:color rgb="FF365F20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b/>
      <x:sz val="9"/>
      <x:color rgb="FF365F20"/>
      <x:name val="Arial"/>
    </x:font>
    <x:font>
      <x:sz val="9"/>
      <x:color rgb="FFFFC628"/>
      <x:name val="Arial"/>
    </x:font>
    <x:font>
      <x:b/>
      <x:sz val="9"/>
      <x:color rgb="FF5C2C13"/>
      <x:name val="Arial"/>
    </x:font>
    <x:font>
      <x:b/>
      <x:sz val="9"/>
      <x:color rgb="FFFFFFFF"/>
      <x:name val="Arial"/>
    </x:font>
    <x:font>
      <x:sz val="9"/>
      <x:color rgb="FF0000FF"/>
      <x:name val="Arial"/>
    </x:font>
  </x:fonts>
  <x:fills count="22">
    <x:fill>
      <x:patternFill patternType="none"/>
    </x:fill>
    <x:fill>
      <x:patternFill patternType="gray125"/>
    </x:fill>
    <x:fill>
      <x:patternFill patternType="solid">
        <x:fgColor rgb="FF26344D"/>
      </x:patternFill>
    </x:fill>
    <x:fill>
      <x:patternFill patternType="solid">
        <x:fgColor rgb="FF172033"/>
      </x:patternFill>
    </x:fill>
    <x:fill>
      <x:patternFill patternType="solid">
        <x:fgColor rgb="FFFFF4CC"/>
      </x:patternFill>
    </x:fill>
    <x:fill>
      <x:patternFill patternType="solid">
        <x:fgColor rgb="FFF1FBD9"/>
      </x:patternFill>
    </x:fill>
    <x:fill>
      <x:patternFill patternType="solid">
        <x:fgColor rgb="FFEAF1F8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  <x:fill>
      <x:patternFill patternType="solid">
        <x:fgColor rgb="FFD8E7F5"/>
      </x:patternFill>
    </x:fill>
    <x:fill>
      <x:patternFill patternType="solid">
        <x:fgColor rgb="FFA9C9E4"/>
      </x:patternFill>
    </x:fill>
    <x:fill>
      <x:patternFill patternType="solid">
        <x:fgColor rgb="FF7D2638"/>
      </x:patternFill>
    </x:fill>
    <x:fill>
      <x:patternFill patternType="solid">
        <x:fgColor rgb="FFF5CCAD"/>
      </x:patternFill>
    </x:fill>
    <x:fill>
      <x:patternFill patternType="solid">
        <x:fgColor rgb="FFD8E7F5"/>
      </x:patternFill>
    </x:fill>
    <x:fill>
      <x:patternFill patternType="solid">
        <x:fgColor rgb="FFFFFFFF"/>
      </x:patternFill>
    </x:fill>
    <x:fill>
      <x:patternFill patternType="solid">
        <x:fgColor rgb="FFE8F3DD"/>
      </x:patternFill>
    </x:fill>
    <x:fill>
      <x:patternFill patternType="solid">
        <x:fgColor rgb="FFA9C9E4"/>
      </x:patternFill>
    </x:fill>
    <x:fill>
      <x:patternFill patternType="solid">
        <x:fgColor rgb="FFFFFDE8"/>
      </x:patternFill>
    </x:fill>
    <x:fill>
      <x:patternFill patternType="solid">
        <x:fgColor rgb="FFF5CCAD"/>
      </x:patternFill>
    </x:fill>
    <x:fill>
      <x:patternFill patternType="solid">
        <x:fgColor rgb="FF26344D"/>
      </x:patternFill>
    </x:fill>
  </x:fills>
  <x:borders count="34">
    <x:border/>
    <x:border>
      <x:bottom style="thin">
        <x:color rgb="FF26344D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top style="double">
        <x:color rgb="FF172033"/>
      </x:top>
      <x:bottom style="thin">
        <x:color rgb="FF172033"/>
      </x:bottom>
    </x:border>
    <x:border>
      <x:left style="thin">
        <x:color rgb="FF7A9DB7"/>
      </x:left>
      <x:top style="thin">
        <x:color rgb="FF7A9DB7"/>
      </x:top>
      <x:bottom style="thin">
        <x:color rgb="FF7A9DB7"/>
      </x:bottom>
    </x:border>
    <x:border>
      <x:top style="thin">
        <x:color rgb="FF7A9DB7"/>
      </x:top>
      <x:bottom style="thin">
        <x:color rgb="FF7A9DB7"/>
      </x:bottom>
    </x:border>
    <x:border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bottom style="thin">
        <x:color rgb="FFD4E0E8"/>
      </x:bottom>
    </x:border>
    <x:border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top style="thin">
        <x:color rgb="FFD4E0E8"/>
      </x:top>
      <x:bottom style="thin">
        <x:color rgb="FFD4E0E8"/>
      </x:bottom>
    </x:border>
    <x:border>
      <x:right style="thin">
        <x:color rgb="FFD4E0E8"/>
      </x:right>
      <x:top style="thin">
        <x:color rgb="FFD4E0E8"/>
      </x:top>
    </x:border>
    <x:border>
      <x:left style="thin">
        <x:color rgb="FFD4E0E8"/>
      </x:left>
      <x:top style="thin">
        <x:color rgb="FFD4E0E8"/>
      </x:top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7A9DB7"/>
      </x:bottom>
    </x:border>
    <x:border>
      <x:right style="thin">
        <x:color rgb="FF7A9DB7"/>
      </x:right>
    </x:border>
    <x:border>
      <x:left style="thin">
        <x:color rgb="FF7A9DB7"/>
      </x:left>
      <x:right style="thin">
        <x:color rgb="FF7A9DB7"/>
      </x:right>
    </x:border>
    <x:border>
      <x:left style="thin">
        <x:color rgb="FF7A9DB7"/>
      </x:left>
    </x:border>
    <x:border>
      <x:left style="thin">
        <x:color rgb="FFD4E0E8"/>
      </x:left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</x:border>
    <x:border>
      <x:left style="thin">
        <x:color rgb="FFC38B63"/>
      </x:left>
      <x:right style="thin">
        <x:color rgb="FFC38B63"/>
      </x:right>
      <x:top style="thin">
        <x:color rgb="FFC38B63"/>
      </x:top>
      <x:bottom style="thin">
        <x:color rgb="FFC38B63"/>
      </x:bottom>
    </x:border>
  </x:borders>
  <x:cellStyleXfs count="1">
    <x:xf numFmtId="0" fontId="0" fillId="0" borderId="0"/>
  </x:cellStyleXfs>
  <x:cellXfs count="520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4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wrapText="1"/>
    </x:xf>
    <x:xf numFmtId="0" fontId="5" fillId="2" borderId="4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3" xfId="0" applyNumberFormat="1" applyFont="1" applyFill="1" applyBorder="1" applyAlignment="1">
      <x:alignment horizontal="center" wrapText="1"/>
    </x:xf>
    <x:xf numFmtId="0" fontId="5" fillId="2" borderId="4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201" fontId="6" fillId="0" borderId="5" xfId="0" applyNumberFormat="1" applyFont="1" applyFill="1" applyBorder="1" applyAlignment="1">
      <x:alignment vertical="center"/>
    </x:xf>
    <x:xf numFmtId="201" fontId="6" fillId="0" borderId="6" xfId="0" applyNumberFormat="1" applyFont="1" applyFill="1" applyBorder="1" applyAlignment="1">
      <x:alignment vertical="center"/>
    </x:xf>
    <x:xf numFmtId="202" fontId="6" fillId="0" borderId="5" xfId="0" applyNumberFormat="1" applyFont="1" applyFill="1" applyBorder="1" applyAlignment="1">
      <x:alignment vertical="center"/>
    </x:xf>
    <x:xf numFmtId="202" fontId="6" fillId="0" borderId="6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3" fontId="6" fillId="0" borderId="6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201" fontId="4" fillId="0" borderId="6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0" fontId="4" fillId="0" borderId="6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0" fontId="7" fillId="0" borderId="6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8" fillId="3" borderId="0" xfId="0" applyNumberFormat="1" applyFont="1" applyFill="1" applyBorder="1"/>
    <x:xf numFmtId="0" fontId="8" fillId="3" borderId="7" xfId="0" applyNumberFormat="1" applyFont="1" applyFill="1" applyBorder="1"/>
    <x:xf numFmtId="0" fontId="8" fillId="3" borderId="8" xfId="0" applyNumberFormat="1" applyFont="1" applyFill="1" applyBorder="1"/>
    <x:xf numFmtId="0" fontId="8" fillId="3" borderId="9" xfId="0" applyNumberFormat="1" applyFont="1" applyFill="1" applyBorder="1"/>
    <x:xf numFmtId="0" fontId="8" fillId="3" borderId="7" xfId="0" applyNumberFormat="1" applyFont="1" applyFill="1" applyBorder="1" applyAlignment="1">
      <x:alignment vertical="center"/>
    </x:xf>
    <x:xf numFmtId="0" fontId="8" fillId="3" borderId="8" xfId="0" applyNumberFormat="1" applyFont="1" applyFill="1" applyBorder="1" applyAlignment="1">
      <x:alignment vertical="center"/>
    </x:xf>
    <x:xf numFmtId="0" fontId="8" fillId="3" borderId="9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0" fillId="4" borderId="0" xfId="0" applyNumberFormat="1" applyFont="1" applyFill="1" applyBorder="1"/>
    <x:xf numFmtId="0" fontId="10" fillId="4" borderId="0" xfId="0" applyNumberFormat="1" applyFont="1" applyFill="1" applyBorder="1"/>
    <x:xf numFmtId="0" fontId="10" fillId="4" borderId="10" xfId="0" applyNumberFormat="1" applyFont="1" applyFill="1" applyBorder="1"/>
    <x:xf numFmtId="0" fontId="10" fillId="4" borderId="11" xfId="0" applyNumberFormat="1" applyFont="1" applyFill="1" applyBorder="1"/>
    <x:xf numFmtId="0" fontId="10" fillId="4" borderId="12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4" fontId="10" fillId="4" borderId="11" xfId="0" applyNumberFormat="1" applyFont="1" applyFill="1" applyBorder="1"/>
    <x:xf numFmtId="205" fontId="10" fillId="4" borderId="11" xfId="0" applyNumberFormat="1" applyFont="1" applyFill="1" applyBorder="1"/>
    <x:xf numFmtId="204" fontId="10" fillId="4" borderId="12" xfId="0" applyNumberFormat="1" applyFont="1" applyFill="1" applyBorder="1"/>
    <x:xf numFmtId="206" fontId="4" fillId="0" borderId="0" xfId="0" applyNumberFormat="1" applyFont="1" applyFill="1" applyBorder="1"/>
    <x:xf numFmtId="201" fontId="4" fillId="0" borderId="0" xfId="0" applyNumberFormat="1" applyFont="1" applyFill="1" applyBorder="1"/>
    <x:xf numFmtId="203" fontId="4" fillId="0" borderId="0" xfId="0" applyNumberFormat="1" applyFont="1" applyFill="1" applyBorder="1"/>
    <x:xf numFmtId="207" fontId="4" fillId="0" borderId="0" xfId="0" applyNumberFormat="1" applyFont="1" applyFill="1" applyBorder="1"/>
    <x:xf numFmtId="204" fontId="4" fillId="0" borderId="0" xfId="0" applyNumberFormat="1" applyFont="1" applyFill="1" applyBorder="1"/>
    <x:xf numFmtId="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0" fontId="12" fillId="0" borderId="5" xfId="0" applyNumberFormat="1" applyFont="1" applyFill="1" applyBorder="1" applyAlignment="1">
      <x:alignment vertical="center"/>
    </x:xf>
    <x:xf numFmtId="0" fontId="12" fillId="0" borderId="6" xfId="0" applyNumberFormat="1" applyFont="1" applyFill="1" applyBorder="1" applyAlignment="1">
      <x:alignment vertical="center"/>
    </x:xf>
    <x:xf numFmtId="0" fontId="12" fillId="0" borderId="5" xfId="0" applyNumberFormat="1" applyFont="1" applyFill="1" applyBorder="1" applyAlignment="1">
      <x:alignment vertical="center" wrapText="1"/>
    </x:xf>
    <x:xf numFmtId="0" fontId="12" fillId="0" borderId="6" xfId="0" applyNumberFormat="1" applyFont="1" applyFill="1" applyBorder="1" applyAlignment="1">
      <x:alignment vertical="center" wrapText="1"/>
    </x:xf>
    <x:xf numFmtId="204" fontId="6" fillId="0" borderId="6" xfId="0" applyNumberFormat="1" applyFont="1" applyFill="1" applyBorder="1" applyAlignment="1">
      <x:alignment vertical="center"/>
    </x:xf>
    <x:xf numFmtId="205" fontId="6" fillId="0" borderId="6" xfId="0" applyNumberFormat="1" applyFont="1" applyFill="1" applyBorder="1" applyAlignment="1">
      <x:alignment vertical="center"/>
    </x:xf>
    <x:xf numFmtId="208" fontId="6" fillId="0" borderId="6" xfId="0" applyNumberFormat="1" applyFont="1" applyFill="1" applyBorder="1" applyAlignment="1">
      <x:alignment vertical="center"/>
    </x:xf>
    <x:xf numFmtId="0" fontId="3" fillId="5" borderId="6" xfId="0" applyNumberFormat="1" applyFont="1" applyFill="1" applyBorder="1" applyAlignment="1">
      <x:alignment vertical="center"/>
    </x:xf>
    <x:xf numFmtId="205" fontId="6" fillId="5" borderId="6" xfId="0" applyNumberFormat="1" applyFont="1" applyFill="1" applyBorder="1" applyAlignment="1">
      <x:alignment vertical="center"/>
    </x:xf>
    <x:xf numFmtId="0" fontId="6" fillId="5" borderId="6" xfId="0" applyNumberFormat="1" applyFont="1" applyFill="1" applyBorder="1" applyAlignment="1">
      <x:alignment vertical="center"/>
    </x:xf>
    <x:xf numFmtId="0" fontId="12" fillId="5" borderId="6" xfId="0" applyNumberFormat="1" applyFont="1" applyFill="1" applyBorder="1" applyAlignment="1">
      <x:alignment vertical="center" wrapText="1"/>
    </x:xf>
    <x:xf numFmtId="0" fontId="13" fillId="5" borderId="6" xfId="0" applyNumberFormat="1" applyFont="1" applyFill="1" applyBorder="1" applyAlignment="1">
      <x:alignment vertical="center"/>
    </x:xf>
    <x:xf numFmtId="205" fontId="13" fillId="5" borderId="6" xfId="0" applyNumberFormat="1" applyFont="1" applyFill="1" applyBorder="1" applyAlignment="1">
      <x:alignment vertical="center"/>
    </x:xf>
    <x:xf numFmtId="0" fontId="14" fillId="5" borderId="6" xfId="0" applyNumberFormat="1" applyFont="1" applyFill="1" applyBorder="1" applyAlignment="1">
      <x:alignment vertical="center" wrapText="1"/>
    </x:xf>
    <x:xf numFmtId="0" fontId="13" fillId="5" borderId="13" xfId="0" applyNumberFormat="1" applyFont="1" applyFill="1" applyBorder="1" applyAlignment="1">
      <x:alignment vertical="center"/>
    </x:xf>
    <x:xf numFmtId="205" fontId="13" fillId="5" borderId="13" xfId="0" applyNumberFormat="1" applyFont="1" applyFill="1" applyBorder="1" applyAlignment="1">
      <x:alignment vertical="center"/>
    </x:xf>
    <x:xf numFmtId="0" fontId="14" fillId="5" borderId="13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15" fillId="0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6" fillId="6" borderId="0" xfId="0" applyNumberFormat="1" applyFont="1" applyFill="1" applyBorder="1"/>
    <x:xf numFmtId="0" fontId="16" fillId="6" borderId="0" xfId="0" applyNumberFormat="1" applyFont="1" applyFill="1" applyBorder="1" applyAlignment="1">
      <x:alignment wrapText="1"/>
    </x:xf>
    <x:xf numFmtId="204" fontId="16" fillId="6" borderId="0" xfId="0" applyNumberFormat="1" applyFont="1" applyFill="1" applyBorder="1" applyAlignment="1">
      <x:alignment wrapText="1"/>
    </x:xf>
    <x:xf numFmtId="205" fontId="16" fillId="6" borderId="0" xfId="0" applyNumberFormat="1" applyFont="1" applyFill="1" applyBorder="1" applyAlignment="1">
      <x:alignment wrapText="1"/>
    </x:xf>
    <x:xf numFmtId="205" fontId="4" fillId="0" borderId="5" xfId="0" applyNumberFormat="1" applyFont="1" applyFill="1" applyBorder="1" applyAlignment="1">
      <x:alignment vertical="center"/>
    </x:xf>
    <x:xf numFmtId="205" fontId="4" fillId="0" borderId="6" xfId="0" applyNumberFormat="1" applyFont="1" applyFill="1" applyBorder="1" applyAlignment="1">
      <x:alignment vertical="center"/>
    </x:xf>
    <x:xf numFmtId="203" fontId="4" fillId="0" borderId="5" xfId="0" applyNumberFormat="1" applyFont="1" applyFill="1" applyBorder="1" applyAlignment="1">
      <x:alignment vertical="center"/>
    </x:xf>
    <x:xf numFmtId="203" fontId="4" fillId="0" borderId="6" xfId="0" applyNumberFormat="1" applyFont="1" applyFill="1" applyBorder="1" applyAlignment="1">
      <x:alignment vertical="center"/>
    </x:xf>
    <x:xf numFmtId="208" fontId="4" fillId="0" borderId="5" xfId="0" applyNumberFormat="1" applyFont="1" applyFill="1" applyBorder="1" applyAlignment="1">
      <x:alignment vertical="center"/>
    </x:xf>
    <x:xf numFmtId="208" fontId="4" fillId="0" borderId="6" xfId="0" applyNumberFormat="1" applyFont="1" applyFill="1" applyBorder="1" applyAlignment="1">
      <x:alignment vertical="center"/>
    </x:xf>
    <x:xf numFmtId="205" fontId="4" fillId="5" borderId="5" xfId="0" applyNumberFormat="1" applyFont="1" applyFill="1" applyBorder="1" applyAlignment="1">
      <x:alignment vertical="center"/>
    </x:xf>
    <x:xf numFmtId="205" fontId="4" fillId="5" borderId="6" xfId="0" applyNumberFormat="1" applyFont="1" applyFill="1" applyBorder="1" applyAlignment="1">
      <x:alignment vertical="center"/>
    </x:xf>
    <x:xf numFmtId="205" fontId="17" fillId="5" borderId="5" xfId="0" applyNumberFormat="1" applyFont="1" applyFill="1" applyBorder="1" applyAlignment="1">
      <x:alignment vertical="center"/>
    </x:xf>
    <x:xf numFmtId="205" fontId="17" fillId="5" borderId="6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/>
    <x:xf numFmtId="203" fontId="4" fillId="6" borderId="0" xfId="0" applyNumberFormat="1" applyFont="1" applyFill="1" applyBorder="1"/>
    <x:xf numFmtId="209" fontId="4" fillId="6" borderId="0" xfId="0" applyNumberFormat="1" applyFont="1" applyFill="1" applyBorder="1"/>
    <x:xf numFmtId="205" fontId="6" fillId="0" borderId="5" xfId="0" applyNumberFormat="1" applyFont="1" applyFill="1" applyBorder="1" applyAlignment="1">
      <x:alignment vertical="center"/>
    </x:xf>
    <x:xf numFmtId="210" fontId="6" fillId="0" borderId="5" xfId="0" applyNumberFormat="1" applyFont="1" applyFill="1" applyBorder="1" applyAlignment="1">
      <x:alignment vertical="center"/>
    </x:xf>
    <x:xf numFmtId="210" fontId="6" fillId="0" borderId="6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18" fillId="7" borderId="0" xfId="0" applyNumberFormat="1" applyFont="1" applyFill="1" applyBorder="1"/>
    <x:xf numFmtId="0" fontId="18" fillId="7" borderId="14" xfId="0" applyNumberFormat="1" applyFont="1" applyFill="1" applyBorder="1"/>
    <x:xf numFmtId="0" fontId="18" fillId="7" borderId="15" xfId="0" applyNumberFormat="1" applyFont="1" applyFill="1" applyBorder="1"/>
    <x:xf numFmtId="0" fontId="18" fillId="7" borderId="16" xfId="0" applyNumberFormat="1" applyFont="1" applyFill="1" applyBorder="1"/>
    <x:xf numFmtId="0" fontId="18" fillId="7" borderId="14" xfId="0" applyNumberFormat="1" applyFont="1" applyFill="1" applyBorder="1" applyAlignment="1">
      <x:alignment vertical="center"/>
    </x:xf>
    <x:xf numFmtId="0" fontId="18" fillId="7" borderId="15" xfId="0" applyNumberFormat="1" applyFont="1" applyFill="1" applyBorder="1" applyAlignment="1">
      <x:alignment vertical="center"/>
    </x:xf>
    <x:xf numFmtId="0" fontId="18" fillId="7" borderId="16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9" fillId="8" borderId="0" xfId="0" applyNumberFormat="1" applyFont="1" applyFill="1" applyBorder="1"/>
    <x:xf numFmtId="0" fontId="19" fillId="8" borderId="0" xfId="0" applyNumberFormat="1" applyFont="1" applyFill="1" applyBorder="1" applyAlignment="1">
      <x:alignment wrapText="1"/>
    </x:xf>
    <x:xf numFmtId="0" fontId="19" fillId="8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/>
    <x:xf numFmtId="0" fontId="5" fillId="7" borderId="14" xfId="0" applyNumberFormat="1" applyFont="1" applyFill="1" applyBorder="1"/>
    <x:xf numFmtId="0" fontId="5" fillId="7" borderId="16" xfId="0" applyNumberFormat="1" applyFont="1" applyFill="1" applyBorder="1"/>
    <x:xf numFmtId="0" fontId="5" fillId="7" borderId="14" xfId="0" applyNumberFormat="1" applyFont="1" applyFill="1" applyBorder="1" applyAlignment="1">
      <x:alignment vertical="center"/>
    </x:xf>
    <x:xf numFmtId="0" fontId="5" fillId="7" borderId="16" xfId="0" applyNumberFormat="1" applyFont="1" applyFill="1" applyBorder="1" applyAlignment="1">
      <x:alignment vertical="center"/>
    </x:xf>
    <x:xf numFmtId="0" fontId="6" fillId="0" borderId="17" xfId="0" applyNumberFormat="1" applyFont="1" applyFill="1" applyBorder="1"/>
    <x:xf numFmtId="0" fontId="6" fillId="0" borderId="18" xfId="0" applyNumberFormat="1" applyFont="1" applyFill="1" applyBorder="1"/>
    <x:xf numFmtId="0" fontId="6" fillId="0" borderId="19" xfId="0" applyNumberFormat="1" applyFont="1" applyFill="1" applyBorder="1"/>
    <x:xf numFmtId="0" fontId="6" fillId="0" borderId="20" xfId="0" applyNumberFormat="1" applyFont="1" applyFill="1" applyBorder="1"/>
    <x:xf numFmtId="0" fontId="6" fillId="0" borderId="21" xfId="0" applyNumberFormat="1" applyFont="1" applyFill="1" applyBorder="1"/>
    <x:xf numFmtId="0" fontId="6" fillId="0" borderId="22" xfId="0" applyNumberFormat="1" applyFont="1" applyFill="1" applyBorder="1"/>
    <x:xf numFmtId="0" fontId="6" fillId="0" borderId="17" xfId="0" applyNumberFormat="1" applyFont="1" applyFill="1" applyBorder="1" applyAlignment="1">
      <x:alignment vertical="center"/>
    </x:xf>
    <x:xf numFmtId="0" fontId="6" fillId="0" borderId="18" xfId="0" applyNumberFormat="1" applyFont="1" applyFill="1" applyBorder="1" applyAlignment="1">
      <x:alignment vertical="center"/>
    </x:xf>
    <x:xf numFmtId="0" fontId="6" fillId="0" borderId="19" xfId="0" applyNumberFormat="1" applyFont="1" applyFill="1" applyBorder="1" applyAlignment="1">
      <x:alignment vertical="center"/>
    </x:xf>
    <x:xf numFmtId="0" fontId="6" fillId="0" borderId="20" xfId="0" applyNumberFormat="1" applyFont="1" applyFill="1" applyBorder="1" applyAlignment="1">
      <x:alignment vertical="center"/>
    </x:xf>
    <x:xf numFmtId="0" fontId="6" fillId="0" borderId="21" xfId="0" applyNumberFormat="1" applyFont="1" applyFill="1" applyBorder="1" applyAlignment="1">
      <x:alignment vertical="center"/>
    </x:xf>
    <x:xf numFmtId="0" fontId="6" fillId="0" borderId="22" xfId="0" applyNumberFormat="1" applyFont="1" applyFill="1" applyBorder="1" applyAlignment="1">
      <x:alignment vertical="center"/>
    </x:xf>
    <x:xf numFmtId="0" fontId="6" fillId="9" borderId="18" xfId="0" applyNumberFormat="1" applyFont="1" applyFill="1" applyBorder="1" applyAlignment="1">
      <x:alignment vertical="center"/>
    </x:xf>
    <x:xf numFmtId="0" fontId="20" fillId="9" borderId="18" xfId="0" applyNumberFormat="1" applyFont="1" applyFill="1" applyBorder="1" applyAlignment="1">
      <x:alignment vertical="center"/>
    </x:xf>
    <x:xf numFmtId="0" fontId="20" fillId="9" borderId="23" xfId="0" applyNumberFormat="1" applyFont="1" applyFill="1" applyBorder="1" applyAlignment="1">
      <x:alignment vertical="center"/>
    </x:xf>
    <x:xf numFmtId="0" fontId="6" fillId="9" borderId="20" xfId="0" applyNumberFormat="1" applyFont="1" applyFill="1" applyBorder="1" applyAlignment="1">
      <x:alignment vertical="center"/>
    </x:xf>
    <x:xf numFmtId="0" fontId="20" fillId="9" borderId="20" xfId="0" applyNumberFormat="1" applyFont="1" applyFill="1" applyBorder="1" applyAlignment="1">
      <x:alignment vertical="center"/>
    </x:xf>
    <x:xf numFmtId="0" fontId="6" fillId="9" borderId="22" xfId="0" applyNumberFormat="1" applyFont="1" applyFill="1" applyBorder="1" applyAlignment="1">
      <x:alignment vertical="center"/>
    </x:xf>
    <x:xf numFmtId="0" fontId="20" fillId="9" borderId="22" xfId="0" applyNumberFormat="1" applyFont="1" applyFill="1" applyBorder="1" applyAlignment="1">
      <x:alignment vertical="center"/>
    </x:xf>
    <x:xf numFmtId="0" fontId="20" fillId="9" borderId="24" xfId="0" applyNumberFormat="1" applyFont="1" applyFill="1" applyBorder="1" applyAlignment="1">
      <x:alignment vertical="center"/>
    </x:xf>
    <x:xf numFmtId="0" fontId="20" fillId="9" borderId="25" xfId="0" applyNumberFormat="1" applyFont="1" applyFill="1" applyBorder="1" applyAlignment="1">
      <x:alignment vertical="center"/>
    </x:xf>
    <x:xf numFmtId="0" fontId="20" fillId="9" borderId="26" xfId="0" applyNumberFormat="1" applyFont="1" applyFill="1" applyBorder="1" applyAlignment="1">
      <x:alignment vertical="center"/>
    </x:xf>
    <x:xf numFmtId="0" fontId="6" fillId="10" borderId="20" xfId="0" applyNumberFormat="1" applyFont="1" applyFill="1" applyBorder="1" applyAlignment="1">
      <x:alignment vertical="center"/>
    </x:xf>
    <x:xf numFmtId="0" fontId="21" fillId="10" borderId="20" xfId="0" applyNumberFormat="1" applyFont="1" applyFill="1" applyBorder="1" applyAlignment="1">
      <x:alignment vertical="center"/>
    </x:xf>
    <x:xf numFmtId="0" fontId="21" fillId="10" borderId="24" xfId="0" applyNumberFormat="1" applyFont="1" applyFill="1" applyBorder="1" applyAlignment="1">
      <x:alignment vertical="center"/>
    </x:xf>
    <x:xf numFmtId="0" fontId="21" fillId="10" borderId="25" xfId="0" applyNumberFormat="1" applyFont="1" applyFill="1" applyBorder="1" applyAlignment="1">
      <x:alignment vertical="center"/>
    </x:xf>
    <x:xf numFmtId="0" fontId="21" fillId="10" borderId="26" xfId="0" applyNumberFormat="1" applyFont="1" applyFill="1" applyBorder="1" applyAlignment="1">
      <x:alignment vertical="center"/>
    </x:xf>
    <x:xf numFmtId="0" fontId="6" fillId="10" borderId="22" xfId="0" applyNumberFormat="1" applyFont="1" applyFill="1" applyBorder="1" applyAlignment="1">
      <x:alignment vertical="center"/>
    </x:xf>
    <x:xf numFmtId="0" fontId="21" fillId="10" borderId="22" xfId="0" applyNumberFormat="1" applyFont="1" applyFill="1" applyBorder="1" applyAlignment="1">
      <x:alignment vertical="center"/>
    </x:xf>
    <x:xf numFmtId="0" fontId="6" fillId="10" borderId="18" xfId="0" applyNumberFormat="1" applyFont="1" applyFill="1" applyBorder="1" applyAlignment="1">
      <x:alignment vertical="center"/>
    </x:xf>
    <x:xf numFmtId="0" fontId="21" fillId="10" borderId="18" xfId="0" applyNumberFormat="1" applyFont="1" applyFill="1" applyBorder="1" applyAlignment="1">
      <x:alignment vertical="center"/>
    </x:xf>
    <x:xf numFmtId="0" fontId="21" fillId="10" borderId="23" xfId="0" applyNumberFormat="1" applyFont="1" applyFill="1" applyBorder="1" applyAlignment="1">
      <x:alignment vertical="center"/>
    </x:xf>
    <x:xf numFmtId="0" fontId="21" fillId="9" borderId="26" xfId="0" applyNumberFormat="1" applyFont="1" applyFill="1" applyBorder="1" applyAlignment="1">
      <x:alignment vertical="center"/>
    </x:xf>
    <x:xf numFmtId="0" fontId="5" fillId="7" borderId="15" xfId="0" applyNumberFormat="1" applyFont="1" applyFill="1" applyBorder="1"/>
    <x:xf numFmtId="0" fontId="5" fillId="7" borderId="15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7" fillId="11" borderId="0" xfId="0" applyNumberFormat="1" applyFont="1" applyFill="1" applyBorder="1"/>
    <x:xf numFmtId="0" fontId="17" fillId="11" borderId="27" xfId="0" applyNumberFormat="1" applyFont="1" applyFill="1" applyBorder="1"/>
    <x:xf numFmtId="0" fontId="17" fillId="11" borderId="28" xfId="0" applyNumberFormat="1" applyFont="1" applyFill="1" applyBorder="1"/>
    <x:xf numFmtId="0" fontId="17" fillId="11" borderId="29" xfId="0" applyNumberFormat="1" applyFont="1" applyFill="1" applyBorder="1"/>
    <x:xf numFmtId="0" fontId="17" fillId="11" borderId="27" xfId="0" applyNumberFormat="1" applyFont="1" applyFill="1" applyBorder="1" applyAlignment="1">
      <x:alignment wrapText="1"/>
    </x:xf>
    <x:xf numFmtId="0" fontId="17" fillId="11" borderId="28" xfId="0" applyNumberFormat="1" applyFont="1" applyFill="1" applyBorder="1" applyAlignment="1">
      <x:alignment wrapText="1"/>
    </x:xf>
    <x:xf numFmtId="0" fontId="17" fillId="11" borderId="29" xfId="0" applyNumberFormat="1" applyFont="1" applyFill="1" applyBorder="1" applyAlignment="1">
      <x:alignment wrapText="1"/>
    </x:xf>
    <x:xf numFmtId="0" fontId="17" fillId="11" borderId="27" xfId="0" applyNumberFormat="1" applyFont="1" applyFill="1" applyBorder="1" applyAlignment="1">
      <x:alignment horizontal="center" wrapText="1"/>
    </x:xf>
    <x:xf numFmtId="0" fontId="17" fillId="11" borderId="28" xfId="0" applyNumberFormat="1" applyFont="1" applyFill="1" applyBorder="1" applyAlignment="1">
      <x:alignment horizontal="center" wrapText="1"/>
    </x:xf>
    <x:xf numFmtId="0" fontId="17" fillId="11" borderId="29" xfId="0" applyNumberFormat="1" applyFont="1" applyFill="1" applyBorder="1" applyAlignment="1">
      <x:alignment horizontal="center" wrapText="1"/>
    </x:xf>
    <x:xf numFmtId="0" fontId="17" fillId="11" borderId="27" xfId="0" applyNumberFormat="1" applyFont="1" applyFill="1" applyBorder="1" applyAlignment="1">
      <x:alignment horizontal="center" vertical="center" wrapText="1"/>
    </x:xf>
    <x:xf numFmtId="0" fontId="17" fillId="11" borderId="28" xfId="0" applyNumberFormat="1" applyFont="1" applyFill="1" applyBorder="1" applyAlignment="1">
      <x:alignment horizontal="center" vertical="center" wrapText="1"/>
    </x:xf>
    <x:xf numFmtId="0" fontId="17" fillId="11" borderId="29" xfId="0" applyNumberFormat="1" applyFont="1" applyFill="1" applyBorder="1" applyAlignment="1">
      <x:alignment horizontal="center" vertical="center" wrapText="1"/>
    </x:xf>
    <x:xf numFmtId="0" fontId="6" fillId="0" borderId="30" xfId="0" applyNumberFormat="1" applyFont="1" applyFill="1" applyBorder="1"/>
    <x:xf numFmtId="0" fontId="6" fillId="0" borderId="31" xfId="0" applyNumberFormat="1" applyFont="1" applyFill="1" applyBorder="1"/>
    <x:xf numFmtId="0" fontId="6" fillId="0" borderId="32" xfId="0" applyNumberFormat="1" applyFont="1" applyFill="1" applyBorder="1"/>
    <x:xf numFmtId="0" fontId="6" fillId="0" borderId="30" xfId="0" applyNumberFormat="1" applyFont="1" applyFill="1" applyBorder="1" applyAlignment="1">
      <x:alignment vertical="center"/>
    </x:xf>
    <x:xf numFmtId="0" fontId="6" fillId="0" borderId="31" xfId="0" applyNumberFormat="1" applyFont="1" applyFill="1" applyBorder="1" applyAlignment="1">
      <x:alignment vertical="center"/>
    </x:xf>
    <x:xf numFmtId="0" fontId="6" fillId="0" borderId="32" xfId="0" applyNumberFormat="1" applyFont="1" applyFill="1" applyBorder="1" applyAlignment="1">
      <x:alignment vertical="center"/>
    </x:xf>
    <x:xf numFmtId="0" fontId="6" fillId="12" borderId="21" xfId="0" applyNumberFormat="1" applyFont="1" applyFill="1" applyBorder="1" applyAlignment="1">
      <x:alignment vertical="center"/>
    </x:xf>
    <x:xf numFmtId="0" fontId="6" fillId="12" borderId="32" xfId="0" applyNumberFormat="1" applyFont="1" applyFill="1" applyBorder="1" applyAlignment="1">
      <x:alignment vertical="center"/>
    </x:xf>
    <x:xf numFmtId="0" fontId="17" fillId="12" borderId="21" xfId="0" applyNumberFormat="1" applyFont="1" applyFill="1" applyBorder="1" applyAlignment="1">
      <x:alignment vertical="center"/>
    </x:xf>
    <x:xf numFmtId="0" fontId="17" fillId="12" borderId="32" xfId="0" applyNumberFormat="1" applyFont="1" applyFill="1" applyBorder="1" applyAlignment="1">
      <x:alignment vertical="center"/>
    </x:xf>
    <x:xf numFmtId="0" fontId="22" fillId="10" borderId="18" xfId="0" applyNumberFormat="1" applyFont="1" applyFill="1" applyBorder="1" applyAlignment="1">
      <x:alignment vertical="center"/>
    </x:xf>
    <x:xf numFmtId="0" fontId="22" fillId="10" borderId="20" xfId="0" applyNumberFormat="1" applyFont="1" applyFill="1" applyBorder="1" applyAlignment="1">
      <x:alignment vertical="center"/>
    </x:xf>
    <x:xf numFmtId="0" fontId="22" fillId="10" borderId="22" xfId="0" applyNumberFormat="1" applyFont="1" applyFill="1" applyBorder="1" applyAlignment="1">
      <x:alignment vertical="center"/>
    </x:xf>
    <x:xf numFmtId="0" fontId="6" fillId="12" borderId="17" xfId="0" applyNumberFormat="1" applyFont="1" applyFill="1" applyBorder="1" applyAlignment="1">
      <x:alignment vertical="center"/>
    </x:xf>
    <x:xf numFmtId="0" fontId="6" fillId="12" borderId="30" xfId="0" applyNumberFormat="1" applyFont="1" applyFill="1" applyBorder="1" applyAlignment="1">
      <x:alignment vertical="center"/>
    </x:xf>
    <x:xf numFmtId="0" fontId="17" fillId="12" borderId="17" xfId="0" applyNumberFormat="1" applyFont="1" applyFill="1" applyBorder="1" applyAlignment="1">
      <x:alignment vertical="center"/>
    </x:xf>
    <x:xf numFmtId="0" fontId="17" fillId="12" borderId="30" xfId="0" applyNumberFormat="1" applyFont="1" applyFill="1" applyBorder="1" applyAlignment="1">
      <x:alignment vertical="center"/>
    </x:xf>
    <x:xf numFmtId="0" fontId="17" fillId="10" borderId="30" xfId="0" applyNumberFormat="1" applyFont="1" applyFill="1" applyBorder="1" applyAlignment="1">
      <x:alignment vertical="center"/>
    </x:xf>
    <x:xf numFmtId="0" fontId="6" fillId="10" borderId="31" xfId="0" applyNumberFormat="1" applyFont="1" applyFill="1" applyBorder="1" applyAlignment="1">
      <x:alignment vertical="center"/>
    </x:xf>
    <x:xf numFmtId="0" fontId="6" fillId="10" borderId="32" xfId="0" applyNumberFormat="1" applyFont="1" applyFill="1" applyBorder="1" applyAlignment="1">
      <x:alignment vertical="center"/>
    </x:xf>
    <x:xf numFmtId="0" fontId="22" fillId="10" borderId="30" xfId="0" applyNumberFormat="1" applyFont="1" applyFill="1" applyBorder="1" applyAlignment="1">
      <x:alignment vertical="center"/>
    </x:xf>
    <x:xf numFmtId="0" fontId="22" fillId="10" borderId="31" xfId="0" applyNumberFormat="1" applyFont="1" applyFill="1" applyBorder="1" applyAlignment="1">
      <x:alignment vertical="center"/>
    </x:xf>
    <x:xf numFmtId="0" fontId="22" fillId="10" borderId="32" xfId="0" applyNumberFormat="1" applyFont="1" applyFill="1" applyBorder="1" applyAlignment="1">
      <x:alignment vertical="center"/>
    </x:xf>
    <x:xf numFmtId="203" fontId="6" fillId="0" borderId="17" xfId="0" applyNumberFormat="1" applyFont="1" applyFill="1" applyBorder="1" applyAlignment="1">
      <x:alignment vertical="center"/>
    </x:xf>
    <x:xf numFmtId="203" fontId="6" fillId="0" borderId="19" xfId="0" applyNumberFormat="1" applyFont="1" applyFill="1" applyBorder="1" applyAlignment="1">
      <x:alignment vertical="center"/>
    </x:xf>
    <x:xf numFmtId="203" fontId="17" fillId="12" borderId="21" xfId="0" applyNumberFormat="1" applyFont="1" applyFill="1" applyBorder="1" applyAlignment="1">
      <x:alignment vertical="center"/>
    </x:xf>
    <x:xf numFmtId="203" fontId="17" fillId="12" borderId="17" xfId="0" applyNumberFormat="1" applyFont="1" applyFill="1" applyBorder="1" applyAlignment="1">
      <x:alignment vertical="center"/>
    </x:xf>
    <x:xf numFmtId="203" fontId="6" fillId="0" borderId="21" xfId="0" applyNumberFormat="1" applyFont="1" applyFill="1" applyBorder="1" applyAlignment="1">
      <x:alignment vertical="center"/>
    </x:xf>
    <x:xf numFmtId="205" fontId="6" fillId="0" borderId="30" xfId="0" applyNumberFormat="1" applyFont="1" applyFill="1" applyBorder="1" applyAlignment="1">
      <x:alignment vertical="center"/>
    </x:xf>
    <x:xf numFmtId="205" fontId="6" fillId="0" borderId="31" xfId="0" applyNumberFormat="1" applyFont="1" applyFill="1" applyBorder="1" applyAlignment="1">
      <x:alignment vertical="center"/>
    </x:xf>
    <x:xf numFmtId="205" fontId="17" fillId="12" borderId="32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5" fontId="5" fillId="7" borderId="15" xfId="0" applyNumberFormat="1" applyFont="1" applyFill="1" applyBorder="1" applyAlignment="1">
      <x:alignment vertical="center"/>
    </x:xf>
    <x:xf numFmtId="205" fontId="17" fillId="11" borderId="28" xfId="0" applyNumberFormat="1" applyFont="1" applyFill="1" applyBorder="1" applyAlignment="1">
      <x:alignment horizontal="center" vertical="center" wrapText="1"/>
    </x:xf>
    <x:xf numFmtId="205" fontId="17" fillId="12" borderId="30" xfId="0" applyNumberFormat="1" applyFont="1" applyFill="1" applyBorder="1" applyAlignment="1">
      <x:alignment vertical="center"/>
    </x:xf>
    <x:xf numFmtId="205" fontId="6" fillId="0" borderId="32" xfId="0" applyNumberFormat="1" applyFont="1" applyFill="1" applyBorder="1" applyAlignment="1">
      <x:alignment vertical="center"/>
    </x:xf>
    <x:xf numFmtId="210" fontId="6" fillId="0" borderId="30" xfId="0" applyNumberFormat="1" applyFont="1" applyFill="1" applyBorder="1" applyAlignment="1">
      <x:alignment vertical="center"/>
    </x:xf>
    <x:xf numFmtId="210" fontId="6" fillId="0" borderId="31" xfId="0" applyNumberFormat="1" applyFont="1" applyFill="1" applyBorder="1" applyAlignment="1">
      <x:alignment vertical="center"/>
    </x:xf>
    <x:xf numFmtId="210" fontId="17" fillId="12" borderId="32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10" fontId="5" fillId="7" borderId="15" xfId="0" applyNumberFormat="1" applyFont="1" applyFill="1" applyBorder="1" applyAlignment="1">
      <x:alignment vertical="center"/>
    </x:xf>
    <x:xf numFmtId="210" fontId="17" fillId="11" borderId="28" xfId="0" applyNumberFormat="1" applyFont="1" applyFill="1" applyBorder="1" applyAlignment="1">
      <x:alignment horizontal="center" vertical="center" wrapText="1"/>
    </x:xf>
    <x:xf numFmtId="210" fontId="17" fillId="12" borderId="30" xfId="0" applyNumberFormat="1" applyFont="1" applyFill="1" applyBorder="1" applyAlignment="1">
      <x:alignment vertical="center"/>
    </x:xf>
    <x:xf numFmtId="210" fontId="6" fillId="0" borderId="32" xfId="0" applyNumberFormat="1" applyFont="1" applyFill="1" applyBorder="1" applyAlignment="1">
      <x:alignment vertical="center"/>
    </x:xf>
    <x:xf numFmtId="205" fontId="22" fillId="10" borderId="30" xfId="0" applyNumberFormat="1" applyFont="1" applyFill="1" applyBorder="1" applyAlignment="1">
      <x:alignment vertical="center"/>
    </x:xf>
    <x:xf numFmtId="205" fontId="22" fillId="10" borderId="31" xfId="0" applyNumberFormat="1" applyFont="1" applyFill="1" applyBorder="1" applyAlignment="1">
      <x:alignment vertical="center"/>
    </x:xf>
    <x:xf numFmtId="205" fontId="22" fillId="10" borderId="32" xfId="0" applyNumberFormat="1" applyFont="1" applyFill="1" applyBorder="1" applyAlignment="1">
      <x:alignment vertical="center"/>
    </x:xf>
    <x:xf numFmtId="205" fontId="22" fillId="10" borderId="18" xfId="0" applyNumberFormat="1" applyFont="1" applyFill="1" applyBorder="1" applyAlignment="1">
      <x:alignment vertical="center"/>
    </x:xf>
    <x:xf numFmtId="205" fontId="22" fillId="10" borderId="20" xfId="0" applyNumberFormat="1" applyFont="1" applyFill="1" applyBorder="1" applyAlignment="1">
      <x:alignment vertical="center"/>
    </x:xf>
    <x:xf numFmtId="205" fontId="22" fillId="10" borderId="22" xfId="0" applyNumberFormat="1" applyFont="1" applyFill="1" applyBorder="1" applyAlignment="1">
      <x:alignment vertical="center"/>
    </x:xf>
    <x:xf numFmtId="0" fontId="5" fillId="13" borderId="14" xfId="0" applyNumberFormat="1" applyFont="1" applyFill="1" applyBorder="1" applyAlignment="1">
      <x:alignment vertical="center"/>
    </x:xf>
    <x:xf numFmtId="0" fontId="5" fillId="13" borderId="15" xfId="0" applyNumberFormat="1" applyFont="1" applyFill="1" applyBorder="1" applyAlignment="1">
      <x:alignment vertical="center"/>
    </x:xf>
    <x:xf numFmtId="0" fontId="5" fillId="13" borderId="16" xfId="0" applyNumberFormat="1" applyFont="1" applyFill="1" applyBorder="1" applyAlignment="1">
      <x:alignment vertical="center"/>
    </x:xf>
    <x:xf numFmtId="0" fontId="6" fillId="14" borderId="21" xfId="0" applyNumberFormat="1" applyFont="1" applyFill="1" applyBorder="1" applyAlignment="1">
      <x:alignment vertical="center"/>
    </x:xf>
    <x:xf numFmtId="0" fontId="6" fillId="14" borderId="32" xfId="0" applyNumberFormat="1" applyFont="1" applyFill="1" applyBorder="1" applyAlignment="1">
      <x:alignment vertical="center"/>
    </x:xf>
    <x:xf numFmtId="0" fontId="6" fillId="14" borderId="22" xfId="0" applyNumberFormat="1" applyFont="1" applyFill="1" applyBorder="1" applyAlignment="1">
      <x:alignment vertical="center"/>
    </x:xf>
    <x:xf numFmtId="0" fontId="23" fillId="14" borderId="21" xfId="0" applyNumberFormat="1" applyFont="1" applyFill="1" applyBorder="1" applyAlignment="1">
      <x:alignment vertical="center"/>
    </x:xf>
    <x:xf numFmtId="0" fontId="23" fillId="14" borderId="32" xfId="0" applyNumberFormat="1" applyFont="1" applyFill="1" applyBorder="1" applyAlignment="1">
      <x:alignment vertical="center"/>
    </x:xf>
    <x:xf numFmtId="0" fontId="23" fillId="14" borderId="22" xfId="0" applyNumberFormat="1" applyFont="1" applyFill="1" applyBorder="1" applyAlignment="1">
      <x:alignment vertical="center"/>
    </x:xf>
    <x:xf numFmtId="0" fontId="23" fillId="14" borderId="33" xfId="0" applyNumberFormat="1" applyFont="1" applyFill="1" applyBorder="1" applyAlignment="1">
      <x:alignment vertical="center"/>
    </x:xf>
    <x:xf numFmtId="203" fontId="23" fillId="14" borderId="33" xfId="0" applyNumberFormat="1" applyFont="1" applyFill="1" applyBorder="1" applyAlignment="1">
      <x:alignment vertical="center"/>
    </x:xf>
    <x:xf numFmtId="205" fontId="23" fillId="14" borderId="33" xfId="0" applyNumberFormat="1" applyFont="1" applyFill="1" applyBorder="1" applyAlignment="1">
      <x:alignment vertical="center"/>
    </x:xf>
    <x:xf numFmtId="210" fontId="23" fillId="14" borderId="33" xfId="0" applyNumberFormat="1" applyFont="1" applyFill="1" applyBorder="1" applyAlignment="1">
      <x:alignment vertical="center"/>
    </x:xf>
    <x:xf numFmtId="211" fontId="6" fillId="0" borderId="30" xfId="0" applyNumberFormat="1" applyFont="1" applyFill="1" applyBorder="1" applyAlignment="1">
      <x:alignment vertical="center"/>
    </x:xf>
    <x:xf numFmtId="211" fontId="6" fillId="0" borderId="31" xfId="0" applyNumberFormat="1" applyFont="1" applyFill="1" applyBorder="1" applyAlignment="1">
      <x:alignment vertical="center"/>
    </x:xf>
    <x:xf numFmtId="211" fontId="23" fillId="14" borderId="33" xfId="0" applyNumberFormat="1" applyFont="1" applyFill="1" applyBorder="1" applyAlignment="1">
      <x:alignment vertical="center"/>
    </x:xf>
    <x:xf numFmtId="203" fontId="21" fillId="10" borderId="25" xfId="0" applyNumberFormat="1" applyFont="1" applyFill="1" applyBorder="1" applyAlignment="1">
      <x:alignment vertical="center"/>
    </x:xf>
    <x:xf numFmtId="203" fontId="21" fillId="10" borderId="26" xfId="0" applyNumberFormat="1" applyFont="1" applyFill="1" applyBorder="1" applyAlignment="1">
      <x:alignment vertical="center"/>
    </x:xf>
    <x:xf numFmtId="203" fontId="20" fillId="9" borderId="23" xfId="0" applyNumberFormat="1" applyFont="1" applyFill="1" applyBorder="1" applyAlignment="1">
      <x:alignment vertical="center"/>
    </x:xf>
    <x:xf numFmtId="204" fontId="20" fillId="9" borderId="25" xfId="0" applyNumberFormat="1" applyFont="1" applyFill="1" applyBorder="1" applyAlignment="1">
      <x:alignment vertical="center"/>
    </x:xf>
    <x:xf numFmtId="204" fontId="20" fillId="9" borderId="26" xfId="0" applyNumberFormat="1" applyFont="1" applyFill="1" applyBorder="1" applyAlignment="1">
      <x:alignment vertical="center"/>
    </x:xf>
    <x:xf numFmtId="204" fontId="21" fillId="10" borderId="24" xfId="0" applyNumberFormat="1" applyFont="1" applyFill="1" applyBorder="1" applyAlignment="1">
      <x:alignment vertical="center"/>
    </x:xf>
    <x:xf numFmtId="205" fontId="21" fillId="10" borderId="25" xfId="0" applyNumberFormat="1" applyFont="1" applyFill="1" applyBorder="1" applyAlignment="1">
      <x:alignment vertical="center"/>
    </x:xf>
    <x:xf numFmtId="208" fontId="21" fillId="10" borderId="25" xfId="0" applyNumberFormat="1" applyFont="1" applyFill="1" applyBorder="1" applyAlignment="1">
      <x:alignment vertical="center"/>
    </x:xf>
    <x:xf numFmtId="204" fontId="21" fillId="10" borderId="26" xfId="0" applyNumberFormat="1" applyFont="1" applyFill="1" applyBorder="1" applyAlignment="1">
      <x:alignment vertical="center"/>
    </x:xf>
    <x:xf numFmtId="200" fontId="21" fillId="10" borderId="25" xfId="0" applyNumberFormat="1" applyFont="1" applyFill="1" applyBorder="1" applyAlignment="1">
      <x:alignment vertical="center"/>
    </x:xf>
    <x:xf numFmtId="205" fontId="20" fillId="9" borderId="2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10" fillId="4" borderId="1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4" fontId="10" fillId="4" borderId="11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6" fontId="4" fillId="0" borderId="0" xfId="0" applyNumberFormat="1" applyFont="1" applyFill="1" applyBorder="1" applyAlignment="1">
      <x:alignment vertical="center"/>
    </x:xf>
    <x:xf numFmtId="0" fontId="10" fillId="4" borderId="11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3" fontId="4" fillId="0" borderId="0" xfId="0" applyNumberFormat="1" applyFont="1" applyFill="1" applyBorder="1" applyAlignment="1">
      <x:alignment vertical="center"/>
    </x:xf>
    <x:xf numFmtId="205" fontId="10" fillId="4" borderId="11" xfId="0" applyNumberFormat="1" applyFont="1" applyFill="1" applyBorder="1" applyAlignment="1">
      <x:alignment vertical="center"/>
    </x:xf>
    <x:xf numFmtId="204" fontId="10" fillId="4" borderId="12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4" fontId="4" fillId="0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 applyAlignment="1">
      <x:alignment vertical="center" wrapText="1"/>
    </x:xf>
    <x:xf numFmtId="0" fontId="16" fillId="6" borderId="0" xfId="0" applyNumberFormat="1" applyFont="1" applyFill="1" applyBorder="1" applyAlignment="1">
      <x:alignment vertical="center" wrapText="1"/>
    </x:xf>
    <x:xf numFmtId="204" fontId="16" fillId="6" borderId="0" xfId="0" applyNumberFormat="1" applyFont="1" applyFill="1" applyBorder="1" applyAlignment="1">
      <x:alignment vertical="center" wrapText="1"/>
    </x:xf>
    <x:xf numFmtId="205" fontId="16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/>
    </x:xf>
    <x:xf numFmtId="203" fontId="4" fillId="6" borderId="0" xfId="0" applyNumberFormat="1" applyFont="1" applyFill="1" applyBorder="1" applyAlignment="1">
      <x:alignment vertical="center"/>
    </x:xf>
    <x:xf numFmtId="209" fontId="4" fillId="6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17" fillId="11" borderId="28" xfId="0" applyNumberFormat="1" applyFont="1" applyFill="1" applyBorder="1" applyAlignment="1">
      <x:alignment horizontal="center" vertical="center" wrapText="0"/>
    </x:xf>
    <x:xf numFmtId="205" fontId="6" fillId="0" borderId="30" xfId="0" applyNumberFormat="1" applyFont="1" applyFill="1" applyBorder="1" applyAlignment="1">
      <x:alignment vertical="center" wrapText="0"/>
    </x:xf>
    <x:xf numFmtId="205" fontId="6" fillId="0" borderId="31" xfId="0" applyNumberFormat="1" applyFont="1" applyFill="1" applyBorder="1" applyAlignment="1">
      <x:alignment vertical="center" wrapText="0"/>
    </x:xf>
    <x:xf numFmtId="205" fontId="17" fillId="12" borderId="32" xfId="0" applyNumberFormat="1" applyFont="1" applyFill="1" applyBorder="1" applyAlignment="1">
      <x:alignment vertical="center" wrapText="0"/>
    </x:xf>
    <x:xf numFmtId="210" fontId="17" fillId="11" borderId="28" xfId="0" applyNumberFormat="1" applyFont="1" applyFill="1" applyBorder="1" applyAlignment="1">
      <x:alignment horizontal="center" vertical="center" wrapText="0"/>
    </x:xf>
    <x:xf numFmtId="210" fontId="6" fillId="0" borderId="30" xfId="0" applyNumberFormat="1" applyFont="1" applyFill="1" applyBorder="1" applyAlignment="1">
      <x:alignment vertical="center" wrapText="0"/>
    </x:xf>
    <x:xf numFmtId="210" fontId="6" fillId="0" borderId="31" xfId="0" applyNumberFormat="1" applyFont="1" applyFill="1" applyBorder="1" applyAlignment="1">
      <x:alignment vertical="center" wrapText="0"/>
    </x:xf>
    <x:xf numFmtId="210" fontId="17" fillId="12" borderId="32" xfId="0" applyNumberFormat="1" applyFont="1" applyFill="1" applyBorder="1" applyAlignment="1">
      <x:alignment vertical="center" wrapText="0"/>
    </x:xf>
    <x:xf numFmtId="205" fontId="17" fillId="11" borderId="28" xfId="0" applyNumberFormat="1" applyFont="1" applyFill="1" applyBorder="1" applyAlignment="1">
      <x:alignment horizontal="center" vertical="center" wrapText="0"/>
    </x:xf>
    <x:xf numFmtId="205" fontId="17" fillId="12" borderId="30" xfId="0" applyNumberFormat="1" applyFont="1" applyFill="1" applyBorder="1" applyAlignment="1">
      <x:alignment vertical="center" wrapText="0"/>
    </x:xf>
    <x:xf numFmtId="205" fontId="6" fillId="0" borderId="32" xfId="0" applyNumberFormat="1" applyFont="1" applyFill="1" applyBorder="1" applyAlignment="1">
      <x:alignment vertical="center" wrapText="0"/>
    </x:xf>
    <x:xf numFmtId="210" fontId="17" fillId="12" borderId="30" xfId="0" applyNumberFormat="1" applyFont="1" applyFill="1" applyBorder="1" applyAlignment="1">
      <x:alignment vertical="center" wrapText="0"/>
    </x:xf>
    <x:xf numFmtId="210" fontId="6" fillId="0" borderId="32" xfId="0" applyNumberFormat="1" applyFont="1" applyFill="1" applyBorder="1" applyAlignment="1">
      <x:alignment vertical="center" wrapText="0"/>
    </x:xf>
    <x:xf numFmtId="205" fontId="23" fillId="14" borderId="33" xfId="0" applyNumberFormat="1" applyFont="1" applyFill="1" applyBorder="1" applyAlignment="1">
      <x:alignment vertical="center" wrapText="0"/>
    </x:xf>
    <x:xf numFmtId="210" fontId="23" fillId="14" borderId="33" xfId="0" applyNumberFormat="1" applyFont="1" applyFill="1" applyBorder="1" applyAlignment="1">
      <x:alignment vertical="center" wrapText="0"/>
    </x:xf>
    <x:xf numFmtId="0" fontId="5" fillId="2" borderId="3" xfId="0" applyNumberFormat="1" applyFont="1" applyFill="1" applyBorder="1" applyAlignment="1">
      <x:alignment horizontal="center" vertical="center" wrapText="0"/>
    </x:xf>
    <x:xf numFmtId="205" fontId="6" fillId="0" borderId="5" xfId="0" applyNumberFormat="1" applyFont="1" applyFill="1" applyBorder="1" applyAlignment="1">
      <x:alignment vertical="center" wrapText="0"/>
    </x:xf>
    <x:xf numFmtId="205" fontId="6" fillId="0" borderId="6" xfId="0" applyNumberFormat="1" applyFont="1" applyFill="1" applyBorder="1" applyAlignment="1">
      <x:alignment vertical="center" wrapText="0"/>
    </x:xf>
    <x:xf numFmtId="210" fontId="5" fillId="2" borderId="3" xfId="0" applyNumberFormat="1" applyFont="1" applyFill="1" applyBorder="1" applyAlignment="1">
      <x:alignment horizontal="center" vertical="center" wrapText="0"/>
    </x:xf>
    <x:xf numFmtId="210" fontId="6" fillId="0" borderId="5" xfId="0" applyNumberFormat="1" applyFont="1" applyFill="1" applyBorder="1" applyAlignment="1">
      <x:alignment vertical="center" wrapText="0"/>
    </x:xf>
    <x:xf numFmtId="210" fontId="6" fillId="0" borderId="6" xfId="0" applyNumberFormat="1" applyFont="1" applyFill="1" applyBorder="1" applyAlignment="1">
      <x:alignment vertical="center" wrapText="0"/>
    </x:xf>
    <x:xf numFmtId="0" fontId="17" fillId="15" borderId="28" xfId="0" applyNumberFormat="1" applyFont="1" applyFill="1" applyBorder="1" applyAlignment="1">
      <x:alignment horizontal="center" vertical="center" wrapText="1"/>
    </x:xf>
    <x:xf numFmtId="0" fontId="24" fillId="15" borderId="28" xfId="0" applyNumberFormat="1" applyFont="1" applyFill="1" applyBorder="1" applyAlignment="1">
      <x:alignment horizontal="center" vertical="center" wrapText="1"/>
    </x:xf>
    <x:xf numFmtId="212" fontId="24" fillId="15" borderId="28" xfId="0" applyNumberFormat="1" applyFont="1" applyFill="1" applyBorder="1" applyAlignment="1">
      <x:alignment horizontal="center" vertical="center" wrapText="1"/>
    </x:xf>
    <x:xf numFmtId="210" fontId="17" fillId="15" borderId="28" xfId="0" applyNumberFormat="1" applyFont="1" applyFill="1" applyBorder="1" applyAlignment="1">
      <x:alignment horizontal="center" vertical="center" wrapText="0"/>
    </x:xf>
    <x:xf numFmtId="210" fontId="24" fillId="15" borderId="28" xfId="0" applyNumberFormat="1" applyFont="1" applyFill="1" applyBorder="1" applyAlignment="1">
      <x:alignment horizontal="center" vertical="center" wrapText="0"/>
    </x:xf>
    <x:xf numFmtId="212" fontId="24" fillId="15" borderId="28" xfId="0" applyNumberFormat="1" applyFont="1" applyFill="1" applyBorder="1" applyAlignment="1">
      <x:alignment horizontal="center" vertical="center" wrapText="0"/>
    </x:xf>
    <x:xf numFmtId="0" fontId="17" fillId="15" borderId="29" xfId="0" applyNumberFormat="1" applyFont="1" applyFill="1" applyBorder="1" applyAlignment="1">
      <x:alignment horizontal="center" vertical="center" wrapText="1"/>
    </x:xf>
    <x:xf numFmtId="0" fontId="24" fillId="15" borderId="29" xfId="0" applyNumberFormat="1" applyFont="1" applyFill="1" applyBorder="1" applyAlignment="1">
      <x:alignment horizontal="center" vertical="center" wrapText="1"/>
    </x:xf>
    <x:xf numFmtId="212" fontId="24" fillId="15" borderId="29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24" fillId="15" borderId="0" xfId="0" applyNumberFormat="1" applyFont="1" applyFill="1" applyBorder="1"/>
    <x:xf numFmtId="212" fontId="24" fillId="15" borderId="0" xfId="0" applyNumberFormat="1" applyFont="1" applyFill="1" applyBorder="1"/>
    <x:xf numFmtId="212" fontId="24" fillId="15" borderId="0" xfId="0" applyNumberFormat="1" applyFont="1" applyFill="1" applyBorder="1" applyAlignment="1">
      <x:alignment wrapText="1"/>
    </x:xf>
    <x:xf numFmtId="212" fontId="24" fillId="15" borderId="0" xfId="0" applyNumberFormat="1" applyFont="1" applyFill="1" applyBorder="1" applyAlignment="1">
      <x:alignment horizontal="center" wrapText="1"/>
    </x:xf>
    <x:xf numFmtId="212" fontId="24" fillId="15" borderId="0" xfId="0" applyNumberFormat="1" applyFont="1" applyFill="1" applyBorder="1" applyAlignment="1">
      <x:alignment horizontal="center" vertical="center" wrapText="1"/>
    </x:xf>
    <x:xf numFmtId="210" fontId="6" fillId="16" borderId="30" xfId="0" applyNumberFormat="1" applyFont="1" applyFill="1" applyBorder="1" applyAlignment="1">
      <x:alignment vertical="center"/>
    </x:xf>
    <x:xf numFmtId="210" fontId="25" fillId="16" borderId="30" xfId="0" applyNumberFormat="1" applyFont="1" applyFill="1" applyBorder="1" applyAlignment="1">
      <x:alignment vertical="center"/>
    </x:xf>
    <x:xf numFmtId="210" fontId="25" fillId="16" borderId="30" xfId="0" applyNumberFormat="1" applyFont="1" applyFill="1" applyBorder="1" applyAlignment="1">
      <x:alignment vertical="center" wrapText="0"/>
    </x:xf>
    <x:xf numFmtId="210" fontId="25" fillId="16" borderId="30" xfId="0" applyNumberFormat="1" applyFont="1" applyFill="1" applyBorder="1" applyAlignment="1">
      <x:alignment horizontal="right" vertical="center" wrapText="0"/>
    </x:xf>
    <x:xf numFmtId="210" fontId="6" fillId="16" borderId="30" xfId="0" applyNumberFormat="1" applyFont="1" applyFill="1" applyBorder="1" applyAlignment="1">
      <x:alignment vertical="center" wrapText="0"/>
    </x:xf>
    <x:xf numFmtId="205" fontId="6" fillId="16" borderId="30" xfId="0" applyNumberFormat="1" applyFont="1" applyFill="1" applyBorder="1" applyAlignment="1">
      <x:alignment vertical="center"/>
    </x:xf>
    <x:xf numFmtId="205" fontId="25" fillId="16" borderId="30" xfId="0" applyNumberFormat="1" applyFont="1" applyFill="1" applyBorder="1" applyAlignment="1">
      <x:alignment vertical="center"/>
    </x:xf>
    <x:xf numFmtId="205" fontId="25" fillId="16" borderId="30" xfId="0" applyNumberFormat="1" applyFont="1" applyFill="1" applyBorder="1" applyAlignment="1">
      <x:alignment vertical="center" wrapText="0"/>
    </x:xf>
    <x:xf numFmtId="205" fontId="25" fillId="16" borderId="30" xfId="0" applyNumberFormat="1" applyFont="1" applyFill="1" applyBorder="1" applyAlignment="1">
      <x:alignment horizontal="right" vertical="center" wrapText="0"/>
    </x:xf>
    <x:xf numFmtId="205" fontId="22" fillId="16" borderId="18" xfId="0" applyNumberFormat="1" applyFont="1" applyFill="1" applyBorder="1" applyAlignment="1">
      <x:alignment vertical="center"/>
    </x:xf>
    <x:xf numFmtId="205" fontId="25" fillId="16" borderId="18" xfId="0" applyNumberFormat="1" applyFont="1" applyFill="1" applyBorder="1" applyAlignment="1">
      <x:alignment vertical="center"/>
    </x:xf>
    <x:xf numFmtId="205" fontId="25" fillId="16" borderId="18" xfId="0" applyNumberFormat="1" applyFont="1" applyFill="1" applyBorder="1" applyAlignment="1">
      <x:alignment vertical="center" wrapText="0"/>
    </x:xf>
    <x:xf numFmtId="205" fontId="25" fillId="16" borderId="18" xfId="0" applyNumberFormat="1" applyFont="1" applyFill="1" applyBorder="1" applyAlignment="1">
      <x:alignment horizontal="right" vertical="center" wrapText="0"/>
    </x:xf>
    <x:xf numFmtId="0" fontId="0" fillId="17" borderId="0" xfId="0" applyNumberFormat="1" applyFont="1" applyFill="1" applyBorder="1"/>
    <x:xf numFmtId="0" fontId="26" fillId="17" borderId="0" xfId="0" applyNumberFormat="1" applyFont="1" applyFill="1" applyBorder="1"/>
    <x:xf numFmtId="205" fontId="26" fillId="17" borderId="0" xfId="0" applyNumberFormat="1" applyFont="1" applyFill="1" applyBorder="1"/>
    <x:xf numFmtId="205" fontId="26" fillId="17" borderId="0" xfId="0" applyNumberFormat="1" applyFont="1" applyFill="1" applyBorder="1" applyAlignment="1">
      <x:alignment wrapText="0"/>
    </x:xf>
    <x:xf numFmtId="205" fontId="26" fillId="17" borderId="0" xfId="0" applyNumberFormat="1" applyFont="1" applyFill="1" applyBorder="1" applyAlignment="1">
      <x:alignment horizontal="right" wrapText="0"/>
    </x:xf>
    <x:xf numFmtId="205" fontId="26" fillId="17" borderId="0" xfId="0" applyNumberFormat="1" applyFont="1" applyFill="1" applyBorder="1" applyAlignment="1">
      <x:alignment horizontal="right" vertical="center" wrapText="0"/>
    </x:xf>
    <x:xf numFmtId="205" fontId="26" fillId="17" borderId="18" xfId="0" applyNumberFormat="1" applyFont="1" applyFill="1" applyBorder="1" applyAlignment="1">
      <x:alignment horizontal="right" vertical="center" wrapText="0"/>
    </x:xf>
    <x:xf numFmtId="210" fontId="6" fillId="16" borderId="31" xfId="0" applyNumberFormat="1" applyFont="1" applyFill="1" applyBorder="1" applyAlignment="1">
      <x:alignment vertical="center"/>
    </x:xf>
    <x:xf numFmtId="210" fontId="25" fillId="16" borderId="31" xfId="0" applyNumberFormat="1" applyFont="1" applyFill="1" applyBorder="1" applyAlignment="1">
      <x:alignment vertical="center"/>
    </x:xf>
    <x:xf numFmtId="210" fontId="25" fillId="16" borderId="31" xfId="0" applyNumberFormat="1" applyFont="1" applyFill="1" applyBorder="1" applyAlignment="1">
      <x:alignment vertical="center" wrapText="0"/>
    </x:xf>
    <x:xf numFmtId="210" fontId="25" fillId="16" borderId="31" xfId="0" applyNumberFormat="1" applyFont="1" applyFill="1" applyBorder="1" applyAlignment="1">
      <x:alignment horizontal="right" vertical="center" wrapText="0"/>
    </x:xf>
    <x:xf numFmtId="210" fontId="6" fillId="16" borderId="31" xfId="0" applyNumberFormat="1" applyFont="1" applyFill="1" applyBorder="1" applyAlignment="1">
      <x:alignment vertical="center" wrapText="0"/>
    </x:xf>
    <x:xf numFmtId="205" fontId="6" fillId="16" borderId="31" xfId="0" applyNumberFormat="1" applyFont="1" applyFill="1" applyBorder="1" applyAlignment="1">
      <x:alignment vertical="center"/>
    </x:xf>
    <x:xf numFmtId="205" fontId="25" fillId="16" borderId="31" xfId="0" applyNumberFormat="1" applyFont="1" applyFill="1" applyBorder="1" applyAlignment="1">
      <x:alignment vertical="center"/>
    </x:xf>
    <x:xf numFmtId="205" fontId="25" fillId="16" borderId="31" xfId="0" applyNumberFormat="1" applyFont="1" applyFill="1" applyBorder="1" applyAlignment="1">
      <x:alignment vertical="center" wrapText="0"/>
    </x:xf>
    <x:xf numFmtId="205" fontId="25" fillId="16" borderId="31" xfId="0" applyNumberFormat="1" applyFont="1" applyFill="1" applyBorder="1" applyAlignment="1">
      <x:alignment horizontal="right" vertical="center" wrapText="0"/>
    </x:xf>
    <x:xf numFmtId="205" fontId="22" fillId="16" borderId="20" xfId="0" applyNumberFormat="1" applyFont="1" applyFill="1" applyBorder="1" applyAlignment="1">
      <x:alignment vertical="center"/>
    </x:xf>
    <x:xf numFmtId="205" fontId="25" fillId="16" borderId="20" xfId="0" applyNumberFormat="1" applyFont="1" applyFill="1" applyBorder="1" applyAlignment="1">
      <x:alignment vertical="center"/>
    </x:xf>
    <x:xf numFmtId="205" fontId="25" fillId="16" borderId="20" xfId="0" applyNumberFormat="1" applyFont="1" applyFill="1" applyBorder="1" applyAlignment="1">
      <x:alignment vertical="center" wrapText="0"/>
    </x:xf>
    <x:xf numFmtId="205" fontId="25" fillId="16" borderId="20" xfId="0" applyNumberFormat="1" applyFont="1" applyFill="1" applyBorder="1" applyAlignment="1">
      <x:alignment horizontal="right" vertical="center" wrapText="0"/>
    </x:xf>
    <x:xf numFmtId="205" fontId="26" fillId="17" borderId="20" xfId="0" applyNumberFormat="1" applyFont="1" applyFill="1" applyBorder="1" applyAlignment="1">
      <x:alignment horizontal="right" vertical="center" wrapText="0"/>
    </x:xf>
    <x:xf numFmtId="210" fontId="17" fillId="18" borderId="32" xfId="0" applyNumberFormat="1" applyFont="1" applyFill="1" applyBorder="1" applyAlignment="1">
      <x:alignment vertical="center"/>
    </x:xf>
    <x:xf numFmtId="210" fontId="24" fillId="18" borderId="32" xfId="0" applyNumberFormat="1" applyFont="1" applyFill="1" applyBorder="1" applyAlignment="1">
      <x:alignment vertical="center"/>
    </x:xf>
    <x:xf numFmtId="210" fontId="24" fillId="18" borderId="32" xfId="0" applyNumberFormat="1" applyFont="1" applyFill="1" applyBorder="1" applyAlignment="1">
      <x:alignment vertical="center" wrapText="0"/>
    </x:xf>
    <x:xf numFmtId="210" fontId="24" fillId="18" borderId="32" xfId="0" applyNumberFormat="1" applyFont="1" applyFill="1" applyBorder="1" applyAlignment="1">
      <x:alignment horizontal="right" vertical="center" wrapText="0"/>
    </x:xf>
    <x:xf numFmtId="210" fontId="17" fillId="18" borderId="32" xfId="0" applyNumberFormat="1" applyFont="1" applyFill="1" applyBorder="1" applyAlignment="1">
      <x:alignment vertical="center" wrapText="0"/>
    </x:xf>
    <x:xf numFmtId="205" fontId="17" fillId="18" borderId="32" xfId="0" applyNumberFormat="1" applyFont="1" applyFill="1" applyBorder="1" applyAlignment="1">
      <x:alignment vertical="center"/>
    </x:xf>
    <x:xf numFmtId="205" fontId="24" fillId="18" borderId="32" xfId="0" applyNumberFormat="1" applyFont="1" applyFill="1" applyBorder="1" applyAlignment="1">
      <x:alignment vertical="center"/>
    </x:xf>
    <x:xf numFmtId="205" fontId="24" fillId="18" borderId="32" xfId="0" applyNumberFormat="1" applyFont="1" applyFill="1" applyBorder="1" applyAlignment="1">
      <x:alignment vertical="center" wrapText="0"/>
    </x:xf>
    <x:xf numFmtId="205" fontId="24" fillId="18" borderId="32" xfId="0" applyNumberFormat="1" applyFont="1" applyFill="1" applyBorder="1" applyAlignment="1">
      <x:alignment horizontal="right" vertical="center" wrapText="0"/>
    </x:xf>
    <x:xf numFmtId="205" fontId="22" fillId="18" borderId="22" xfId="0" applyNumberFormat="1" applyFont="1" applyFill="1" applyBorder="1" applyAlignment="1">
      <x:alignment vertical="center"/>
    </x:xf>
    <x:xf numFmtId="205" fontId="24" fillId="18" borderId="22" xfId="0" applyNumberFormat="1" applyFont="1" applyFill="1" applyBorder="1" applyAlignment="1">
      <x:alignment vertical="center"/>
    </x:xf>
    <x:xf numFmtId="205" fontId="24" fillId="18" borderId="22" xfId="0" applyNumberFormat="1" applyFont="1" applyFill="1" applyBorder="1" applyAlignment="1">
      <x:alignment vertical="center" wrapText="0"/>
    </x:xf>
    <x:xf numFmtId="205" fontId="24" fillId="18" borderId="22" xfId="0" applyNumberFormat="1" applyFont="1" applyFill="1" applyBorder="1" applyAlignment="1">
      <x:alignment horizontal="right" vertical="center" wrapText="0"/>
    </x:xf>
    <x:xf numFmtId="205" fontId="26" fillId="17" borderId="22" xfId="0" applyNumberFormat="1" applyFont="1" applyFill="1" applyBorder="1" applyAlignment="1">
      <x:alignment horizontal="right" vertical="center" wrapText="0"/>
    </x:xf>
    <x:xf numFmtId="210" fontId="17" fillId="15" borderId="28" xfId="0" applyNumberFormat="1" applyFont="1" applyFill="1" applyBorder="1" applyAlignment="1">
      <x:alignment horizontal="center" vertical="center" wrapText="1"/>
    </x:xf>
    <x:xf numFmtId="210" fontId="24" fillId="15" borderId="28" xfId="0" applyNumberFormat="1" applyFont="1" applyFill="1" applyBorder="1" applyAlignment="1">
      <x:alignment horizontal="center" vertical="center" wrapText="1"/>
    </x:xf>
    <x:xf numFmtId="205" fontId="17" fillId="15" borderId="28" xfId="0" applyNumberFormat="1" applyFont="1" applyFill="1" applyBorder="1" applyAlignment="1">
      <x:alignment horizontal="center" vertical="center" wrapText="1"/>
    </x:xf>
    <x:xf numFmtId="205" fontId="24" fillId="15" borderId="28" xfId="0" applyNumberFormat="1" applyFont="1" applyFill="1" applyBorder="1" applyAlignment="1">
      <x:alignment horizontal="center" vertical="center" wrapText="1"/>
    </x:xf>
    <x:xf numFmtId="205" fontId="24" fillId="15" borderId="29" xfId="0" applyNumberFormat="1" applyFont="1" applyFill="1" applyBorder="1" applyAlignment="1">
      <x:alignment horizontal="center" vertical="center" wrapText="1"/>
    </x:xf>
    <x:xf numFmtId="210" fontId="17" fillId="18" borderId="30" xfId="0" applyNumberFormat="1" applyFont="1" applyFill="1" applyBorder="1" applyAlignment="1">
      <x:alignment vertical="center"/>
    </x:xf>
    <x:xf numFmtId="210" fontId="24" fillId="18" borderId="30" xfId="0" applyNumberFormat="1" applyFont="1" applyFill="1" applyBorder="1" applyAlignment="1">
      <x:alignment vertical="center"/>
    </x:xf>
    <x:xf numFmtId="210" fontId="24" fillId="18" borderId="30" xfId="0" applyNumberFormat="1" applyFont="1" applyFill="1" applyBorder="1" applyAlignment="1">
      <x:alignment vertical="center" wrapText="0"/>
    </x:xf>
    <x:xf numFmtId="210" fontId="24" fillId="18" borderId="30" xfId="0" applyNumberFormat="1" applyFont="1" applyFill="1" applyBorder="1" applyAlignment="1">
      <x:alignment horizontal="right" vertical="center" wrapText="0"/>
    </x:xf>
    <x:xf numFmtId="210" fontId="17" fillId="18" borderId="30" xfId="0" applyNumberFormat="1" applyFont="1" applyFill="1" applyBorder="1" applyAlignment="1">
      <x:alignment vertical="center" wrapText="0"/>
    </x:xf>
    <x:xf numFmtId="205" fontId="17" fillId="18" borderId="30" xfId="0" applyNumberFormat="1" applyFont="1" applyFill="1" applyBorder="1" applyAlignment="1">
      <x:alignment vertical="center"/>
    </x:xf>
    <x:xf numFmtId="205" fontId="24" fillId="18" borderId="30" xfId="0" applyNumberFormat="1" applyFont="1" applyFill="1" applyBorder="1" applyAlignment="1">
      <x:alignment vertical="center"/>
    </x:xf>
    <x:xf numFmtId="205" fontId="24" fillId="18" borderId="30" xfId="0" applyNumberFormat="1" applyFont="1" applyFill="1" applyBorder="1" applyAlignment="1">
      <x:alignment vertical="center" wrapText="0"/>
    </x:xf>
    <x:xf numFmtId="205" fontId="24" fillId="18" borderId="30" xfId="0" applyNumberFormat="1" applyFont="1" applyFill="1" applyBorder="1" applyAlignment="1">
      <x:alignment horizontal="right" vertical="center" wrapText="0"/>
    </x:xf>
    <x:xf numFmtId="205" fontId="22" fillId="18" borderId="30" xfId="0" applyNumberFormat="1" applyFont="1" applyFill="1" applyBorder="1" applyAlignment="1">
      <x:alignment vertical="center"/>
    </x:xf>
    <x:xf numFmtId="0" fontId="6" fillId="17" borderId="18" xfId="0" applyNumberFormat="1" applyFont="1" applyFill="1" applyBorder="1" applyAlignment="1">
      <x:alignment vertical="center"/>
    </x:xf>
    <x:xf numFmtId="0" fontId="26" fillId="17" borderId="18" xfId="0" applyNumberFormat="1" applyFont="1" applyFill="1" applyBorder="1" applyAlignment="1">
      <x:alignment vertical="center"/>
    </x:xf>
    <x:xf numFmtId="205" fontId="26" fillId="17" borderId="18" xfId="0" applyNumberFormat="1" applyFont="1" applyFill="1" applyBorder="1" applyAlignment="1">
      <x:alignment vertical="center"/>
    </x:xf>
    <x:xf numFmtId="205" fontId="26" fillId="17" borderId="18" xfId="0" applyNumberFormat="1" applyFont="1" applyFill="1" applyBorder="1" applyAlignment="1">
      <x:alignment vertical="center" wrapText="0"/>
    </x:xf>
    <x:xf numFmtId="205" fontId="26" fillId="17" borderId="30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/>
    <x:xf numFmtId="0" fontId="25" fillId="16" borderId="0" xfId="0" applyNumberFormat="1" applyFont="1" applyFill="1" applyBorder="1"/>
    <x:xf numFmtId="212" fontId="25" fillId="16" borderId="0" xfId="0" applyNumberFormat="1" applyFont="1" applyFill="1" applyBorder="1"/>
    <x:xf numFmtId="212" fontId="25" fillId="16" borderId="0" xfId="0" applyNumberFormat="1" applyFont="1" applyFill="1" applyBorder="1" applyAlignment="1">
      <x:alignment wrapText="0"/>
    </x:xf>
    <x:xf numFmtId="212" fontId="25" fillId="16" borderId="0" xfId="0" applyNumberFormat="1" applyFont="1" applyFill="1" applyBorder="1" applyAlignment="1">
      <x:alignment horizontal="right" wrapText="0"/>
    </x:xf>
    <x:xf numFmtId="212" fontId="25" fillId="16" borderId="0" xfId="0" applyNumberFormat="1" applyFont="1" applyFill="1" applyBorder="1" applyAlignment="1">
      <x:alignment horizontal="right" vertical="center" wrapText="0"/>
    </x:xf>
    <x:xf numFmtId="212" fontId="25" fillId="16" borderId="18" xfId="0" applyNumberFormat="1" applyFont="1" applyFill="1" applyBorder="1" applyAlignment="1">
      <x:alignment horizontal="right" vertical="center" wrapText="0"/>
    </x:xf>
    <x:xf numFmtId="205" fontId="22" fillId="16" borderId="31" xfId="0" applyNumberFormat="1" applyFont="1" applyFill="1" applyBorder="1" applyAlignment="1">
      <x:alignment vertical="center"/>
    </x:xf>
    <x:xf numFmtId="0" fontId="6" fillId="17" borderId="20" xfId="0" applyNumberFormat="1" applyFont="1" applyFill="1" applyBorder="1" applyAlignment="1">
      <x:alignment vertical="center"/>
    </x:xf>
    <x:xf numFmtId="0" fontId="26" fillId="17" borderId="20" xfId="0" applyNumberFormat="1" applyFont="1" applyFill="1" applyBorder="1" applyAlignment="1">
      <x:alignment vertical="center"/>
    </x:xf>
    <x:xf numFmtId="205" fontId="26" fillId="17" borderId="20" xfId="0" applyNumberFormat="1" applyFont="1" applyFill="1" applyBorder="1" applyAlignment="1">
      <x:alignment vertical="center"/>
    </x:xf>
    <x:xf numFmtId="205" fontId="26" fillId="17" borderId="20" xfId="0" applyNumberFormat="1" applyFont="1" applyFill="1" applyBorder="1" applyAlignment="1">
      <x:alignment vertical="center" wrapText="0"/>
    </x:xf>
    <x:xf numFmtId="205" fontId="26" fillId="17" borderId="31" xfId="0" applyNumberFormat="1" applyFont="1" applyFill="1" applyBorder="1" applyAlignment="1">
      <x:alignment horizontal="right" vertical="center" wrapText="0"/>
    </x:xf>
    <x:xf numFmtId="212" fontId="25" fillId="16" borderId="20" xfId="0" applyNumberFormat="1" applyFont="1" applyFill="1" applyBorder="1" applyAlignment="1">
      <x:alignment horizontal="right" vertical="center" wrapText="0"/>
    </x:xf>
    <x:xf numFmtId="0" fontId="0" fillId="19" borderId="0" xfId="0" applyNumberFormat="1" applyFont="1" applyFill="1" applyBorder="1"/>
    <x:xf numFmtId="0" fontId="27" fillId="19" borderId="0" xfId="0" applyNumberFormat="1" applyFont="1" applyFill="1" applyBorder="1"/>
    <x:xf numFmtId="212" fontId="27" fillId="19" borderId="0" xfId="0" applyNumberFormat="1" applyFont="1" applyFill="1" applyBorder="1"/>
    <x:xf numFmtId="212" fontId="27" fillId="19" borderId="0" xfId="0" applyNumberFormat="1" applyFont="1" applyFill="1" applyBorder="1" applyAlignment="1">
      <x:alignment wrapText="0"/>
    </x:xf>
    <x:xf numFmtId="212" fontId="27" fillId="19" borderId="0" xfId="0" applyNumberFormat="1" applyFont="1" applyFill="1" applyBorder="1" applyAlignment="1">
      <x:alignment horizontal="right" wrapText="0"/>
    </x:xf>
    <x:xf numFmtId="212" fontId="27" fillId="19" borderId="0" xfId="0" applyNumberFormat="1" applyFont="1" applyFill="1" applyBorder="1" applyAlignment="1">
      <x:alignment horizontal="right" vertical="center" wrapText="0"/>
    </x:xf>
    <x:xf numFmtId="212" fontId="27" fillId="19" borderId="20" xfId="0" applyNumberFormat="1" applyFont="1" applyFill="1" applyBorder="1" applyAlignment="1">
      <x:alignment horizontal="right" vertical="center" wrapText="0"/>
    </x:xf>
    <x:xf numFmtId="210" fontId="6" fillId="16" borderId="32" xfId="0" applyNumberFormat="1" applyFont="1" applyFill="1" applyBorder="1" applyAlignment="1">
      <x:alignment vertical="center"/>
    </x:xf>
    <x:xf numFmtId="210" fontId="25" fillId="16" borderId="32" xfId="0" applyNumberFormat="1" applyFont="1" applyFill="1" applyBorder="1" applyAlignment="1">
      <x:alignment vertical="center"/>
    </x:xf>
    <x:xf numFmtId="210" fontId="25" fillId="16" borderId="32" xfId="0" applyNumberFormat="1" applyFont="1" applyFill="1" applyBorder="1" applyAlignment="1">
      <x:alignment vertical="center" wrapText="0"/>
    </x:xf>
    <x:xf numFmtId="210" fontId="25" fillId="16" borderId="32" xfId="0" applyNumberFormat="1" applyFont="1" applyFill="1" applyBorder="1" applyAlignment="1">
      <x:alignment horizontal="right" vertical="center" wrapText="0"/>
    </x:xf>
    <x:xf numFmtId="210" fontId="6" fillId="16" borderId="32" xfId="0" applyNumberFormat="1" applyFont="1" applyFill="1" applyBorder="1" applyAlignment="1">
      <x:alignment vertical="center" wrapText="0"/>
    </x:xf>
    <x:xf numFmtId="205" fontId="6" fillId="16" borderId="32" xfId="0" applyNumberFormat="1" applyFont="1" applyFill="1" applyBorder="1" applyAlignment="1">
      <x:alignment vertical="center"/>
    </x:xf>
    <x:xf numFmtId="205" fontId="25" fillId="16" borderId="32" xfId="0" applyNumberFormat="1" applyFont="1" applyFill="1" applyBorder="1" applyAlignment="1">
      <x:alignment vertical="center"/>
    </x:xf>
    <x:xf numFmtId="205" fontId="25" fillId="16" borderId="32" xfId="0" applyNumberFormat="1" applyFont="1" applyFill="1" applyBorder="1" applyAlignment="1">
      <x:alignment vertical="center" wrapText="0"/>
    </x:xf>
    <x:xf numFmtId="205" fontId="25" fillId="16" borderId="32" xfId="0" applyNumberFormat="1" applyFont="1" applyFill="1" applyBorder="1" applyAlignment="1">
      <x:alignment horizontal="right" vertical="center" wrapText="0"/>
    </x:xf>
    <x:xf numFmtId="205" fontId="22" fillId="16" borderId="32" xfId="0" applyNumberFormat="1" applyFont="1" applyFill="1" applyBorder="1" applyAlignment="1">
      <x:alignment vertical="center"/>
    </x:xf>
    <x:xf numFmtId="0" fontId="6" fillId="17" borderId="22" xfId="0" applyNumberFormat="1" applyFont="1" applyFill="1" applyBorder="1" applyAlignment="1">
      <x:alignment vertical="center"/>
    </x:xf>
    <x:xf numFmtId="0" fontId="26" fillId="17" borderId="22" xfId="0" applyNumberFormat="1" applyFont="1" applyFill="1" applyBorder="1" applyAlignment="1">
      <x:alignment vertical="center"/>
    </x:xf>
    <x:xf numFmtId="205" fontId="26" fillId="17" borderId="22" xfId="0" applyNumberFormat="1" applyFont="1" applyFill="1" applyBorder="1" applyAlignment="1">
      <x:alignment vertical="center"/>
    </x:xf>
    <x:xf numFmtId="205" fontId="26" fillId="17" borderId="22" xfId="0" applyNumberFormat="1" applyFont="1" applyFill="1" applyBorder="1" applyAlignment="1">
      <x:alignment vertical="center" wrapText="0"/>
    </x:xf>
    <x:xf numFmtId="205" fontId="26" fillId="17" borderId="32" xfId="0" applyNumberFormat="1" applyFont="1" applyFill="1" applyBorder="1" applyAlignment="1">
      <x:alignment horizontal="right" vertical="center" wrapText="0"/>
    </x:xf>
    <x:xf numFmtId="212" fontId="27" fillId="19" borderId="22" xfId="0" applyNumberFormat="1" applyFont="1" applyFill="1" applyBorder="1" applyAlignment="1">
      <x:alignment horizontal="right" vertical="center" wrapText="0"/>
    </x:xf>
    <x:xf numFmtId="0" fontId="0" fillId="15" borderId="0" xfId="0" applyNumberFormat="1" applyFont="1" applyFill="1" applyBorder="1" applyAlignment="1">
      <x:alignment vertical="center"/>
    </x:xf>
    <x:xf numFmtId="0" fontId="24" fillId="15" borderId="0" xfId="0" applyNumberFormat="1" applyFont="1" applyFill="1" applyBorder="1" applyAlignment="1">
      <x:alignment vertical="center"/>
    </x:xf>
    <x:xf numFmtId="212" fontId="24" fillId="15" borderId="0" xfId="0" applyNumberFormat="1" applyFont="1" applyFill="1" applyBorder="1" applyAlignment="1">
      <x:alignment vertical="center"/>
    </x:xf>
    <x:xf numFmtId="212" fontId="24" fillId="15" borderId="0" xfId="0" applyNumberFormat="1" applyFont="1" applyFill="1" applyBorder="1" applyAlignment="1">
      <x:alignment vertical="center" wrapText="1"/>
    </x:xf>
    <x:xf numFmtId="211" fontId="6" fillId="16" borderId="30" xfId="0" applyNumberFormat="1" applyFont="1" applyFill="1" applyBorder="1" applyAlignment="1">
      <x:alignment vertical="center"/>
    </x:xf>
    <x:xf numFmtId="211" fontId="25" fillId="16" borderId="30" xfId="0" applyNumberFormat="1" applyFont="1" applyFill="1" applyBorder="1" applyAlignment="1">
      <x:alignment vertical="center"/>
    </x:xf>
    <x:xf numFmtId="0" fontId="6" fillId="16" borderId="30" xfId="0" applyNumberFormat="1" applyFont="1" applyFill="1" applyBorder="1" applyAlignment="1">
      <x:alignment vertical="center"/>
    </x:xf>
    <x:xf numFmtId="0" fontId="25" fillId="16" borderId="30" xfId="0" applyNumberFormat="1" applyFont="1" applyFill="1" applyBorder="1" applyAlignment="1">
      <x:alignment vertical="center"/>
    </x:xf>
    <x:xf numFmtId="211" fontId="25" fillId="16" borderId="30" xfId="0" applyNumberFormat="1" applyFont="1" applyFill="1" applyBorder="1" applyAlignment="1">
      <x:alignment vertical="center" wrapText="0"/>
    </x:xf>
    <x:xf numFmtId="211" fontId="25" fillId="16" borderId="30" xfId="0" applyNumberFormat="1" applyFont="1" applyFill="1" applyBorder="1" applyAlignment="1">
      <x:alignment horizontal="right" vertical="center" wrapText="0"/>
    </x:xf>
    <x:xf numFmtId="211" fontId="6" fillId="16" borderId="31" xfId="0" applyNumberFormat="1" applyFont="1" applyFill="1" applyBorder="1" applyAlignment="1">
      <x:alignment vertical="center"/>
    </x:xf>
    <x:xf numFmtId="211" fontId="25" fillId="16" borderId="31" xfId="0" applyNumberFormat="1" applyFont="1" applyFill="1" applyBorder="1" applyAlignment="1">
      <x:alignment vertical="center"/>
    </x:xf>
    <x:xf numFmtId="0" fontId="6" fillId="16" borderId="31" xfId="0" applyNumberFormat="1" applyFont="1" applyFill="1" applyBorder="1" applyAlignment="1">
      <x:alignment vertical="center"/>
    </x:xf>
    <x:xf numFmtId="0" fontId="25" fillId="16" borderId="31" xfId="0" applyNumberFormat="1" applyFont="1" applyFill="1" applyBorder="1" applyAlignment="1">
      <x:alignment vertical="center"/>
    </x:xf>
    <x:xf numFmtId="211" fontId="25" fillId="16" borderId="31" xfId="0" applyNumberFormat="1" applyFont="1" applyFill="1" applyBorder="1" applyAlignment="1">
      <x:alignment vertical="center" wrapText="0"/>
    </x:xf>
    <x:xf numFmtId="211" fontId="25" fillId="16" borderId="31" xfId="0" applyNumberFormat="1" applyFont="1" applyFill="1" applyBorder="1" applyAlignment="1">
      <x:alignment horizontal="right" vertical="center" wrapText="0"/>
    </x:xf>
    <x:xf numFmtId="210" fontId="23" fillId="20" borderId="33" xfId="0" applyNumberFormat="1" applyFont="1" applyFill="1" applyBorder="1" applyAlignment="1">
      <x:alignment vertical="center"/>
    </x:xf>
    <x:xf numFmtId="210" fontId="28" fillId="20" borderId="33" xfId="0" applyNumberFormat="1" applyFont="1" applyFill="1" applyBorder="1" applyAlignment="1">
      <x:alignment vertical="center"/>
    </x:xf>
    <x:xf numFmtId="210" fontId="28" fillId="20" borderId="33" xfId="0" applyNumberFormat="1" applyFont="1" applyFill="1" applyBorder="1" applyAlignment="1">
      <x:alignment vertical="center" wrapText="0"/>
    </x:xf>
    <x:xf numFmtId="210" fontId="28" fillId="20" borderId="33" xfId="0" applyNumberFormat="1" applyFont="1" applyFill="1" applyBorder="1" applyAlignment="1">
      <x:alignment horizontal="right" vertical="center" wrapText="0"/>
    </x:xf>
    <x:xf numFmtId="210" fontId="23" fillId="20" borderId="33" xfId="0" applyNumberFormat="1" applyFont="1" applyFill="1" applyBorder="1" applyAlignment="1">
      <x:alignment vertical="center" wrapText="0"/>
    </x:xf>
    <x:xf numFmtId="205" fontId="23" fillId="20" borderId="33" xfId="0" applyNumberFormat="1" applyFont="1" applyFill="1" applyBorder="1" applyAlignment="1">
      <x:alignment vertical="center"/>
    </x:xf>
    <x:xf numFmtId="205" fontId="28" fillId="20" borderId="33" xfId="0" applyNumberFormat="1" applyFont="1" applyFill="1" applyBorder="1" applyAlignment="1">
      <x:alignment vertical="center"/>
    </x:xf>
    <x:xf numFmtId="205" fontId="28" fillId="20" borderId="33" xfId="0" applyNumberFormat="1" applyFont="1" applyFill="1" applyBorder="1" applyAlignment="1">
      <x:alignment vertical="center" wrapText="0"/>
    </x:xf>
    <x:xf numFmtId="205" fontId="28" fillId="20" borderId="33" xfId="0" applyNumberFormat="1" applyFont="1" applyFill="1" applyBorder="1" applyAlignment="1">
      <x:alignment horizontal="right" vertical="center" wrapText="0"/>
    </x:xf>
    <x:xf numFmtId="211" fontId="23" fillId="20" borderId="33" xfId="0" applyNumberFormat="1" applyFont="1" applyFill="1" applyBorder="1" applyAlignment="1">
      <x:alignment vertical="center"/>
    </x:xf>
    <x:xf numFmtId="211" fontId="28" fillId="20" borderId="33" xfId="0" applyNumberFormat="1" applyFont="1" applyFill="1" applyBorder="1" applyAlignment="1">
      <x:alignment vertical="center"/>
    </x:xf>
    <x:xf numFmtId="0" fontId="23" fillId="20" borderId="33" xfId="0" applyNumberFormat="1" applyFont="1" applyFill="1" applyBorder="1" applyAlignment="1">
      <x:alignment vertical="center"/>
    </x:xf>
    <x:xf numFmtId="0" fontId="28" fillId="20" borderId="33" xfId="0" applyNumberFormat="1" applyFont="1" applyFill="1" applyBorder="1" applyAlignment="1">
      <x:alignment vertical="center"/>
    </x:xf>
    <x:xf numFmtId="211" fontId="28" fillId="20" borderId="33" xfId="0" applyNumberFormat="1" applyFont="1" applyFill="1" applyBorder="1" applyAlignment="1">
      <x:alignment vertical="center" wrapText="0"/>
    </x:xf>
    <x:xf numFmtId="211" fontId="28" fillId="20" borderId="33" xfId="0" applyNumberFormat="1" applyFont="1" applyFill="1" applyBorder="1" applyAlignment="1">
      <x:alignment horizontal="right" vertical="center" wrapText="0"/>
    </x:xf>
    <x:xf numFmtId="212" fontId="28" fillId="20" borderId="33" xfId="0" applyNumberFormat="1" applyFont="1" applyFill="1" applyBorder="1" applyAlignment="1">
      <x:alignment vertical="center"/>
    </x:xf>
    <x:xf numFmtId="212" fontId="28" fillId="20" borderId="33" xfId="0" applyNumberFormat="1" applyFont="1" applyFill="1" applyBorder="1" applyAlignment="1">
      <x:alignment vertical="center" wrapText="0"/>
    </x:xf>
    <x:xf numFmtId="212" fontId="28" fillId="20" borderId="33" xfId="0" applyNumberFormat="1" applyFont="1" applyFill="1" applyBorder="1" applyAlignment="1">
      <x:alignment horizontal="right" vertical="center" wrapText="0"/>
    </x:xf>
    <x:xf numFmtId="0" fontId="0" fillId="20" borderId="0" xfId="0" applyNumberFormat="1" applyFont="1" applyFill="1" applyBorder="1"/>
    <x:xf numFmtId="0" fontId="28" fillId="20" borderId="0" xfId="0" applyNumberFormat="1" applyFont="1" applyFill="1" applyBorder="1"/>
    <x:xf numFmtId="205" fontId="28" fillId="20" borderId="0" xfId="0" applyNumberFormat="1" applyFont="1" applyFill="1" applyBorder="1"/>
    <x:xf numFmtId="205" fontId="28" fillId="20" borderId="0" xfId="0" applyNumberFormat="1" applyFont="1" applyFill="1" applyBorder="1" applyAlignment="1">
      <x:alignment wrapText="0"/>
    </x:xf>
    <x:xf numFmtId="205" fontId="28" fillId="20" borderId="0" xfId="0" applyNumberFormat="1" applyFont="1" applyFill="1" applyBorder="1" applyAlignment="1">
      <x:alignment horizontal="right" wrapText="0"/>
    </x:xf>
    <x:xf numFmtId="205" fontId="28" fillId="20" borderId="0" xfId="0" applyNumberFormat="1" applyFont="1" applyFill="1" applyBorder="1" applyAlignment="1">
      <x:alignment horizontal="right" vertical="center" wrapText="0"/>
    </x:xf>
    <x:xf numFmtId="0" fontId="5" fillId="21" borderId="3" xfId="0" applyNumberFormat="1" applyFont="1" applyFill="1" applyBorder="1" applyAlignment="1">
      <x:alignment horizontal="center" vertical="center" wrapText="1"/>
    </x:xf>
    <x:xf numFmtId="0" fontId="29" fillId="21" borderId="3" xfId="0" applyNumberFormat="1" applyFont="1" applyFill="1" applyBorder="1" applyAlignment="1">
      <x:alignment horizontal="center" vertical="center" wrapText="1"/>
    </x:xf>
    <x:xf numFmtId="212" fontId="29" fillId="21" borderId="3" xfId="0" applyNumberFormat="1" applyFont="1" applyFill="1" applyBorder="1" applyAlignment="1">
      <x:alignment horizontal="center" vertical="center" wrapText="1"/>
    </x:xf>
    <x:xf numFmtId="210" fontId="5" fillId="21" borderId="3" xfId="0" applyNumberFormat="1" applyFont="1" applyFill="1" applyBorder="1" applyAlignment="1">
      <x:alignment horizontal="center" vertical="center" wrapText="0"/>
    </x:xf>
    <x:xf numFmtId="210" fontId="29" fillId="21" borderId="3" xfId="0" applyNumberFormat="1" applyFont="1" applyFill="1" applyBorder="1" applyAlignment="1">
      <x:alignment horizontal="center" vertical="center" wrapText="0"/>
    </x:xf>
    <x:xf numFmtId="212" fontId="29" fillId="21" borderId="3" xfId="0" applyNumberFormat="1" applyFont="1" applyFill="1" applyBorder="1" applyAlignment="1">
      <x:alignment horizontal="center" vertical="center" wrapText="0"/>
    </x:xf>
    <x:xf numFmtId="0" fontId="5" fillId="21" borderId="4" xfId="0" applyNumberFormat="1" applyFont="1" applyFill="1" applyBorder="1" applyAlignment="1">
      <x:alignment horizontal="center" vertical="center" wrapText="1"/>
    </x:xf>
    <x:xf numFmtId="0" fontId="29" fillId="21" borderId="4" xfId="0" applyNumberFormat="1" applyFont="1" applyFill="1" applyBorder="1" applyAlignment="1">
      <x:alignment horizontal="center" vertical="center" wrapText="1"/>
    </x:xf>
    <x:xf numFmtId="212" fontId="29" fillId="21" borderId="4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 applyAlignment="1">
      <x:alignment vertical="center"/>
    </x:xf>
    <x:xf numFmtId="0" fontId="29" fillId="21" borderId="0" xfId="0" applyNumberFormat="1" applyFont="1" applyFill="1" applyBorder="1" applyAlignment="1">
      <x:alignment vertical="center"/>
    </x:xf>
    <x:xf numFmtId="212" fontId="29" fillId="21" borderId="0" xfId="0" applyNumberFormat="1" applyFont="1" applyFill="1" applyBorder="1" applyAlignment="1">
      <x:alignment vertical="center"/>
    </x:xf>
    <x:xf numFmtId="212" fontId="29" fillId="21" borderId="0" xfId="0" applyNumberFormat="1" applyFont="1" applyFill="1" applyBorder="1" applyAlignment="1">
      <x:alignment vertical="center" wrapText="1"/>
    </x:xf>
    <x:xf numFmtId="212" fontId="29" fillId="21" borderId="0" xfId="0" applyNumberFormat="1" applyFont="1" applyFill="1" applyBorder="1" applyAlignment="1">
      <x:alignment horizontal="center" vertical="center" wrapText="1"/>
    </x:xf>
    <x:xf numFmtId="210" fontId="6" fillId="16" borderId="5" xfId="0" applyNumberFormat="1" applyFont="1" applyFill="1" applyBorder="1" applyAlignment="1">
      <x:alignment vertical="center"/>
    </x:xf>
    <x:xf numFmtId="210" fontId="25" fillId="16" borderId="5" xfId="0" applyNumberFormat="1" applyFont="1" applyFill="1" applyBorder="1" applyAlignment="1">
      <x:alignment vertical="center"/>
    </x:xf>
    <x:xf numFmtId="210" fontId="25" fillId="16" borderId="5" xfId="0" applyNumberFormat="1" applyFont="1" applyFill="1" applyBorder="1" applyAlignment="1">
      <x:alignment vertical="center" wrapText="0"/>
    </x:xf>
    <x:xf numFmtId="210" fontId="25" fillId="16" borderId="5" xfId="0" applyNumberFormat="1" applyFont="1" applyFill="1" applyBorder="1" applyAlignment="1">
      <x:alignment horizontal="right" vertical="center" wrapText="0"/>
    </x:xf>
    <x:xf numFmtId="210" fontId="6" fillId="16" borderId="5" xfId="0" applyNumberFormat="1" applyFont="1" applyFill="1" applyBorder="1" applyAlignment="1">
      <x:alignment vertical="center" wrapText="0"/>
    </x:xf>
    <x:xf numFmtId="205" fontId="6" fillId="16" borderId="5" xfId="0" applyNumberFormat="1" applyFont="1" applyFill="1" applyBorder="1" applyAlignment="1">
      <x:alignment vertical="center"/>
    </x:xf>
    <x:xf numFmtId="205" fontId="25" fillId="16" borderId="5" xfId="0" applyNumberFormat="1" applyFont="1" applyFill="1" applyBorder="1" applyAlignment="1">
      <x:alignment vertical="center"/>
    </x:xf>
    <x:xf numFmtId="205" fontId="25" fillId="16" borderId="5" xfId="0" applyNumberFormat="1" applyFont="1" applyFill="1" applyBorder="1" applyAlignment="1">
      <x:alignment vertical="center" wrapText="0"/>
    </x:xf>
    <x:xf numFmtId="205" fontId="25" fillId="16" borderId="5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 applyAlignment="1">
      <x:alignment vertical="center"/>
    </x:xf>
    <x:xf numFmtId="0" fontId="25" fillId="16" borderId="0" xfId="0" applyNumberFormat="1" applyFont="1" applyFill="1" applyBorder="1" applyAlignment="1">
      <x:alignment vertical="center"/>
    </x:xf>
    <x:xf numFmtId="205" fontId="25" fillId="16" borderId="0" xfId="0" applyNumberFormat="1" applyFont="1" applyFill="1" applyBorder="1" applyAlignment="1">
      <x:alignment vertical="center"/>
    </x:xf>
    <x:xf numFmtId="205" fontId="25" fillId="16" borderId="0" xfId="0" applyNumberFormat="1" applyFont="1" applyFill="1" applyBorder="1" applyAlignment="1">
      <x:alignment vertical="center" wrapText="0"/>
    </x:xf>
    <x:xf numFmtId="205" fontId="25" fillId="16" borderId="0" xfId="0" applyNumberFormat="1" applyFont="1" applyFill="1" applyBorder="1" applyAlignment="1">
      <x:alignment horizontal="right" vertical="center" wrapText="0"/>
    </x:xf>
    <x:xf numFmtId="210" fontId="6" fillId="16" borderId="6" xfId="0" applyNumberFormat="1" applyFont="1" applyFill="1" applyBorder="1" applyAlignment="1">
      <x:alignment vertical="center"/>
    </x:xf>
    <x:xf numFmtId="210" fontId="25" fillId="16" borderId="6" xfId="0" applyNumberFormat="1" applyFont="1" applyFill="1" applyBorder="1" applyAlignment="1">
      <x:alignment vertical="center"/>
    </x:xf>
    <x:xf numFmtId="210" fontId="25" fillId="16" borderId="6" xfId="0" applyNumberFormat="1" applyFont="1" applyFill="1" applyBorder="1" applyAlignment="1">
      <x:alignment vertical="center" wrapText="0"/>
    </x:xf>
    <x:xf numFmtId="210" fontId="25" fillId="16" borderId="6" xfId="0" applyNumberFormat="1" applyFont="1" applyFill="1" applyBorder="1" applyAlignment="1">
      <x:alignment horizontal="right" vertical="center" wrapText="0"/>
    </x:xf>
    <x:xf numFmtId="210" fontId="6" fillId="16" borderId="6" xfId="0" applyNumberFormat="1" applyFont="1" applyFill="1" applyBorder="1" applyAlignment="1">
      <x:alignment vertical="center" wrapText="0"/>
    </x:xf>
    <x:xf numFmtId="205" fontId="6" fillId="16" borderId="6" xfId="0" applyNumberFormat="1" applyFont="1" applyFill="1" applyBorder="1" applyAlignment="1">
      <x:alignment vertical="center"/>
    </x:xf>
    <x:xf numFmtId="205" fontId="25" fillId="16" borderId="6" xfId="0" applyNumberFormat="1" applyFont="1" applyFill="1" applyBorder="1" applyAlignment="1">
      <x:alignment vertical="center"/>
    </x:xf>
    <x:xf numFmtId="205" fontId="25" fillId="16" borderId="6" xfId="0" applyNumberFormat="1" applyFont="1" applyFill="1" applyBorder="1" applyAlignment="1">
      <x:alignment vertical="center" wrapText="0"/>
    </x:xf>
    <x:xf numFmtId="205" fontId="25" fillId="16" borderId="6" xfId="0" applyNumberFormat="1" applyFont="1" applyFill="1" applyBorder="1" applyAlignment="1">
      <x:alignment horizontal="right" vertical="center" wrapText="0"/>
    </x:xf>
    <x:xf numFmtId="0" fontId="0" fillId="21" borderId="0" xfId="0" applyNumberFormat="1" applyFont="1" applyFill="1" applyBorder="1"/>
    <x:xf numFmtId="0" fontId="29" fillId="21" borderId="0" xfId="0" applyNumberFormat="1" applyFont="1" applyFill="1" applyBorder="1"/>
    <x:xf numFmtId="212" fontId="29" fillId="21" borderId="0" xfId="0" applyNumberFormat="1" applyFont="1" applyFill="1" applyBorder="1"/>
    <x:xf numFmtId="212" fontId="29" fillId="21" borderId="0" xfId="0" applyNumberFormat="1" applyFont="1" applyFill="1" applyBorder="1" applyAlignment="1">
      <x:alignment wrapText="1"/>
    </x:xf>
    <x:xf numFmtId="212" fontId="29" fillId="21" borderId="0" xfId="0" applyNumberFormat="1" applyFont="1" applyFill="1" applyBorder="1" applyAlignment="1">
      <x:alignment horizontal="center" wrapText="1"/>
    </x:xf>
    <x:xf numFmtId="0" fontId="6" fillId="16" borderId="5" xfId="0" applyNumberFormat="1" applyFont="1" applyFill="1" applyBorder="1" applyAlignment="1">
      <x:alignment vertical="center"/>
    </x:xf>
    <x:xf numFmtId="0" fontId="25" fillId="16" borderId="5" xfId="0" applyNumberFormat="1" applyFont="1" applyFill="1" applyBorder="1" applyAlignment="1">
      <x:alignment vertical="center"/>
    </x:xf>
    <x:xf numFmtId="212" fontId="25" fillId="16" borderId="5" xfId="0" applyNumberFormat="1" applyFont="1" applyFill="1" applyBorder="1" applyAlignment="1">
      <x:alignment horizontal="right" vertical="center" wrapText="0"/>
    </x:xf>
    <x:xf numFmtId="0" fontId="6" fillId="16" borderId="6" xfId="0" applyNumberFormat="1" applyFont="1" applyFill="1" applyBorder="1" applyAlignment="1">
      <x:alignment vertical="center"/>
    </x:xf>
    <x:xf numFmtId="0" fontId="25" fillId="16" borderId="6" xfId="0" applyNumberFormat="1" applyFont="1" applyFill="1" applyBorder="1" applyAlignment="1">
      <x:alignment vertical="center"/>
    </x:xf>
    <x:xf numFmtId="212" fontId="25" fillId="16" borderId="6" xfId="0" applyNumberFormat="1" applyFont="1" applyFill="1" applyBorder="1" applyAlignment="1">
      <x:alignment horizontal="right" vertical="center" wrapText="0"/>
    </x:xf>
    <x:xf numFmtId="212" fontId="27" fillId="19" borderId="6" xfId="0" applyNumberFormat="1" applyFont="1" applyFill="1" applyBorder="1" applyAlignment="1">
      <x:alignment horizontal="right" vertical="center" wrapText="0"/>
    </x:xf>
    <x:xf numFmtId="0" fontId="4" fillId="0" borderId="0" xfId="0" applyNumberFormat="1" applyFont="1" applyFill="1" applyBorder="1" applyAlignment="1">
      <x:alignment wrapText="1"/>
    </x:xf>
    <x:xf numFmtId="0" fontId="30" fillId="0" borderId="0" xfId="0" applyNumberFormat="1" applyFont="1" applyFill="1" applyBorder="1"/>
    <x:xf numFmtId="213" fontId="30" fillId="0" borderId="0" xfId="0" applyNumberFormat="1" applyFont="1" applyFill="1" applyBorder="1"/>
    <x:xf numFmtId="214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8e6418ac414bb8" /><Relationship Type="http://schemas.openxmlformats.org/officeDocument/2006/relationships/theme" Target="/xl/theme/theme1.xml" Id="R622f6ad9a1dc4149" /><Relationship Type="http://schemas.openxmlformats.org/officeDocument/2006/relationships/sharedStrings" Target="/xl/sharedStrings.xml" Id="R2ce2a2888d294630" /><Relationship Type="http://schemas.openxmlformats.org/officeDocument/2006/relationships/worksheet" Target="/xl/worksheets/sheet1.xml" Id="R81efb20ad7014217" /><Relationship Type="http://schemas.openxmlformats.org/officeDocument/2006/relationships/worksheet" Target="/xl/worksheets/sheet2.xml" Id="Race44d43fd85422b" /><Relationship Type="http://schemas.openxmlformats.org/officeDocument/2006/relationships/worksheet" Target="/xl/worksheets/sheet3.xml" Id="R5d5f64c74dea4a1a" /><Relationship Type="http://schemas.openxmlformats.org/officeDocument/2006/relationships/worksheet" Target="/xl/worksheets/sheet4.xml" Id="Rf2ab475e3ee74623" /><Relationship Type="http://schemas.openxmlformats.org/officeDocument/2006/relationships/worksheet" Target="/xl/worksheets/sheet5.xml" Id="R32cccb051ed843c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ySplit="18" topLeftCell="A19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0" hidden="0" customWidth="1"/>
    <col min="4" max="4" width="19" hidden="0" customWidth="1"/>
    <col min="5" max="5" width="20" hidden="0" customWidth="1"/>
    <col min="6" max="6" width="19" hidden="0" customWidth="1"/>
    <col min="7" max="7" width="19" hidden="0" customWidth="1"/>
    <col min="8" max="8" width="20" hidden="0" customWidth="1"/>
    <col min="9" max="9" width="20" hidden="0" customWidth="1"/>
    <col min="10" max="10" width="19" hidden="0" customWidth="1"/>
    <col min="11" max="11" width="20" hidden="0" customWidth="1"/>
    <col min="12" max="12" width="19" hidden="0" customWidth="1"/>
    <col min="13" max="13" width="20" hidden="0" customWidth="1"/>
  </cols>
  <sheetData>
    <row r="2" ht="20" customHeight="1">
      <c r="C2" s="115" t="str">
        <v>Pons V2 · 发射控筹模型</v>
      </c>
      <c r="D2" s="116"/>
      <c r="E2" s="116"/>
      <c r="F2" s="116"/>
      <c r="G2" s="116"/>
      <c r="H2" s="116"/>
      <c r="I2" s="116"/>
      <c r="J2" s="116"/>
      <c r="K2" s="116"/>
      <c r="L2" s="117"/>
    </row>
    <row r="3" ht="20" customHeight="1">
      <c r="C3" s="121" t="str">
        <v>蓝色单元格可编辑；绿色为计算结果。Quote 资金按所选 ETH / 股票资产计价，Gas 单独以 ETH 计价。</v>
      </c>
      <c r="D3" s="121"/>
      <c r="E3" s="121"/>
      <c r="F3" s="121"/>
      <c r="G3" s="121"/>
      <c r="H3" s="121"/>
      <c r="I3" s="121"/>
      <c r="J3" s="121"/>
      <c r="K3" s="121"/>
      <c r="L3" s="121"/>
    </row>
    <row r="4" ht="20" customHeight="1">
      <c r="C4" s="253"/>
      <c r="D4" s="253"/>
      <c r="E4" s="253"/>
      <c r="F4" s="253"/>
      <c r="G4" s="253"/>
      <c r="H4" s="253"/>
      <c r="I4" s="253"/>
      <c r="J4" s="253"/>
      <c r="K4" s="253"/>
      <c r="L4" s="253"/>
    </row>
    <row r="5" ht="20" customHeight="1">
      <c r="C5" s="125" t="str">
        <v>模型参数</v>
      </c>
      <c r="D5" s="126"/>
      <c r="E5" s="125" t="str">
        <v>曲线常数</v>
      </c>
      <c r="F5" s="126"/>
      <c r="G5" s="125" t="str">
        <v>执行参数</v>
      </c>
      <c r="H5" s="126"/>
      <c r="I5" s="125" t="str">
        <v>资金结果</v>
      </c>
      <c r="J5" s="126"/>
      <c r="K5" s="125" t="str">
        <v>Quote 信息</v>
      </c>
      <c r="L5" s="126"/>
    </row>
    <row r="6" ht="20" customHeight="1">
      <c r="C6" s="133" t="str">
        <v>Quote</v>
      </c>
      <c r="D6" s="141" t="str">
        <v>SLV</v>
      </c>
      <c r="E6" s="133" t="str">
        <v>内盘 k</v>
      </c>
      <c r="F6" s="151">
        <f>'单币测算'!$I$11*'单币测算'!$I$13</f>
      </c>
      <c r="G6" s="133" t="str">
        <v>模型状态</v>
      </c>
      <c r="H6" s="158">
        <f>'单币测算'!$D$25</f>
      </c>
      <c r="I6" s="133" t="str">
        <v>预算使用控筹率</v>
      </c>
      <c r="J6" s="247">
        <f>'单币测算'!$D$26</f>
      </c>
      <c r="K6" s="133" t="str">
        <v>Quote 名称</v>
      </c>
      <c r="L6" s="151">
        <f>'单币测算'!$I$8</f>
      </c>
    </row>
    <row r="7" ht="20" customHeight="1">
      <c r="C7" s="135" t="str">
        <v>total supply</v>
      </c>
      <c r="D7" s="151" t="n">
        <v>1000000000</v>
      </c>
      <c r="E7" s="135" t="str">
        <v>外盘初始 Meme</v>
      </c>
      <c r="F7" s="152">
        <f>'单币测算'!$I$14</f>
      </c>
      <c r="G7" s="135" t="str">
        <v>单地址 Gas / ETH</v>
      </c>
      <c r="H7" s="146" t="n">
        <v>0.005</v>
      </c>
      <c r="I7" s="135" t="str">
        <v>目标+1% 理论累计</v>
      </c>
      <c r="J7" s="248">
        <f>'单币测算'!$D$32</f>
      </c>
      <c r="K7" s="135" t="str">
        <v>Quote 合约</v>
      </c>
      <c r="L7" s="251">
        <f>'单币测算'!$I$9</f>
      </c>
    </row>
    <row r="8" ht="20" customHeight="1">
      <c r="C8" s="135" t="str">
        <v>内盘毕业所需</v>
      </c>
      <c r="D8" s="152">
        <f>'单币测算'!$D$27</f>
      </c>
      <c r="E8" s="135" t="str">
        <v>外盘初始 Quote</v>
      </c>
      <c r="F8" s="152">
        <f>'单币测算'!$I$12</f>
      </c>
      <c r="G8" s="135" t="str">
        <v>资金预留 / Quote</v>
      </c>
      <c r="H8" s="148" t="n">
        <v>5</v>
      </c>
      <c r="I8" s="135" t="str">
        <v>额外内盘资金</v>
      </c>
      <c r="J8" s="248">
        <f>'单币测算'!$D$33</f>
      </c>
      <c r="K8" s="135" t="str">
        <v>Decimals</v>
      </c>
      <c r="L8" s="152">
        <f>'单币测算'!$I$10</f>
      </c>
    </row>
    <row r="9" ht="20" customHeight="1">
      <c r="C9" s="135" t="str">
        <v>毕业控筹率</v>
      </c>
      <c r="D9" s="242">
        <f>'单币测算'!$I$19</f>
      </c>
      <c r="E9" s="135" t="str">
        <v>外盘 k</v>
      </c>
      <c r="F9" s="152">
        <f>'单币测算'!$I$20</f>
      </c>
      <c r="G9" s="135" t="str">
        <v>洗筹口径</v>
      </c>
      <c r="H9" s="158" t="str">
        <v>目标+1% FDV × (Hook + Creator Tax) × 2</v>
      </c>
      <c r="I9" s="135" t="str">
        <v>目标+1% FDV</v>
      </c>
      <c r="J9" s="248">
        <f>'单币测算'!$D$34</f>
      </c>
      <c r="K9" s="135" t="str">
        <v>毕业门槛</v>
      </c>
      <c r="L9" s="152">
        <f>'单币测算'!$I$12</f>
      </c>
    </row>
    <row r="10" ht="20" customHeight="1">
      <c r="C10" s="135" t="str">
        <v>内盘交易手续费</v>
      </c>
      <c r="D10" s="242">
        <f>'单币测算'!$I$17</f>
      </c>
      <c r="E10" s="135" t="str">
        <v>当前费率可达上限</v>
      </c>
      <c r="F10" s="243">
        <f>'单币测算'!$I$16</f>
      </c>
      <c r="G10" s="135" t="str">
        <v>内盘地址 / 套</v>
      </c>
      <c r="H10" s="146" t="n">
        <v>10</v>
      </c>
      <c r="I10" s="135" t="str">
        <v>动态洗筹手续费</v>
      </c>
      <c r="J10" s="248">
        <f>'单币测算'!$D$35</f>
      </c>
      <c r="K10" s="135" t="str">
        <v>Locker Meme</v>
      </c>
      <c r="L10" s="152">
        <f>'单币测算'!$I$15</f>
      </c>
    </row>
    <row r="11" ht="20" customHeight="1">
      <c r="C11" s="135" t="str">
        <v>外盘 Hook 费</v>
      </c>
      <c r="D11" s="243">
        <f>'单币测算'!$I$18</f>
      </c>
      <c r="E11" s="135" t="str">
        <v>Snipe Tax 豁免</v>
      </c>
      <c r="F11" s="146" t="str">
        <v>是</v>
      </c>
      <c r="G11" s="135" t="str">
        <v>内盘套数</v>
      </c>
      <c r="H11" s="147" t="n">
        <v>2</v>
      </c>
      <c r="I11" s="135" t="str">
        <v>建议 Quote 总资金</v>
      </c>
      <c r="J11" s="248">
        <f>'单币测算'!$D$37</f>
      </c>
      <c r="K11" s="135" t="str">
        <v>外盘成交</v>
      </c>
      <c r="L11" s="152" t="str">
        <v>exact-input / 输出端扣费</v>
      </c>
    </row>
    <row r="12" ht="20" customHeight="1">
      <c r="C12" s="135" t="str">
        <v>Creator Tax</v>
      </c>
      <c r="D12" s="244" t="n">
        <v>0</v>
      </c>
      <c r="E12" s="135" t="str">
        <v>Buyback enabled</v>
      </c>
      <c r="F12" s="147" t="str">
        <v>否</v>
      </c>
      <c r="G12" s="135" t="str">
        <v>外盘地址</v>
      </c>
      <c r="H12" s="147" t="n">
        <v>2</v>
      </c>
      <c r="I12" s="135" t="str">
        <v>地址总数</v>
      </c>
      <c r="J12" s="249">
        <f>'单币测算'!$D$38</f>
      </c>
      <c r="K12" s="135" t="str">
        <v>Snipe 窗口</v>
      </c>
      <c r="L12" s="152" t="str">
        <v>3 秒；默认豁免/避开</v>
      </c>
    </row>
    <row r="13" ht="20" customHeight="1">
      <c r="C13" s="135" t="str">
        <v>内盘初始 Meme</v>
      </c>
      <c r="D13" s="151">
        <f>'单币测算'!$I$13</f>
      </c>
      <c r="E13" s="135" t="str">
        <v>滑点假设</v>
      </c>
      <c r="F13" s="245" t="n">
        <v>0</v>
      </c>
      <c r="G13" s="135" t="str">
        <v>Holder 地址</v>
      </c>
      <c r="H13" s="147" t="n">
        <v>100</v>
      </c>
      <c r="I13" s="135" t="str">
        <v>Gas 储备 / ETH</v>
      </c>
      <c r="J13" s="248">
        <f>'单币测算'!$D$39</f>
      </c>
      <c r="K13" s="135" t="str">
        <v>费用方向</v>
      </c>
      <c r="L13" s="152" t="str">
        <v>Hook + Creator Tax 从 Meme 输出扣除</v>
      </c>
    </row>
    <row r="14" ht="20" customHeight="1">
      <c r="C14" s="137" t="str">
        <v>内盘初始 Quote</v>
      </c>
      <c r="D14" s="153">
        <f>'单币测算'!$I$11</f>
      </c>
      <c r="E14" s="137" t="str">
        <v>Creator recipient</v>
      </c>
      <c r="F14" s="148" t="str"/>
      <c r="G14" s="137" t="str">
        <v>默认目标控筹率</v>
      </c>
      <c r="H14" s="246" t="n">
        <v>0.9</v>
      </c>
      <c r="I14" s="137" t="str">
        <v>洗筹单边费率</v>
      </c>
      <c r="J14" s="250">
        <f>'单币测算'!$D$40</f>
      </c>
      <c r="K14" s="137" t="str">
        <v>Quote / USDT 价格</v>
      </c>
      <c r="L14" s="252">
        <f>IF(VLOOKUP($D$6,'Quote参数'!$E$9:$S$62,15,FALSE)=0,"",VLOOKUP($D$6,'Quote参数'!$E$9:$S$62,15,FALSE))</f>
      </c>
    </row>
    <row r="15" ht="20" customHeight="1">
      <c r="C15" s="253"/>
      <c r="D15" s="253"/>
      <c r="E15" s="253"/>
      <c r="F15" s="253"/>
      <c r="G15" s="253"/>
      <c r="H15" s="253"/>
      <c r="I15" s="253"/>
      <c r="J15" s="253"/>
      <c r="K15" s="253"/>
      <c r="L15" s="253"/>
    </row>
    <row r="16" ht="20" customHeight="1">
      <c r="C16" s="253"/>
      <c r="D16" s="253"/>
      <c r="E16" s="253"/>
      <c r="F16" s="253"/>
      <c r="G16" s="253"/>
      <c r="H16" s="253"/>
      <c r="I16" s="253"/>
      <c r="J16" s="253"/>
      <c r="K16" s="253"/>
      <c r="L16" s="253"/>
    </row>
    <row r="17" ht="20" customHeight="1">
      <c r="C17" s="125" t="str">
        <v>内盘曲线</v>
      </c>
      <c r="D17" s="161"/>
      <c r="E17" s="161"/>
      <c r="F17" s="161"/>
      <c r="G17" s="161"/>
      <c r="H17" s="161"/>
      <c r="I17" s="161"/>
      <c r="J17" s="161"/>
      <c r="K17" s="161"/>
      <c r="L17" s="126"/>
    </row>
    <row r="18" ht="20" customHeight="1">
      <c r="C18" s="173" t="str">
        <v>控筹率</v>
      </c>
      <c r="D18" s="174" t="str">
        <v>pooled Meme</v>
      </c>
      <c r="E18" s="174" t="str">
        <v>pooled Quote</v>
      </c>
      <c r="F18" s="174" t="str">
        <v>k</v>
      </c>
      <c r="G18" s="306" t="str">
        <v>价格 / Quote</v>
      </c>
      <c r="H18" s="306" t="str">
        <v>价格 / USDT</v>
      </c>
      <c r="I18" s="306" t="str">
        <v>市值 / Quote</v>
      </c>
      <c r="J18" s="306" t="str">
        <v>市值 / USDT</v>
      </c>
      <c r="K18" s="306" t="str">
        <v>区间净投入</v>
      </c>
      <c r="L18" s="306" t="str">
        <v>区间含费</v>
      </c>
      <c r="M18" s="312" t="str">
        <v>理论累计所需</v>
      </c>
    </row>
    <row r="19" ht="20" customHeight="1">
      <c r="C19" s="199">
        <f>'选中Quote曲线'!C9</f>
      </c>
      <c r="D19" s="204">
        <f>'选中Quote曲线'!D9</f>
      </c>
      <c r="E19" s="204">
        <f>'选中Quote曲线'!E9</f>
      </c>
      <c r="F19" s="204">
        <f>'单币测算'!$I$11*'单币测算'!$I$13</f>
      </c>
      <c r="G19" s="322">
        <f>'选中Quote曲线'!F9</f>
      </c>
      <c r="H19" s="322">
        <f>IF(OR($L$14="",NOT(ISNUMBER(G19))),"",G19*$L$14)</f>
      </c>
      <c r="I19" s="327">
        <f>'选中Quote曲线'!H9</f>
      </c>
      <c r="J19" s="327">
        <f>IF($L$14="","",I19*$L$14)</f>
      </c>
      <c r="K19" s="327">
        <f>'选中Quote曲线'!I9</f>
      </c>
      <c r="L19" s="327">
        <f>'选中Quote曲线'!J9</f>
      </c>
      <c r="M19" s="338">
        <f>'选中Quote曲线'!K9</f>
      </c>
    </row>
    <row r="20" ht="20" customHeight="1">
      <c r="C20" s="200">
        <f>'选中Quote曲线'!C10</f>
      </c>
      <c r="D20" s="205">
        <f>'选中Quote曲线'!D10</f>
      </c>
      <c r="E20" s="205">
        <f>'选中Quote曲线'!E10</f>
      </c>
      <c r="F20" s="205">
        <f>'单币测算'!$I$11*'单币测算'!$I$13</f>
      </c>
      <c r="G20" s="342">
        <f>'选中Quote曲线'!F10</f>
      </c>
      <c r="H20" s="342">
        <f>IF(OR($L$14="",NOT(ISNUMBER(G20))),"",G20*$L$14)</f>
      </c>
      <c r="I20" s="347">
        <f>'选中Quote曲线'!H10</f>
      </c>
      <c r="J20" s="347">
        <f>IF($L$14="","",I20*$L$14)</f>
      </c>
      <c r="K20" s="347">
        <f>'选中Quote曲线'!I10</f>
      </c>
      <c r="L20" s="347">
        <f>'选中Quote曲线'!J10</f>
      </c>
      <c r="M20" s="352">
        <f>'选中Quote曲线'!K10</f>
      </c>
    </row>
    <row r="21" ht="20" customHeight="1">
      <c r="C21" s="200">
        <f>'选中Quote曲线'!C11</f>
      </c>
      <c r="D21" s="205">
        <f>'选中Quote曲线'!D11</f>
      </c>
      <c r="E21" s="205">
        <f>'选中Quote曲线'!E11</f>
      </c>
      <c r="F21" s="205">
        <f>'单币测算'!$I$11*'单币测算'!$I$13</f>
      </c>
      <c r="G21" s="342">
        <f>'选中Quote曲线'!F11</f>
      </c>
      <c r="H21" s="342">
        <f>IF(OR($L$14="",NOT(ISNUMBER(G21))),"",G21*$L$14)</f>
      </c>
      <c r="I21" s="347">
        <f>'选中Quote曲线'!H11</f>
      </c>
      <c r="J21" s="347">
        <f>IF($L$14="","",I21*$L$14)</f>
      </c>
      <c r="K21" s="347">
        <f>'选中Quote曲线'!I11</f>
      </c>
      <c r="L21" s="347">
        <f>'选中Quote曲线'!J11</f>
      </c>
      <c r="M21" s="352">
        <f>'选中Quote曲线'!K11</f>
      </c>
    </row>
    <row r="22" ht="20" customHeight="1">
      <c r="C22" s="200">
        <f>'选中Quote曲线'!C12</f>
      </c>
      <c r="D22" s="205">
        <f>'选中Quote曲线'!D12</f>
      </c>
      <c r="E22" s="205">
        <f>'选中Quote曲线'!E12</f>
      </c>
      <c r="F22" s="205">
        <f>'单币测算'!$I$11*'单币测算'!$I$13</f>
      </c>
      <c r="G22" s="342">
        <f>'选中Quote曲线'!F12</f>
      </c>
      <c r="H22" s="342">
        <f>IF(OR($L$14="",NOT(ISNUMBER(G22))),"",G22*$L$14)</f>
      </c>
      <c r="I22" s="347">
        <f>'选中Quote曲线'!H12</f>
      </c>
      <c r="J22" s="347">
        <f>IF($L$14="","",I22*$L$14)</f>
      </c>
      <c r="K22" s="347">
        <f>'选中Quote曲线'!I12</f>
      </c>
      <c r="L22" s="347">
        <f>'选中Quote曲线'!J12</f>
      </c>
      <c r="M22" s="352">
        <f>'选中Quote曲线'!K12</f>
      </c>
    </row>
    <row r="23" ht="20" customHeight="1">
      <c r="C23" s="200">
        <f>'选中Quote曲线'!C13</f>
      </c>
      <c r="D23" s="205">
        <f>'选中Quote曲线'!D13</f>
      </c>
      <c r="E23" s="205">
        <f>'选中Quote曲线'!E13</f>
      </c>
      <c r="F23" s="205">
        <f>'单币测算'!$I$11*'单币测算'!$I$13</f>
      </c>
      <c r="G23" s="342">
        <f>'选中Quote曲线'!F13</f>
      </c>
      <c r="H23" s="342">
        <f>IF(OR($L$14="",NOT(ISNUMBER(G23))),"",G23*$L$14)</f>
      </c>
      <c r="I23" s="347">
        <f>'选中Quote曲线'!H13</f>
      </c>
      <c r="J23" s="347">
        <f>IF($L$14="","",I23*$L$14)</f>
      </c>
      <c r="K23" s="347">
        <f>'选中Quote曲线'!I13</f>
      </c>
      <c r="L23" s="347">
        <f>'选中Quote曲线'!J13</f>
      </c>
      <c r="M23" s="352">
        <f>'选中Quote曲线'!K13</f>
      </c>
    </row>
    <row r="24" ht="20" customHeight="1">
      <c r="C24" s="200">
        <f>'选中Quote曲线'!C14</f>
      </c>
      <c r="D24" s="205">
        <f>'选中Quote曲线'!D14</f>
      </c>
      <c r="E24" s="205">
        <f>'选中Quote曲线'!E14</f>
      </c>
      <c r="F24" s="205">
        <f>'单币测算'!$I$11*'单币测算'!$I$13</f>
      </c>
      <c r="G24" s="342">
        <f>'选中Quote曲线'!F14</f>
      </c>
      <c r="H24" s="342">
        <f>IF(OR($L$14="",NOT(ISNUMBER(G24))),"",G24*$L$14)</f>
      </c>
      <c r="I24" s="347">
        <f>'选中Quote曲线'!H14</f>
      </c>
      <c r="J24" s="347">
        <f>IF($L$14="","",I24*$L$14)</f>
      </c>
      <c r="K24" s="347">
        <f>'选中Quote曲线'!I14</f>
      </c>
      <c r="L24" s="347">
        <f>'选中Quote曲线'!J14</f>
      </c>
      <c r="M24" s="352">
        <f>'选中Quote曲线'!K14</f>
      </c>
    </row>
    <row r="25" ht="20" customHeight="1">
      <c r="C25" s="200">
        <f>'选中Quote曲线'!C15</f>
      </c>
      <c r="D25" s="205">
        <f>'选中Quote曲线'!D15</f>
      </c>
      <c r="E25" s="205">
        <f>'选中Quote曲线'!E15</f>
      </c>
      <c r="F25" s="205">
        <f>'单币测算'!$I$11*'单币测算'!$I$13</f>
      </c>
      <c r="G25" s="342">
        <f>'选中Quote曲线'!F15</f>
      </c>
      <c r="H25" s="342">
        <f>IF(OR($L$14="",NOT(ISNUMBER(G25))),"",G25*$L$14)</f>
      </c>
      <c r="I25" s="347">
        <f>'选中Quote曲线'!H15</f>
      </c>
      <c r="J25" s="347">
        <f>IF($L$14="","",I25*$L$14)</f>
      </c>
      <c r="K25" s="347">
        <f>'选中Quote曲线'!I15</f>
      </c>
      <c r="L25" s="347">
        <f>'选中Quote曲线'!J15</f>
      </c>
      <c r="M25" s="352">
        <f>'选中Quote曲线'!K15</f>
      </c>
    </row>
    <row r="26" ht="20" customHeight="1">
      <c r="C26" s="200">
        <f>'选中Quote曲线'!C16</f>
      </c>
      <c r="D26" s="205">
        <f>'选中Quote曲线'!D16</f>
      </c>
      <c r="E26" s="205">
        <f>'选中Quote曲线'!E16</f>
      </c>
      <c r="F26" s="205">
        <f>'单币测算'!$I$11*'单币测算'!$I$13</f>
      </c>
      <c r="G26" s="342">
        <f>'选中Quote曲线'!F16</f>
      </c>
      <c r="H26" s="342">
        <f>IF(OR($L$14="",NOT(ISNUMBER(G26))),"",G26*$L$14)</f>
      </c>
      <c r="I26" s="347">
        <f>'选中Quote曲线'!H16</f>
      </c>
      <c r="J26" s="347">
        <f>IF($L$14="","",I26*$L$14)</f>
      </c>
      <c r="K26" s="347">
        <f>'选中Quote曲线'!I16</f>
      </c>
      <c r="L26" s="347">
        <f>'选中Quote曲线'!J16</f>
      </c>
      <c r="M26" s="352">
        <f>'选中Quote曲线'!K16</f>
      </c>
    </row>
    <row r="27" ht="20" customHeight="1">
      <c r="C27" s="201">
        <f>'选中Quote曲线'!C17</f>
      </c>
      <c r="D27" s="206">
        <f>'选中Quote曲线'!D17</f>
      </c>
      <c r="E27" s="206">
        <f>'选中Quote曲线'!E17</f>
      </c>
      <c r="F27" s="206">
        <f>'单币测算'!$I$11*'单币测算'!$I$13</f>
      </c>
      <c r="G27" s="356">
        <f>'选中Quote曲线'!F17</f>
      </c>
      <c r="H27" s="356">
        <f>IF(OR($L$14="",NOT(ISNUMBER(G27))),"",G27*$L$14)</f>
      </c>
      <c r="I27" s="361">
        <f>'选中Quote曲线'!H17</f>
      </c>
      <c r="J27" s="361">
        <f>IF($L$14="","",I27*$L$14)</f>
      </c>
      <c r="K27" s="361">
        <f>'选中Quote曲线'!I17</f>
      </c>
      <c r="L27" s="361">
        <f>'选中Quote曲线'!J17</f>
      </c>
      <c r="M27" s="366">
        <f>'选中Quote曲线'!K17</f>
      </c>
    </row>
    <row r="28" ht="20" customHeight="1">
      <c r="C28" s="253"/>
      <c r="D28" s="254"/>
      <c r="E28" s="254"/>
      <c r="F28" s="254"/>
      <c r="G28" s="255"/>
      <c r="H28" s="254"/>
      <c r="I28" s="254"/>
      <c r="J28" s="254"/>
      <c r="K28" s="254"/>
      <c r="L28" s="253"/>
    </row>
    <row r="29" ht="20" customHeight="1">
      <c r="C29" s="253"/>
      <c r="D29" s="254"/>
      <c r="E29" s="254"/>
      <c r="F29" s="254"/>
      <c r="G29" s="255"/>
      <c r="H29" s="254"/>
      <c r="I29" s="254"/>
      <c r="J29" s="254"/>
      <c r="K29" s="254"/>
      <c r="L29" s="253"/>
    </row>
    <row r="30" ht="20" customHeight="1">
      <c r="C30" s="125" t="str">
        <v>V4 外盘曲线</v>
      </c>
      <c r="D30" s="208"/>
      <c r="E30" s="208"/>
      <c r="F30" s="208"/>
      <c r="G30" s="216"/>
      <c r="H30" s="208"/>
      <c r="I30" s="208"/>
      <c r="J30" s="208"/>
      <c r="K30" s="208"/>
      <c r="L30" s="126"/>
    </row>
    <row r="31" ht="20" customHeight="1">
      <c r="C31" s="173" t="str">
        <v>控筹率</v>
      </c>
      <c r="D31" s="209" t="str">
        <v>pooled Meme</v>
      </c>
      <c r="E31" s="209" t="str">
        <v>pooled Quote</v>
      </c>
      <c r="F31" s="209" t="str">
        <v>k</v>
      </c>
      <c r="G31" s="368" t="str">
        <v>价格 / Quote</v>
      </c>
      <c r="H31" s="368" t="str">
        <v>价格 / USDT</v>
      </c>
      <c r="I31" s="370" t="str">
        <v>市值 / Quote</v>
      </c>
      <c r="J31" s="370" t="str">
        <v>市值 / USDT</v>
      </c>
      <c r="K31" s="370" t="str">
        <v>exact-input Quote</v>
      </c>
      <c r="L31" s="370" t="str">
        <v>理论累计所需</v>
      </c>
      <c r="M31" s="312" t="str">
        <v>状态</v>
      </c>
    </row>
    <row r="32" ht="20" customHeight="1">
      <c r="C32" s="202">
        <f>'选中Quote曲线'!C22</f>
      </c>
      <c r="D32" s="210">
        <f>'选中Quote曲线'!D22</f>
      </c>
      <c r="E32" s="210">
        <f>'选中Quote曲线'!E22</f>
      </c>
      <c r="F32" s="210">
        <f>'单币测算'!$I$20</f>
      </c>
      <c r="G32" s="375">
        <f>'选中Quote曲线'!F22</f>
      </c>
      <c r="H32" s="375">
        <f>IF(OR($L$14="",NOT(ISNUMBER(G32))),"",G32*$L$14)</f>
      </c>
      <c r="I32" s="380">
        <f>'选中Quote曲线'!H22</f>
      </c>
      <c r="J32" s="380">
        <f>IF($L$14="","",I32*$L$14)</f>
      </c>
      <c r="K32" s="380">
        <f>'选中Quote曲线'!J22</f>
      </c>
      <c r="L32" s="386">
        <f>'单币测算'!$D$27</f>
      </c>
      <c r="M32" s="393">
        <f>'选中Quote曲线'!L22</f>
      </c>
    </row>
    <row r="33" ht="20" customHeight="1">
      <c r="C33" s="200">
        <f>'选中Quote曲线'!C23</f>
      </c>
      <c r="D33" s="205">
        <f>'选中Quote曲线'!D23</f>
      </c>
      <c r="E33" s="205">
        <f>'选中Quote曲线'!E23</f>
      </c>
      <c r="F33" s="205">
        <f>'单币测算'!$I$20</f>
      </c>
      <c r="G33" s="342">
        <f>'选中Quote曲线'!F23</f>
      </c>
      <c r="H33" s="342">
        <f>IF(OR($L$14="",NOT(ISNUMBER(G33))),"",G33*$L$14)</f>
      </c>
      <c r="I33" s="347">
        <f>'选中Quote曲线'!H23</f>
      </c>
      <c r="J33" s="347">
        <f>IF($L$14="","",I33*$L$14)</f>
      </c>
      <c r="K33" s="347">
        <f>'选中Quote曲线'!J23</f>
      </c>
      <c r="L33" s="399">
        <f>'选中Quote曲线'!K23</f>
      </c>
      <c r="M33" s="400">
        <f>'选中Quote曲线'!L23</f>
      </c>
    </row>
    <row r="34" ht="20" customHeight="1">
      <c r="C34" s="200">
        <f>'选中Quote曲线'!C24</f>
      </c>
      <c r="D34" s="205">
        <f>'选中Quote曲线'!D24</f>
      </c>
      <c r="E34" s="205">
        <f>'选中Quote曲线'!E24</f>
      </c>
      <c r="F34" s="205">
        <f>'单币测算'!$I$20</f>
      </c>
      <c r="G34" s="342">
        <f>'选中Quote曲线'!F24</f>
      </c>
      <c r="H34" s="342">
        <f>IF(OR($L$14="",NOT(ISNUMBER(G34))),"",G34*$L$14)</f>
      </c>
      <c r="I34" s="347">
        <f>'选中Quote曲线'!H24</f>
      </c>
      <c r="J34" s="347">
        <f>IF($L$14="","",I34*$L$14)</f>
      </c>
      <c r="K34" s="347">
        <f>'选中Quote曲线'!J24</f>
      </c>
      <c r="L34" s="399">
        <f>'选中Quote曲线'!K24</f>
      </c>
      <c r="M34" s="400">
        <f>'选中Quote曲线'!L24</f>
      </c>
    </row>
    <row r="35" ht="20" customHeight="1">
      <c r="C35" s="200">
        <f>'选中Quote曲线'!C25</f>
      </c>
      <c r="D35" s="205">
        <f>'选中Quote曲线'!D25</f>
      </c>
      <c r="E35" s="205">
        <f>'选中Quote曲线'!E25</f>
      </c>
      <c r="F35" s="205">
        <f>'单币测算'!$I$20</f>
      </c>
      <c r="G35" s="342">
        <f>'选中Quote曲线'!F25</f>
      </c>
      <c r="H35" s="342">
        <f>IF(OR($L$14="",NOT(ISNUMBER(G35))),"",G35*$L$14)</f>
      </c>
      <c r="I35" s="347">
        <f>'选中Quote曲线'!H25</f>
      </c>
      <c r="J35" s="347">
        <f>IF($L$14="","",I35*$L$14)</f>
      </c>
      <c r="K35" s="347">
        <f>'选中Quote曲线'!J25</f>
      </c>
      <c r="L35" s="399">
        <f>'选中Quote曲线'!K25</f>
      </c>
      <c r="M35" s="400">
        <f>'选中Quote曲线'!L25</f>
      </c>
    </row>
    <row r="36" ht="20" customHeight="1">
      <c r="C36" s="200">
        <f>'选中Quote曲线'!C26</f>
      </c>
      <c r="D36" s="205">
        <f>'选中Quote曲线'!D26</f>
      </c>
      <c r="E36" s="205">
        <f>'选中Quote曲线'!E26</f>
      </c>
      <c r="F36" s="205">
        <f>'单币测算'!$I$20</f>
      </c>
      <c r="G36" s="342">
        <f>'选中Quote曲线'!F26</f>
      </c>
      <c r="H36" s="342">
        <f>IF(OR($L$14="",NOT(ISNUMBER(G36))),"",G36*$L$14)</f>
      </c>
      <c r="I36" s="347">
        <f>'选中Quote曲线'!H26</f>
      </c>
      <c r="J36" s="347">
        <f>IF($L$14="","",I36*$L$14)</f>
      </c>
      <c r="K36" s="347">
        <f>'选中Quote曲线'!J26</f>
      </c>
      <c r="L36" s="399">
        <f>'选中Quote曲线'!K26</f>
      </c>
      <c r="M36" s="400">
        <f>'选中Quote曲线'!L26</f>
      </c>
    </row>
    <row r="37" ht="20" customHeight="1">
      <c r="C37" s="200">
        <f>'选中Quote曲线'!C27</f>
      </c>
      <c r="D37" s="205">
        <f>'选中Quote曲线'!D27</f>
      </c>
      <c r="E37" s="205">
        <f>'选中Quote曲线'!E27</f>
      </c>
      <c r="F37" s="205">
        <f>'单币测算'!$I$20</f>
      </c>
      <c r="G37" s="342">
        <f>'选中Quote曲线'!F27</f>
      </c>
      <c r="H37" s="342">
        <f>IF(OR($L$14="",NOT(ISNUMBER(G37))),"",G37*$L$14)</f>
      </c>
      <c r="I37" s="347">
        <f>'选中Quote曲线'!H27</f>
      </c>
      <c r="J37" s="347">
        <f>IF($L$14="","",I37*$L$14)</f>
      </c>
      <c r="K37" s="347">
        <f>'选中Quote曲线'!J27</f>
      </c>
      <c r="L37" s="399">
        <f>'选中Quote曲线'!K27</f>
      </c>
      <c r="M37" s="400">
        <f>'选中Quote曲线'!L27</f>
      </c>
    </row>
    <row r="38" ht="20" customHeight="1">
      <c r="C38" s="200">
        <f>'选中Quote曲线'!C28</f>
      </c>
      <c r="D38" s="205">
        <f>'选中Quote曲线'!D28</f>
      </c>
      <c r="E38" s="205">
        <f>'选中Quote曲线'!E28</f>
      </c>
      <c r="F38" s="205">
        <f>'单币测算'!$I$20</f>
      </c>
      <c r="G38" s="342">
        <f>'选中Quote曲线'!F28</f>
      </c>
      <c r="H38" s="342">
        <f>IF(OR($L$14="",NOT(ISNUMBER(G38))),"",G38*$L$14)</f>
      </c>
      <c r="I38" s="347">
        <f>'选中Quote曲线'!H28</f>
      </c>
      <c r="J38" s="347">
        <f>IF($L$14="","",I38*$L$14)</f>
      </c>
      <c r="K38" s="347">
        <f>'选中Quote曲线'!J28</f>
      </c>
      <c r="L38" s="399">
        <f>'选中Quote曲线'!K28</f>
      </c>
      <c r="M38" s="400">
        <f>'选中Quote曲线'!L28</f>
      </c>
    </row>
    <row r="39" ht="20" customHeight="1">
      <c r="C39" s="200">
        <f>'选中Quote曲线'!C29</f>
      </c>
      <c r="D39" s="205">
        <f>'选中Quote曲线'!D29</f>
      </c>
      <c r="E39" s="205">
        <f>'选中Quote曲线'!E29</f>
      </c>
      <c r="F39" s="205">
        <f>'单币测算'!$I$20</f>
      </c>
      <c r="G39" s="342">
        <f>'选中Quote曲线'!F29</f>
      </c>
      <c r="H39" s="342">
        <f>IF(OR($L$14="",NOT(ISNUMBER(G39))),"",G39*$L$14)</f>
      </c>
      <c r="I39" s="347">
        <f>'选中Quote曲线'!H29</f>
      </c>
      <c r="J39" s="347">
        <f>IF($L$14="","",I39*$L$14)</f>
      </c>
      <c r="K39" s="347">
        <f>'选中Quote曲线'!J29</f>
      </c>
      <c r="L39" s="399">
        <f>'选中Quote曲线'!K29</f>
      </c>
      <c r="M39" s="400">
        <f>'选中Quote曲线'!L29</f>
      </c>
    </row>
    <row r="40" ht="20" customHeight="1">
      <c r="C40" s="200">
        <f>'选中Quote曲线'!C30</f>
      </c>
      <c r="D40" s="205">
        <f>'选中Quote曲线'!D30</f>
      </c>
      <c r="E40" s="205">
        <f>'选中Quote曲线'!E30</f>
      </c>
      <c r="F40" s="205">
        <f>'单币测算'!$I$20</f>
      </c>
      <c r="G40" s="342">
        <f>'选中Quote曲线'!F30</f>
      </c>
      <c r="H40" s="342">
        <f>IF(OR($L$14="",NOT(ISNUMBER(G40))),"",G40*$L$14)</f>
      </c>
      <c r="I40" s="347">
        <f>'选中Quote曲线'!H30</f>
      </c>
      <c r="J40" s="347">
        <f>IF($L$14="","",I40*$L$14)</f>
      </c>
      <c r="K40" s="347">
        <f>'选中Quote曲线'!J30</f>
      </c>
      <c r="L40" s="399">
        <f>'选中Quote曲线'!K30</f>
      </c>
      <c r="M40" s="400">
        <f>'选中Quote曲线'!L30</f>
      </c>
    </row>
    <row r="41" ht="20" customHeight="1">
      <c r="C41" s="200">
        <f>'选中Quote曲线'!C31</f>
      </c>
      <c r="D41" s="205">
        <f>'选中Quote曲线'!D31</f>
      </c>
      <c r="E41" s="205">
        <f>'选中Quote曲线'!E31</f>
      </c>
      <c r="F41" s="205">
        <f>'单币测算'!$I$20</f>
      </c>
      <c r="G41" s="342">
        <f>'选中Quote曲线'!F31</f>
      </c>
      <c r="H41" s="342">
        <f>IF(OR($L$14="",NOT(ISNUMBER(G41))),"",G41*$L$14)</f>
      </c>
      <c r="I41" s="347">
        <f>'选中Quote曲线'!H31</f>
      </c>
      <c r="J41" s="347">
        <f>IF($L$14="","",I41*$L$14)</f>
      </c>
      <c r="K41" s="347">
        <f>'选中Quote曲线'!J31</f>
      </c>
      <c r="L41" s="399">
        <f>'选中Quote曲线'!K31</f>
      </c>
      <c r="M41" s="400">
        <f>'选中Quote曲线'!L31</f>
      </c>
    </row>
    <row r="42" ht="20" customHeight="1">
      <c r="C42" s="200">
        <f>'选中Quote曲线'!C32</f>
      </c>
      <c r="D42" s="205">
        <f>'选中Quote曲线'!D32</f>
      </c>
      <c r="E42" s="205">
        <f>'选中Quote曲线'!E32</f>
      </c>
      <c r="F42" s="205">
        <f>'单币测算'!$I$20</f>
      </c>
      <c r="G42" s="342">
        <f>'选中Quote曲线'!F32</f>
      </c>
      <c r="H42" s="342">
        <f>IF(OR($L$14="",NOT(ISNUMBER(G42))),"",G42*$L$14)</f>
      </c>
      <c r="I42" s="347">
        <f>'选中Quote曲线'!H32</f>
      </c>
      <c r="J42" s="347">
        <f>IF($L$14="","",I42*$L$14)</f>
      </c>
      <c r="K42" s="347">
        <f>'选中Quote曲线'!J32</f>
      </c>
      <c r="L42" s="399">
        <f>'选中Quote曲线'!K32</f>
      </c>
      <c r="M42" s="400">
        <f>'选中Quote曲线'!L32</f>
      </c>
    </row>
    <row r="43" ht="20" customHeight="1">
      <c r="C43" s="200">
        <f>'选中Quote曲线'!C33</f>
      </c>
      <c r="D43" s="205">
        <f>'选中Quote曲线'!D33</f>
      </c>
      <c r="E43" s="205">
        <f>'选中Quote曲线'!E33</f>
      </c>
      <c r="F43" s="205">
        <f>'单币测算'!$I$20</f>
      </c>
      <c r="G43" s="342">
        <f>'选中Quote曲线'!F33</f>
      </c>
      <c r="H43" s="342">
        <f>IF(OR($L$14="",NOT(ISNUMBER(G43))),"",G43*$L$14)</f>
      </c>
      <c r="I43" s="347">
        <f>'选中Quote曲线'!H33</f>
      </c>
      <c r="J43" s="347">
        <f>IF($L$14="","",I43*$L$14)</f>
      </c>
      <c r="K43" s="347">
        <f>'选中Quote曲线'!J33</f>
      </c>
      <c r="L43" s="399">
        <f>'选中Quote曲线'!K33</f>
      </c>
      <c r="M43" s="400">
        <f>'选中Quote曲线'!L33</f>
      </c>
    </row>
    <row r="44" ht="20" customHeight="1">
      <c r="C44" s="200">
        <f>'选中Quote曲线'!C34</f>
      </c>
      <c r="D44" s="205">
        <f>'选中Quote曲线'!D34</f>
      </c>
      <c r="E44" s="205">
        <f>'选中Quote曲线'!E34</f>
      </c>
      <c r="F44" s="205">
        <f>'单币测算'!$I$20</f>
      </c>
      <c r="G44" s="342">
        <f>'选中Quote曲线'!F34</f>
      </c>
      <c r="H44" s="342">
        <f>IF(OR($L$14="",NOT(ISNUMBER(G44))),"",G44*$L$14)</f>
      </c>
      <c r="I44" s="347">
        <f>'选中Quote曲线'!H34</f>
      </c>
      <c r="J44" s="347">
        <f>IF($L$14="","",I44*$L$14)</f>
      </c>
      <c r="K44" s="347">
        <f>'选中Quote曲线'!J34</f>
      </c>
      <c r="L44" s="399">
        <f>'选中Quote曲线'!K34</f>
      </c>
      <c r="M44" s="407">
        <f>'选中Quote曲线'!L34</f>
      </c>
    </row>
    <row r="45" ht="20" customHeight="1">
      <c r="C45" s="203">
        <f>'选中Quote曲线'!C35</f>
      </c>
      <c r="D45" s="211">
        <f>'选中Quote曲线'!D35</f>
      </c>
      <c r="E45" s="211">
        <f>'选中Quote曲线'!E35</f>
      </c>
      <c r="F45" s="211">
        <f>'单币测算'!$I$20</f>
      </c>
      <c r="G45" s="411">
        <f>'选中Quote曲线'!F35</f>
      </c>
      <c r="H45" s="411">
        <f>IF(OR($L$14="",NOT(ISNUMBER(G45))),"",G45*$L$14)</f>
      </c>
      <c r="I45" s="416">
        <f>'选中Quote曲线'!H35</f>
      </c>
      <c r="J45" s="416">
        <f>IF($L$14="","",I45*$L$14)</f>
      </c>
      <c r="K45" s="416">
        <f>'选中Quote曲线'!J35</f>
      </c>
      <c r="L45" s="422">
        <f>'选中Quote曲线'!K35</f>
      </c>
      <c r="M45" s="423">
        <f>'选中Quote曲线'!L35</f>
      </c>
    </row>
    <row r="46" ht="20" customHeight="1">
      <c r="C46" s="253"/>
      <c r="D46" s="253"/>
      <c r="E46" s="253"/>
      <c r="F46" s="253"/>
      <c r="G46" s="253"/>
      <c r="H46" s="253"/>
      <c r="I46" s="253"/>
      <c r="J46" s="253"/>
      <c r="K46" s="253"/>
      <c r="L46" s="253"/>
    </row>
    <row r="47" ht="20" customHeight="1">
      <c r="C47" s="253"/>
      <c r="D47" s="253"/>
      <c r="E47" s="253"/>
      <c r="F47" s="253"/>
      <c r="G47" s="253"/>
      <c r="H47" s="253"/>
      <c r="I47" s="253"/>
      <c r="J47" s="253"/>
      <c r="K47" s="253"/>
      <c r="L47" s="253"/>
    </row>
    <row r="48" ht="20" customHeight="1">
      <c r="C48" s="226" t="str">
        <v>外盘回落参考 · 从毕业控筹率回落至 0%（70% 后每 10%）</v>
      </c>
      <c r="D48" s="227"/>
      <c r="E48" s="227"/>
      <c r="F48" s="227"/>
      <c r="G48" s="227"/>
      <c r="H48" s="227"/>
      <c r="I48" s="227"/>
      <c r="J48" s="227"/>
      <c r="K48" s="227"/>
      <c r="L48" s="228"/>
    </row>
    <row r="49" ht="20" customHeight="1">
      <c r="C49" s="173" t="str">
        <v>控筹率</v>
      </c>
      <c r="D49" s="174" t="str">
        <v>pooled Meme</v>
      </c>
      <c r="E49" s="174" t="str">
        <v>pooled Quote</v>
      </c>
      <c r="F49" s="174" t="str">
        <v>k</v>
      </c>
      <c r="G49" s="306" t="str">
        <v>价格 / Quote</v>
      </c>
      <c r="H49" s="306" t="str">
        <v>价格 / USDT</v>
      </c>
      <c r="I49" s="306" t="str">
        <v>市值 / Quote</v>
      </c>
      <c r="J49" s="306" t="str">
        <v>市值 / USDT</v>
      </c>
      <c r="K49" s="312" t="str">
        <v>较毕业点回撤</v>
      </c>
      <c r="L49" s="253"/>
      <c r="M49"/>
    </row>
    <row r="50" ht="20" customHeight="1">
      <c r="C50" s="199" t="n">
        <v>0.7142857142857143</v>
      </c>
      <c r="D50" s="204">
        <f>1000000000*(1-C50)-'单币测算'!$I$15</f>
      </c>
      <c r="E50" s="204">
        <f>'单币测算'!$I$20/D50</f>
      </c>
      <c r="F50" s="204">
        <f>'单币测算'!$I$20</f>
      </c>
      <c r="G50" s="322">
        <f>E50/D50</f>
      </c>
      <c r="H50" s="322">
        <f>IF(OR($L$14="",NOT(ISNUMBER(G50))),"",G50*$L$14)</f>
      </c>
      <c r="I50" s="327">
        <f>G50*1000000000</f>
      </c>
      <c r="J50" s="327">
        <f>IF($L$14="","",I50*$L$14)</f>
      </c>
      <c r="K50" s="433">
        <f>IF($I$50&gt;0,1-I50/$I$50,0)</f>
      </c>
      <c r="L50" s="134"/>
      <c r="M50"/>
    </row>
    <row r="51" ht="20" customHeight="1">
      <c r="C51" s="200" t="n">
        <v>0.7</v>
      </c>
      <c r="D51" s="205">
        <f>1000000000*(1-C51)-'单币测算'!$I$15</f>
      </c>
      <c r="E51" s="205">
        <f>'单币测算'!$I$20/D51</f>
      </c>
      <c r="F51" s="205">
        <f>'单币测算'!$I$20</f>
      </c>
      <c r="G51" s="342">
        <f>E51/D51</f>
      </c>
      <c r="H51" s="342">
        <f>IF(OR($L$14="",NOT(ISNUMBER(G51))),"",G51*$L$14)</f>
      </c>
      <c r="I51" s="347">
        <f>G51*1000000000</f>
      </c>
      <c r="J51" s="347">
        <f>IF($L$14="","",I51*$L$14)</f>
      </c>
      <c r="K51" s="439">
        <f>IF($I$50&gt;0,1-I51/$I$50,0)</f>
      </c>
      <c r="L51" s="136"/>
      <c r="M51"/>
    </row>
    <row r="52" ht="20" customHeight="1">
      <c r="C52" s="200" t="n">
        <v>0.6</v>
      </c>
      <c r="D52" s="205">
        <f>1000000000*(1-C52)-'单币测算'!$I$15</f>
      </c>
      <c r="E52" s="205">
        <f>'单币测算'!$I$20/D52</f>
      </c>
      <c r="F52" s="205">
        <f>'单币测算'!$I$20</f>
      </c>
      <c r="G52" s="342">
        <f>E52/D52</f>
      </c>
      <c r="H52" s="342">
        <f>IF(OR($L$14="",NOT(ISNUMBER(G52))),"",G52*$L$14)</f>
      </c>
      <c r="I52" s="347">
        <f>G52*1000000000</f>
      </c>
      <c r="J52" s="347">
        <f>IF($L$14="","",I52*$L$14)</f>
      </c>
      <c r="K52" s="439">
        <f>IF($I$50&gt;0,1-I52/$I$50,0)</f>
      </c>
      <c r="L52" s="136"/>
      <c r="M52"/>
    </row>
    <row r="53" ht="20" customHeight="1">
      <c r="C53" s="200" t="n">
        <v>0.5</v>
      </c>
      <c r="D53" s="205">
        <f>1000000000*(1-C53)-'单币测算'!$I$15</f>
      </c>
      <c r="E53" s="205">
        <f>'单币测算'!$I$20/D53</f>
      </c>
      <c r="F53" s="205">
        <f>'单币测算'!$I$20</f>
      </c>
      <c r="G53" s="342">
        <f>E53/D53</f>
      </c>
      <c r="H53" s="342">
        <f>IF(OR($L$14="",NOT(ISNUMBER(G53))),"",G53*$L$14)</f>
      </c>
      <c r="I53" s="347">
        <f>G53*1000000000</f>
      </c>
      <c r="J53" s="347">
        <f>IF($L$14="","",I53*$L$14)</f>
      </c>
      <c r="K53" s="439">
        <f>IF($I$50&gt;0,1-I53/$I$50,0)</f>
      </c>
      <c r="L53" s="136"/>
      <c r="M53"/>
    </row>
    <row r="54" ht="20" customHeight="1">
      <c r="C54" s="200" t="n">
        <v>0.4</v>
      </c>
      <c r="D54" s="205">
        <f>1000000000*(1-C54)-'单币测算'!$I$15</f>
      </c>
      <c r="E54" s="205">
        <f>'单币测算'!$I$20/D54</f>
      </c>
      <c r="F54" s="205">
        <f>'单币测算'!$I$20</f>
      </c>
      <c r="G54" s="342">
        <f>E54/D54</f>
      </c>
      <c r="H54" s="342">
        <f>IF(OR($L$14="",NOT(ISNUMBER(G54))),"",G54*$L$14)</f>
      </c>
      <c r="I54" s="347">
        <f>G54*1000000000</f>
      </c>
      <c r="J54" s="347">
        <f>IF($L$14="","",I54*$L$14)</f>
      </c>
      <c r="K54" s="439">
        <f>IF($I$50&gt;0,1-I54/$I$50,0)</f>
      </c>
      <c r="L54" s="136"/>
      <c r="M54"/>
    </row>
    <row r="55" ht="20" customHeight="1">
      <c r="C55" s="200" t="n">
        <v>0.3</v>
      </c>
      <c r="D55" s="205">
        <f>1000000000*(1-C55)-'单币测算'!$I$15</f>
      </c>
      <c r="E55" s="205">
        <f>'单币测算'!$I$20/D55</f>
      </c>
      <c r="F55" s="205">
        <f>'单币测算'!$I$20</f>
      </c>
      <c r="G55" s="342">
        <f>E55/D55</f>
      </c>
      <c r="H55" s="342">
        <f>IF(OR($L$14="",NOT(ISNUMBER(G55))),"",G55*$L$14)</f>
      </c>
      <c r="I55" s="347">
        <f>G55*1000000000</f>
      </c>
      <c r="J55" s="347">
        <f>IF($L$14="","",I55*$L$14)</f>
      </c>
      <c r="K55" s="439">
        <f>IF($I$50&gt;0,1-I55/$I$50,0)</f>
      </c>
      <c r="L55" s="136"/>
      <c r="M55"/>
    </row>
    <row r="56" ht="20" customHeight="1">
      <c r="C56" s="200" t="n">
        <v>0.2</v>
      </c>
      <c r="D56" s="205">
        <f>1000000000*(1-C56)-'单币测算'!$I$15</f>
      </c>
      <c r="E56" s="205">
        <f>'单币测算'!$I$20/D56</f>
      </c>
      <c r="F56" s="205">
        <f>'单币测算'!$I$20</f>
      </c>
      <c r="G56" s="342">
        <f>E56/D56</f>
      </c>
      <c r="H56" s="342">
        <f>IF(OR($L$14="",NOT(ISNUMBER(G56))),"",G56*$L$14)</f>
      </c>
      <c r="I56" s="347">
        <f>G56*1000000000</f>
      </c>
      <c r="J56" s="347">
        <f>IF($L$14="","",I56*$L$14)</f>
      </c>
      <c r="K56" s="439">
        <f>IF($I$50&gt;0,1-I56/$I$50,0)</f>
      </c>
      <c r="L56" s="136"/>
      <c r="M56"/>
    </row>
    <row r="57" ht="20" customHeight="1">
      <c r="C57" s="200" t="n">
        <v>0.1</v>
      </c>
      <c r="D57" s="205">
        <f>1000000000*(1-C57)-'单币测算'!$I$15</f>
      </c>
      <c r="E57" s="205">
        <f>'单币测算'!$I$20/D57</f>
      </c>
      <c r="F57" s="205">
        <f>'单币测算'!$I$20</f>
      </c>
      <c r="G57" s="342">
        <f>E57/D57</f>
      </c>
      <c r="H57" s="342">
        <f>IF(OR($L$14="",NOT(ISNUMBER(G57))),"",G57*$L$14)</f>
      </c>
      <c r="I57" s="347">
        <f>G57*1000000000</f>
      </c>
      <c r="J57" s="347">
        <f>IF($L$14="","",I57*$L$14)</f>
      </c>
      <c r="K57" s="439">
        <f>IF($I$50&gt;0,1-I57/$I$50,0)</f>
      </c>
      <c r="L57" s="136"/>
      <c r="M57"/>
    </row>
    <row r="58" ht="20" customHeight="1">
      <c r="C58" s="236" t="n">
        <v>0</v>
      </c>
      <c r="D58" s="237">
        <f>1000000000*(1-C58)-'单币测算'!$I$15</f>
      </c>
      <c r="E58" s="237">
        <f>'单币测算'!$I$20/D58</f>
      </c>
      <c r="F58" s="237">
        <f>'单币测算'!$I$20</f>
      </c>
      <c r="G58" s="443">
        <f>E58/D58</f>
      </c>
      <c r="H58" s="443">
        <f>IF(OR($L$14="",NOT(ISNUMBER(G58))),"",G58*$L$14)</f>
      </c>
      <c r="I58" s="448">
        <f>G58*1000000000</f>
      </c>
      <c r="J58" s="448">
        <f>IF($L$14="","",I58*$L$14)</f>
      </c>
      <c r="K58" s="454">
        <f>IF($I$50&gt;0,1-I58/$I$50,0)</f>
      </c>
      <c r="L58" s="457" t="str">
        <v>沉没成本</v>
      </c>
      <c r="M58" s="448">
        <f>E58</f>
      </c>
    </row>
  </sheetData>
  <mergeCells>
    <mergeCell ref="C2:L2"/>
    <mergeCell ref="C3:L3"/>
  </mergeCells>
  <conditionalFormatting sqref="M32:M45">
    <cfRule type="containsText" dxfId="4" priority="1" operator="containsText" text="不可达"/>
  </conditionalFormatting>
  <dataValidations count="5">
    <dataValidation type="list" sqref="D6">
      <formula1>'Quote参数'!$E$9:$E$62</formula1>
    </dataValidation>
    <dataValidation type="decimal" operator="between" sqref="D12">
      <formula1>0</formula1>
      <formula2>0.1</formula2>
    </dataValidation>
    <dataValidation type="list" sqref="F11">
      <formula1>"是,否"</formula1>
    </dataValidation>
    <dataValidation type="list" sqref="F12">
      <formula1>"否,是"</formula1>
    </dataValidation>
    <dataValidation type="decimal" operator="between" sqref="H14">
      <formula1>0</formula1>
      <formula2>0.99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ySplit="6" topLeftCell="A7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7" hidden="0" customWidth="1"/>
    <col min="4" max="4" width="23" hidden="0" customWidth="1"/>
    <col min="5" max="5" width="18" hidden="0" customWidth="1"/>
    <col min="6" max="6" width="43" hidden="0" customWidth="1"/>
    <col min="7" max="7" width="3" hidden="0" customWidth="1"/>
    <col min="8" max="8" width="24" hidden="0" customWidth="1"/>
    <col min="9" max="9" width="31" hidden="0" customWidth="1"/>
    <col min="10" max="10" width="17" hidden="0" customWidth="1"/>
  </cols>
  <sheetData>
    <row r="2" ht="26" customHeight="1">
      <c r="C2" s="256" t="str">
        <v>Pons V2 单币控筹资金测算</v>
      </c>
      <c r="D2" s="257"/>
      <c r="E2" s="257"/>
      <c r="F2" s="257"/>
      <c r="G2" s="257"/>
      <c r="H2" s="257"/>
      <c r="I2" s="257"/>
      <c r="J2" s="257"/>
    </row>
    <row r="3" ht="20" customHeight="1">
      <c r="C3" s="258" t="str">
        <v>黄色单元格为输入。Quote 资金与 Gas 分开：Quote 预算按所选资产计价，Gas 始终以 ETH 计价。</v>
      </c>
      <c r="D3" s="258"/>
      <c r="E3" s="258"/>
      <c r="F3" s="258"/>
      <c r="G3" s="258"/>
      <c r="H3" s="258"/>
      <c r="I3" s="258"/>
      <c r="J3" s="258"/>
    </row>
    <row r="4" ht="20" customHeight="1">
      <c r="C4" s="253"/>
      <c r="D4" s="253"/>
      <c r="E4" s="253"/>
      <c r="F4" s="253"/>
      <c r="G4" s="253"/>
      <c r="H4" s="253"/>
      <c r="I4" s="253"/>
      <c r="J4" s="253"/>
    </row>
    <row r="5" ht="20" customHeight="1">
      <c r="C5" s="253"/>
      <c r="D5" s="253"/>
      <c r="E5" s="253"/>
      <c r="F5" s="253"/>
      <c r="G5" s="253"/>
      <c r="H5" s="253"/>
      <c r="I5" s="253"/>
      <c r="J5" s="253"/>
    </row>
    <row r="6" ht="20" customHeight="1">
      <c r="C6" s="46" t="str">
        <v>输入参数</v>
      </c>
      <c r="D6" s="47"/>
      <c r="E6" s="47"/>
      <c r="F6" s="48"/>
      <c r="G6" s="253"/>
      <c r="H6" s="46" t="str">
        <v>所选 Quote 链上参数</v>
      </c>
      <c r="I6" s="47"/>
      <c r="J6" s="48"/>
    </row>
    <row r="7" ht="20" customHeight="1">
      <c r="C7" s="253"/>
      <c r="D7" s="253"/>
      <c r="E7" s="253"/>
      <c r="F7" s="253"/>
      <c r="G7" s="253"/>
      <c r="H7" s="253"/>
      <c r="I7" s="253"/>
      <c r="J7" s="253"/>
    </row>
    <row r="8" ht="28" customHeight="1">
      <c r="C8" s="259" t="str">
        <v>Quote</v>
      </c>
      <c r="D8" s="260">
        <f>'控筹模型'!$D$6</f>
      </c>
      <c r="E8" s="261" t="str">
        <v>选择 ETH 或股票 / ETF Quote</v>
      </c>
      <c r="F8" s="253"/>
      <c r="G8" s="253"/>
      <c r="H8" s="262" t="str">
        <v>Quote 名称</v>
      </c>
      <c r="I8" s="263">
        <f>VLOOKUP($D$8,'Quote参数'!$E$9:$J$62,2,FALSE)</f>
      </c>
      <c r="J8" s="253"/>
    </row>
    <row r="9" ht="28" customHeight="1">
      <c r="C9" s="259" t="str">
        <v>目标控筹率</v>
      </c>
      <c r="D9" s="264">
        <f>'控筹模型'!$H$14</f>
      </c>
      <c r="E9" s="261" t="str">
        <v>预算使用目标 + 1% 的理论资金</v>
      </c>
      <c r="F9" s="253"/>
      <c r="G9" s="253"/>
      <c r="H9" s="262" t="str">
        <v>Quote 合约</v>
      </c>
      <c r="I9" s="265">
        <f>VLOOKUP($D$8,'Quote参数'!$E$9:$J$62,3,FALSE)</f>
      </c>
      <c r="J9" s="253"/>
    </row>
    <row r="10" ht="28" customHeight="1">
      <c r="C10" s="259" t="str">
        <v>Creator Tax</v>
      </c>
      <c r="D10" s="264">
        <f>'控筹模型'!$D$12</f>
      </c>
      <c r="E10" s="261" t="str">
        <v>0%–10%，计入内外盘与洗筹费率</v>
      </c>
      <c r="F10" s="253"/>
      <c r="G10" s="253"/>
      <c r="H10" s="262" t="str">
        <v>Decimals</v>
      </c>
      <c r="I10" s="266">
        <f>VLOOKUP($D$8,'Quote参数'!$E$9:$J$62,4,FALSE)</f>
      </c>
      <c r="J10" s="253"/>
    </row>
    <row r="11" ht="28" customHeight="1">
      <c r="C11" s="259" t="str">
        <v>Creator fee recipient</v>
      </c>
      <c r="D11" s="267">
        <f>IF('控筹模型'!$F$14="","",'控筹模型'!$F$14)</f>
      </c>
      <c r="E11" s="261" t="str">
        <v>保留字段，不直接改变当前预算</v>
      </c>
      <c r="F11" s="253"/>
      <c r="G11" s="253"/>
      <c r="H11" s="262" t="str">
        <v>phantom Quote</v>
      </c>
      <c r="I11" s="268">
        <f>VLOOKUP($D$8,'Quote参数'!$E$9:$J$62,5,FALSE)</f>
      </c>
      <c r="J11" s="253"/>
    </row>
    <row r="12" ht="28" customHeight="1">
      <c r="C12" s="259" t="str">
        <v>Buyback enabled</v>
      </c>
      <c r="D12" s="267">
        <f>'控筹模型'!$F$12</f>
      </c>
      <c r="E12" s="261" t="str">
        <v>保留字段，不计即时控筹成本</v>
      </c>
      <c r="F12" s="253"/>
      <c r="G12" s="253"/>
      <c r="H12" s="262" t="str">
        <v>毕业门槛</v>
      </c>
      <c r="I12" s="268">
        <f>VLOOKUP($D$8,'Quote参数'!$E$9:$J$62,6,FALSE)</f>
      </c>
      <c r="J12" s="253"/>
    </row>
    <row r="13" ht="28" customHeight="1">
      <c r="C13" s="259" t="str">
        <v>Snipe-tax exemption</v>
      </c>
      <c r="D13" s="267">
        <f>'控筹模型'!$F$11</f>
      </c>
      <c r="E13" s="261" t="str">
        <v>否时开盘 3 秒动态税未计入本表</v>
      </c>
      <c r="F13" s="253"/>
      <c r="G13" s="253"/>
      <c r="H13" s="262" t="str">
        <v>Meme total supply</v>
      </c>
      <c r="I13" s="268">
        <f>1000000000</f>
      </c>
      <c r="J13" s="253"/>
    </row>
    <row r="14" ht="28" customHeight="1">
      <c r="C14" s="259" t="str">
        <v>内盘地址数</v>
      </c>
      <c r="D14" s="267">
        <f>'控筹模型'!$H$10</f>
      </c>
      <c r="E14" s="261" t="str">
        <v>每套内盘地址</v>
      </c>
      <c r="F14" s="253"/>
      <c r="G14" s="253"/>
      <c r="H14" s="262" t="str">
        <v>V4 初始 Meme</v>
      </c>
      <c r="I14" s="268">
        <f>$I$13*$I$11*$I$12/($I$11+$I$12)^2</f>
      </c>
      <c r="J14" s="253"/>
    </row>
    <row r="15" ht="28" customHeight="1">
      <c r="C15" s="259" t="str">
        <v>内盘地址套数</v>
      </c>
      <c r="D15" s="267">
        <f>'控筹模型'!$H$11</f>
      </c>
      <c r="E15" s="261" t="str">
        <v>第 2 套起作为额外内盘资金</v>
      </c>
      <c r="F15" s="253"/>
      <c r="G15" s="253"/>
      <c r="H15" s="262" t="str">
        <v>Locker Meme</v>
      </c>
      <c r="I15" s="268">
        <f>$I$13*$I$11^2/($I$11+$I$12)^2</f>
      </c>
      <c r="J15" s="253"/>
    </row>
    <row r="16" ht="28" customHeight="1">
      <c r="C16" s="259" t="str">
        <v>外盘地址数</v>
      </c>
      <c r="D16" s="267">
        <f>'控筹模型'!$H$12</f>
      </c>
      <c r="E16" s="261" t="str">
        <v>外盘执行地址</v>
      </c>
      <c r="F16" s="253"/>
      <c r="G16" s="253"/>
      <c r="H16" s="262" t="str">
        <v>当前费率可达上限</v>
      </c>
      <c r="I16" s="269">
        <f>MIN(1-$I$15/$I$13,$I$19+(1-$I$18-$D$10)*$I$14/$I$13)</f>
      </c>
      <c r="J16" s="253"/>
    </row>
    <row r="17" ht="28" customHeight="1">
      <c r="C17" s="259" t="str">
        <v>Holder 地址数</v>
      </c>
      <c r="D17" s="267">
        <f>'控筹模型'!$H$13</f>
      </c>
      <c r="E17" s="261" t="str">
        <v>分散持仓地址</v>
      </c>
      <c r="F17" s="253"/>
      <c r="G17" s="253"/>
      <c r="H17" s="262" t="str">
        <v>内盘费率</v>
      </c>
      <c r="I17" s="269">
        <f>1%</f>
      </c>
      <c r="J17" s="253"/>
    </row>
    <row r="18" ht="28" customHeight="1">
      <c r="C18" s="259" t="str">
        <v>单地址 Gas</v>
      </c>
      <c r="D18" s="270">
        <f>'控筹模型'!$H$7</f>
      </c>
      <c r="E18" s="261" t="str">
        <v>ETH / 地址</v>
      </c>
      <c r="F18" s="253"/>
      <c r="G18" s="253"/>
      <c r="H18" s="262" t="str">
        <v>外盘 Hook 费</v>
      </c>
      <c r="I18" s="269">
        <f>1%</f>
      </c>
      <c r="J18" s="253"/>
    </row>
    <row r="19" ht="28" customHeight="1">
      <c r="C19" s="259" t="str">
        <v>手操 + 刷量预留</v>
      </c>
      <c r="D19" s="270">
        <f>'控筹模型'!$H$8</f>
      </c>
      <c r="E19" s="261" t="str">
        <v>所选 Quote 单位</v>
      </c>
      <c r="F19" s="253"/>
      <c r="G19" s="253"/>
      <c r="H19" s="262" t="str">
        <v>毕业控筹率</v>
      </c>
      <c r="I19" s="269">
        <f>$I$12/($I$11+$I$12)</f>
      </c>
      <c r="J19" s="253"/>
    </row>
    <row r="20" ht="28" customHeight="1">
      <c r="C20" s="259" t="str">
        <v>滑点假设</v>
      </c>
      <c r="D20" s="271">
        <f>'控筹模型'!$F$13</f>
      </c>
      <c r="E20" s="261" t="str">
        <v>保留为 0%，不计入预算</v>
      </c>
      <c r="F20" s="253"/>
      <c r="G20" s="253"/>
      <c r="H20" s="262" t="str">
        <v>Outer K</v>
      </c>
      <c r="I20" s="272">
        <f>$I$14*$I$12</f>
      </c>
      <c r="J20" s="253"/>
    </row>
    <row r="21" ht="20" customHeight="1">
      <c r="C21" s="253"/>
      <c r="D21" s="253"/>
      <c r="E21" s="253"/>
      <c r="F21" s="253"/>
      <c r="G21" s="253"/>
      <c r="H21" s="262" t="str">
        <v>Creator Tax 上限</v>
      </c>
      <c r="I21" s="273">
        <f>10%</f>
      </c>
      <c r="J21" s="253"/>
    </row>
    <row r="22" ht="20" customHeight="1">
      <c r="C22" s="253"/>
      <c r="D22" s="253"/>
      <c r="E22" s="253"/>
      <c r="F22" s="253"/>
      <c r="G22" s="253"/>
      <c r="H22" s="253"/>
      <c r="I22" s="253"/>
      <c r="J22" s="253"/>
    </row>
    <row r="23" ht="20" customHeight="1">
      <c r="C23" s="46" t="str">
        <v>预算结果</v>
      </c>
      <c r="D23" s="47"/>
      <c r="E23" s="47"/>
      <c r="F23" s="48"/>
      <c r="G23" s="253"/>
      <c r="H23" s="46" t="str">
        <v>模型检查</v>
      </c>
      <c r="I23" s="47"/>
      <c r="J23" s="48"/>
    </row>
    <row r="24" ht="20" customHeight="1">
      <c r="C24" s="253"/>
      <c r="D24" s="253"/>
      <c r="E24" s="253"/>
      <c r="F24" s="253"/>
      <c r="G24" s="253"/>
      <c r="H24" s="253"/>
      <c r="I24" s="253"/>
      <c r="J24" s="253"/>
    </row>
    <row r="25" ht="24" customHeight="1">
      <c r="C25" s="65" t="str">
        <v>模型状态</v>
      </c>
      <c r="D25" s="25">
        <f>IF(OR($D$9&lt;0,$D$9&gt;=1),"目标控筹率无效",IF(OR($D$10&lt;0,$D$10&gt;$I$21),"Creator Tax无效",IF($D$26&gt;=$I$16,"目标+1%不可达",IF($D$13="否","可达；Snipe税未计","可达"))))</f>
      </c>
      <c r="E25" s="25" t="str"/>
      <c r="F25" s="69" t="str">
        <v>目标+1% 必须低于 exact-input 当前费率可达上限</v>
      </c>
      <c r="G25" s="253"/>
      <c r="H25" s="65" t="str">
        <v>股票 / ETF Quote 数</v>
      </c>
      <c r="I25" s="33" t="n">
        <v>53</v>
      </c>
      <c r="J25" s="253"/>
    </row>
    <row r="26" ht="24" customHeight="1">
      <c r="C26" s="66" t="str">
        <v>预算使用控筹率</v>
      </c>
      <c r="D26" s="71">
        <f>$D$9+1%</f>
      </c>
      <c r="E26" s="26" t="str">
        <v>控筹率</v>
      </c>
      <c r="F26" s="70" t="str">
        <v>目标控筹率 + 1%</v>
      </c>
      <c r="G26" s="253"/>
      <c r="H26" s="66" t="str">
        <v>当前模型 Quote 数</v>
      </c>
      <c r="I26" s="35" t="n">
        <v>54</v>
      </c>
      <c r="J26" s="253"/>
    </row>
    <row r="27" ht="24" customHeight="1">
      <c r="C27" s="66" t="str">
        <v>一套内盘打满</v>
      </c>
      <c r="D27" s="72">
        <f>IF(1-$I$17-$D$10&gt;0,$I$12/(1-$I$17-$D$10),"")</f>
      </c>
      <c r="E27" s="26">
        <f>$D$8</f>
      </c>
      <c r="F27" s="70" t="str">
        <v>毕业门槛 ÷ (1 - 内盘费 - Creator Tax)</v>
      </c>
      <c r="G27" s="253"/>
      <c r="H27" s="66" t="str">
        <v>Creator recipient</v>
      </c>
      <c r="I27" s="35" t="str">
        <v>保留，不影响公式</v>
      </c>
      <c r="J27" s="253"/>
    </row>
    <row r="28" ht="24" customHeight="1">
      <c r="C28" s="66" t="str">
        <v>目标+1% Pool Meme</v>
      </c>
      <c r="D28" s="72">
        <f>IF($D$26&lt;$I$16,$I$13*(1-$D$26)-$I$15,"")</f>
      </c>
      <c r="E28" s="26" t="str">
        <v>Meme</v>
      </c>
      <c r="F28" s="70" t="str">
        <v>总供应 × (1 - 控筹率) - Locker Meme</v>
      </c>
      <c r="G28" s="253"/>
      <c r="H28" s="66" t="str">
        <v>Buyback</v>
      </c>
      <c r="I28" s="35" t="str">
        <v>保留，不影响即时成本</v>
      </c>
      <c r="J28" s="253"/>
    </row>
    <row r="29" ht="24" customHeight="1">
      <c r="C29" s="66" t="str">
        <v>目标+1% Pool Quote</v>
      </c>
      <c r="D29" s="72">
        <f>IF($D$28="","",$I$20/$D$28)</f>
      </c>
      <c r="E29" s="26">
        <f>$D$8</f>
      </c>
      <c r="F29" s="70" t="str">
        <v>Outer K ÷ Pool Meme</v>
      </c>
      <c r="G29" s="253"/>
      <c r="H29" s="66" t="str">
        <v>Snipe Tax</v>
      </c>
      <c r="I29" s="35" t="str">
        <v>开盘 3 秒动态税，默认豁免/避开</v>
      </c>
      <c r="J29" s="253"/>
    </row>
    <row r="30" ht="24" customHeight="1">
      <c r="C30" s="66" t="str">
        <v>外盘净增加 Quote</v>
      </c>
      <c r="D30" s="72">
        <f>IF($D$29="","",MAX(0,$D$29-$I$12))</f>
      </c>
      <c r="E30" s="26">
        <f>$D$8</f>
      </c>
      <c r="F30" s="70" t="str">
        <v>Pool Quote - 毕业门槛</v>
      </c>
      <c r="G30" s="253"/>
      <c r="H30" s="66" t="str">
        <v>滑点</v>
      </c>
      <c r="I30" s="35" t="str">
        <v>0%，不计入</v>
      </c>
      <c r="J30" s="253"/>
    </row>
    <row r="31" ht="34" customHeight="1">
      <c r="C31" s="66" t="str">
        <v>外盘 exact-input Quote</v>
      </c>
      <c r="D31" s="72">
        <f>IF($D$28="","",$I$20/($I$14-MAX(0,($D$26-$I$19)*$I$13)/(1-$I$18-$D$10))-$I$12)</f>
      </c>
      <c r="E31" s="26">
        <f>$D$8</f>
      </c>
      <c r="F31" s="70" t="str">
        <v>K ÷ [初始 Meme - 净增控筹 Meme ÷ (1 - 输出费率)] - 初始 Quote</v>
      </c>
      <c r="G31" s="253"/>
      <c r="H31" s="65" t="str">
        <v>锁仓结构上限</v>
      </c>
      <c r="I31" s="33" t="str">
        <v>91.8367%（不含输出端 Hook/Creator 扣费）</v>
      </c>
      <c r="J31" s="253"/>
    </row>
    <row r="32" ht="24" customHeight="1">
      <c r="C32" s="66" t="str">
        <v>目标+1% 理论累计所需</v>
      </c>
      <c r="D32" s="72">
        <f>IF($D$31="","",$D$27+$D$31)</f>
      </c>
      <c r="E32" s="26">
        <f>$D$8</f>
      </c>
      <c r="F32" s="70" t="str">
        <v>一套内盘打满 + 外盘含费 Quote</v>
      </c>
      <c r="G32" s="253"/>
      <c r="H32" s="253"/>
      <c r="I32" s="253"/>
      <c r="J32" s="253"/>
    </row>
    <row r="33" ht="24" customHeight="1">
      <c r="C33" s="66" t="str">
        <v>额外内盘资金</v>
      </c>
      <c r="D33" s="72">
        <f>IF($D$27="","",$D$27*MAX(0,$D$15-1))</f>
      </c>
      <c r="E33" s="26">
        <f>$D$8</f>
      </c>
      <c r="F33" s="70" t="str">
        <v>一套内盘打满 × (内盘套数 - 1)</v>
      </c>
      <c r="G33" s="253"/>
      <c r="H33" s="274" t="str">
        <v>口径说明</v>
      </c>
      <c r="I33" s="274" t="str"/>
      <c r="J33" s="274" t="str"/>
    </row>
    <row r="34" ht="24" customHeight="1">
      <c r="C34" s="66" t="str">
        <v>目标+1% FDV</v>
      </c>
      <c r="D34" s="72">
        <f>IF($D$29="","",$D$29/$D$28*$I$13)</f>
      </c>
      <c r="E34" s="26">
        <f>$D$8</f>
      </c>
      <c r="F34" s="70" t="str">
        <v>Pool Quote ÷ Pool Meme × 总供应</v>
      </c>
      <c r="G34" s="253"/>
      <c r="H34" s="275" t="str">
        <v>Quote 总资金</v>
      </c>
      <c r="I34" s="275" t="str">
        <v>目标+1%理论累计 + 额外内盘 + 洗筹损耗 + 预留</v>
      </c>
      <c r="J34" s="275" t="str"/>
    </row>
    <row r="35" ht="24" customHeight="1">
      <c r="C35" s="66" t="str">
        <v>洗筹损耗</v>
      </c>
      <c r="D35" s="72">
        <f>IF($D$34="","",$D$34*($I$18+$D$10)*2)</f>
      </c>
      <c r="E35" s="26">
        <f>$D$8</f>
      </c>
      <c r="F35" s="70" t="str">
        <v>目标+1% FDV × (Hook 费 + Creator Tax) × 2</v>
      </c>
      <c r="G35" s="253"/>
      <c r="H35" s="275" t="str">
        <v>洗筹损耗</v>
      </c>
      <c r="I35" s="275" t="str">
        <v>目标+1% FDV × (1% Hook + Creator Tax) × 2</v>
      </c>
      <c r="J35" s="275" t="str"/>
    </row>
    <row r="36" ht="24" customHeight="1">
      <c r="C36" s="66" t="str">
        <v>手操 + 刷量预留</v>
      </c>
      <c r="D36" s="72">
        <f>$D$19</f>
      </c>
      <c r="E36" s="26">
        <f>$D$8</f>
      </c>
      <c r="F36" s="70" t="str">
        <v>输入值</v>
      </c>
      <c r="G36" s="253"/>
      <c r="H36" s="275" t="str">
        <v>Gas</v>
      </c>
      <c r="I36" s="275" t="str">
        <v>0.005 ETH/地址（默认），不折算进股票 Quote</v>
      </c>
      <c r="J36" s="275" t="str"/>
    </row>
    <row r="37" ht="24" customHeight="1">
      <c r="C37" s="81" t="str">
        <v>建议 Quote 总资金</v>
      </c>
      <c r="D37" s="82">
        <f>IF($D$32="","",SUM($D$32,$D$33,$D$35,$D$36))</f>
      </c>
      <c r="E37" s="81">
        <f>$D$8</f>
      </c>
      <c r="F37" s="83" t="str">
        <v>理论累计 + 额外内盘 + 洗筹损耗 + 预留</v>
      </c>
      <c r="G37" s="253"/>
      <c r="H37" s="275" t="str">
        <v>外盘成交</v>
      </c>
      <c r="I37" s="275" t="str">
        <v>exact-input；Hook fee 与 Creator Tax 从 Meme 输出端扣除</v>
      </c>
      <c r="J37" s="275" t="str"/>
    </row>
    <row r="38" ht="34" customHeight="1">
      <c r="C38" s="66" t="str">
        <v>地址总数</v>
      </c>
      <c r="D38" s="73">
        <f>MAX(0,$D$14)*MAX(0,$D$15)+MAX(0,$D$16)+MAX(0,$D$17)</f>
      </c>
      <c r="E38" s="26" t="str">
        <v>地址</v>
      </c>
      <c r="F38" s="70" t="str">
        <v>内盘地址×套数 + 外盘地址 + Holder 地址</v>
      </c>
      <c r="G38" s="253"/>
      <c r="H38" s="275" t="str">
        <v>Snipe / Buyback</v>
      </c>
      <c r="I38" s="275" t="str">
        <v>Snipe 窗口 3 秒；当前不计动态 Snipe 税或 Buyback 后续行为</v>
      </c>
      <c r="J38" s="275" t="str"/>
    </row>
    <row r="39" ht="24" customHeight="1">
      <c r="C39" s="66" t="str">
        <v>Gas 总额</v>
      </c>
      <c r="D39" s="72">
        <f>$D$38*MAX(0,$D$18)</f>
      </c>
      <c r="E39" s="26" t="str">
        <v>ETH</v>
      </c>
      <c r="F39" s="70" t="str">
        <v>地址总数 × 单地址 Gas</v>
      </c>
      <c r="G39" s="253"/>
      <c r="H39" s="253"/>
      <c r="I39" s="253"/>
      <c r="J39" s="253"/>
    </row>
    <row r="40" ht="24" customHeight="1">
      <c r="C40" s="66" t="str">
        <v>洗筹单边费率</v>
      </c>
      <c r="D40" s="71">
        <f>$I$18+$D$10</f>
      </c>
      <c r="E40" s="26" t="str">
        <v>费率</v>
      </c>
      <c r="F40" s="70" t="str">
        <v>外盘 Hook 费 + Creator Tax</v>
      </c>
      <c r="G40" s="253"/>
      <c r="H40" s="253"/>
      <c r="I40" s="253"/>
      <c r="J40" s="253"/>
    </row>
  </sheetData>
  <dataValidations count="5">
    <dataValidation type="list" sqref="D8">
      <formula1>'Quote参数'!$E$9:$E$62</formula1>
    </dataValidation>
    <dataValidation type="list" sqref="D12">
      <formula1>"否,是"</formula1>
    </dataValidation>
    <dataValidation type="list" sqref="D13">
      <formula1>"是,否"</formula1>
    </dataValidation>
    <dataValidation type="decimal" operator="between" sqref="D9">
      <formula1>0</formula1>
      <formula2>1</formula2>
    </dataValidation>
    <dataValidation type="decimal" operator="between" sqref="D10">
      <formula1>0</formula1>
      <formula2>0.1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0" workbookViewId="0">
      <pane xSplit="5" ySplit="7" topLeftCell="F8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10" hidden="0" customWidth="1"/>
    <col min="4" max="4" width="25" hidden="0" customWidth="1"/>
    <col min="5" max="5" width="13" hidden="0" customWidth="1"/>
    <col min="6" max="6" width="15" hidden="0" customWidth="1"/>
    <col min="7" max="7" width="15" hidden="0" customWidth="1"/>
    <col min="8" max="8" width="18" hidden="0" customWidth="1"/>
    <col min="9" max="9" width="18" hidden="0" customWidth="1"/>
    <col min="10" max="10" width="15" hidden="0" customWidth="1"/>
    <col min="11" max="11" width="19" hidden="0" customWidth="1"/>
    <col min="12" max="12" width="19" hidden="0" customWidth="1"/>
    <col min="13" max="13" width="18" hidden="0" customWidth="1"/>
    <col min="14" max="14" width="19" hidden="0" customWidth="1"/>
    <col min="15" max="15" width="18" hidden="0" customWidth="1"/>
    <col min="16" max="16" width="17" hidden="0" customWidth="1"/>
    <col min="17" max="17" width="18" hidden="0" customWidth="1"/>
    <col min="18" max="18" width="16" hidden="0" customWidth="1"/>
    <col min="19" max="19" width="14" hidden="0" customWidth="1"/>
    <col min="20" max="20" width="18" hidden="0" customWidth="1"/>
    <col min="21" max="21" width="13" hidden="0" customWidth="1"/>
    <col min="22" max="22" width="13" hidden="0" customWidth="1"/>
    <col min="23" max="23" width="22" hidden="0" customWidth="1"/>
  </cols>
  <sheetData>
    <row r="2" ht="26" customHeight="1">
      <c r="C2" s="256" t="str">
        <v>Pons V2 全 Quote 预算</v>
      </c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  <c r="O2" s="257"/>
      <c r="P2" s="257"/>
      <c r="Q2" s="257"/>
      <c r="R2" s="257"/>
      <c r="S2" s="257"/>
      <c r="T2" s="257"/>
      <c r="U2" s="257"/>
      <c r="V2" s="257"/>
      <c r="W2" s="257"/>
    </row>
    <row r="3" ht="20" customHeight="1">
      <c r="C3" s="258" t="str">
        <v>每一行都是独立 Quote 模型，统一读取“单币测算”的目标控筹率与执行假设。修改单币测算黄色输入后，本表全部 54 行同步重算。</v>
      </c>
      <c r="D3" s="258"/>
      <c r="E3" s="258"/>
      <c r="F3" s="258"/>
      <c r="G3" s="258"/>
      <c r="H3" s="258"/>
      <c r="I3" s="258"/>
      <c r="J3" s="258"/>
      <c r="K3" s="258"/>
      <c r="L3" s="258"/>
      <c r="M3" s="258"/>
      <c r="N3" s="258"/>
      <c r="O3" s="258"/>
      <c r="P3" s="258"/>
      <c r="Q3" s="258"/>
      <c r="R3" s="258"/>
      <c r="S3" s="258"/>
      <c r="T3" s="258"/>
      <c r="U3" s="258"/>
      <c r="V3" s="258"/>
      <c r="W3" s="258"/>
    </row>
    <row r="4" ht="20" customHeight="1"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3"/>
      <c r="N4" s="253"/>
      <c r="O4" s="253"/>
      <c r="P4" s="253"/>
      <c r="Q4" s="253"/>
      <c r="R4" s="253"/>
      <c r="S4" s="253"/>
      <c r="T4" s="253"/>
      <c r="U4" s="253"/>
      <c r="V4" s="253"/>
      <c r="W4" s="253"/>
    </row>
    <row r="5" ht="20" customHeight="1">
      <c r="C5" s="276" t="str">
        <v>当前目标</v>
      </c>
      <c r="D5" s="277">
        <f>'单币测算'!$D$9</f>
      </c>
      <c r="E5" s="277" t="str">
        <v>Creator Tax</v>
      </c>
      <c r="F5" s="277">
        <f>'单币测算'!$D$10</f>
      </c>
      <c r="G5" s="276" t="str">
        <v>内盘套数</v>
      </c>
      <c r="H5" s="278">
        <f>'单币测算'!$D$15</f>
      </c>
      <c r="I5" s="278" t="str">
        <v>预留</v>
      </c>
      <c r="J5" s="278">
        <f>'单币测算'!$D$19</f>
      </c>
      <c r="K5" s="278" t="str">
        <v>Gas / 地址</v>
      </c>
      <c r="L5" s="278">
        <f>'单币测算'!$D$18</f>
      </c>
      <c r="M5" s="276" t="str">
        <v>洗筹公式</v>
      </c>
      <c r="N5" s="276" t="str">
        <v>目标+1% FDV × (Hook + Creator Tax) × 2</v>
      </c>
      <c r="O5" s="276"/>
      <c r="P5" s="276"/>
      <c r="Q5" s="276"/>
      <c r="R5" s="276"/>
      <c r="S5" s="276"/>
      <c r="T5" s="276"/>
      <c r="U5" s="276"/>
      <c r="V5" s="276"/>
      <c r="W5" s="276"/>
    </row>
    <row r="6" ht="20" customHeight="1">
      <c r="C6" s="253"/>
      <c r="D6" s="253"/>
      <c r="E6" s="253"/>
      <c r="F6" s="253"/>
      <c r="G6" s="253"/>
      <c r="H6" s="253"/>
      <c r="I6" s="253"/>
      <c r="J6" s="253"/>
      <c r="K6" s="253"/>
      <c r="L6" s="253"/>
      <c r="M6" s="253"/>
      <c r="N6" s="253"/>
      <c r="O6" s="253"/>
      <c r="P6" s="253"/>
      <c r="Q6" s="253"/>
      <c r="R6" s="253"/>
      <c r="S6" s="253"/>
      <c r="T6" s="253"/>
      <c r="U6" s="253"/>
      <c r="V6" s="253"/>
      <c r="W6" s="253"/>
    </row>
    <row r="7" ht="34" customHeight="1">
      <c r="C7" s="20" t="str">
        <v>Symbol</v>
      </c>
      <c r="D7" s="21" t="str">
        <v>名称</v>
      </c>
      <c r="E7" s="21" t="str">
        <v>类别</v>
      </c>
      <c r="F7" s="21" t="str">
        <v>phantom</v>
      </c>
      <c r="G7" s="21" t="str">
        <v>毕业门槛</v>
      </c>
      <c r="H7" s="21" t="str">
        <v>V4 初始 Meme</v>
      </c>
      <c r="I7" s="21" t="str">
        <v>Locker Meme</v>
      </c>
      <c r="J7" s="21" t="str">
        <v>当前费率可达上限</v>
      </c>
      <c r="K7" s="21" t="str">
        <v>目标+1% Pool Meme</v>
      </c>
      <c r="L7" s="21" t="str">
        <v>目标+1% Pool Quote</v>
      </c>
      <c r="M7" s="21" t="str">
        <v>一套内盘打满</v>
      </c>
      <c r="N7" s="21" t="str">
        <v>外盘 exact-input Quote</v>
      </c>
      <c r="O7" s="21" t="str">
        <v>理论累计所需</v>
      </c>
      <c r="P7" s="21" t="str">
        <v>额外内盘</v>
      </c>
      <c r="Q7" s="21" t="str">
        <v>目标+1% FDV</v>
      </c>
      <c r="R7" s="21" t="str">
        <v>洗筹损耗</v>
      </c>
      <c r="S7" s="21" t="str">
        <v>预留</v>
      </c>
      <c r="T7" s="21" t="str">
        <v>建议 Quote 总资金</v>
      </c>
      <c r="U7" s="21" t="str">
        <v>地址总数</v>
      </c>
      <c r="V7" s="21" t="str">
        <v>Gas ETH</v>
      </c>
      <c r="W7" s="22" t="str">
        <v>状态</v>
      </c>
    </row>
    <row r="8" ht="20" customHeight="1">
      <c r="C8" s="33" t="str">
        <v>ETH</v>
      </c>
      <c r="D8" s="33" t="str">
        <v>Ether</v>
      </c>
      <c r="E8" s="33" t="str">
        <v>Native</v>
      </c>
      <c r="F8" s="94" t="n">
        <v>1.68</v>
      </c>
      <c r="G8" s="94" t="n">
        <v>4.2</v>
      </c>
      <c r="H8" s="94">
        <f>1000000000*F8*G8/(F8+G8)^2</f>
      </c>
      <c r="I8" s="94">
        <f>1000000000*F8^2/(F8+G8)^2</f>
      </c>
      <c r="J8" s="96">
        <f>MIN(1-I8/1000000000,5/7+(1-'单币测算'!$I$18-'单币测算'!$D$10)*H8/1000000000)</f>
      </c>
      <c r="K8" s="94">
        <f>IF('单币测算'!$D$26&lt;J8,1000000000*(1-'单币测算'!$D$26)-I8,"")</f>
      </c>
      <c r="L8" s="94">
        <f>IF(K8="","",H8*G8/K8)</f>
      </c>
      <c r="M8" s="94">
        <f>IF(1-'单币测算'!$I$17-'单币测算'!$D$10&gt;0,G8/(1-'单币测算'!$I$17-'单币测算'!$D$10),"")</f>
      </c>
      <c r="N8" s="94">
        <f>IF(K8="","",H8*G8/(H8-MAX(0,('单币测算'!$D$26-5/7)*1000000000)/(1-'单币测算'!$I$18-'单币测算'!$D$10))-G8)</f>
      </c>
      <c r="O8" s="94">
        <f>IF(N8="","",M8+N8)</f>
      </c>
      <c r="P8" s="94">
        <f>IF(M8="","",M8*MAX(0,'单币测算'!$D$15-1))</f>
      </c>
      <c r="Q8" s="94">
        <f>IF(L8="","",L8/K8*1000000000)</f>
      </c>
      <c r="R8" s="94">
        <f>IF(Q8="","",Q8*('单币测算'!$I$18+'单币测算'!$D$10)*2)</f>
      </c>
      <c r="S8" s="94">
        <f>'单币测算'!$D$19</f>
      </c>
      <c r="T8" s="102">
        <f>IF(O8="","",SUM(O8,P8,R8,S8))</f>
      </c>
      <c r="U8" s="98">
        <f>MAX(0,'单币测算'!$D$14)*MAX(0,'单币测算'!$D$15)+MAX(0,'单币测算'!$D$16)+MAX(0,'单币测算'!$D$17)</f>
      </c>
      <c r="V8" s="94">
        <f>U8*MAX(0,'单币测算'!$D$18)</f>
      </c>
      <c r="W8" s="33">
        <f>IF('单币测算'!$D$26&gt;=J8,"不可达",IF('单币测算'!$D$13="否","可达；Snipe税未计","可达"))</f>
      </c>
    </row>
    <row r="9" ht="20" customHeight="1">
      <c r="C9" s="35" t="str">
        <v>AAPL</v>
      </c>
      <c r="D9" s="35" t="str">
        <v>Apple</v>
      </c>
      <c r="E9" s="35" t="str">
        <v>股票 / ETF</v>
      </c>
      <c r="F9" s="95" t="n">
        <v>9.68</v>
      </c>
      <c r="G9" s="95" t="n">
        <v>24.2</v>
      </c>
      <c r="H9" s="95">
        <f>1000000000*F9*G9/(F9+G9)^2</f>
      </c>
      <c r="I9" s="95">
        <f>1000000000*F9^2/(F9+G9)^2</f>
      </c>
      <c r="J9" s="97">
        <f>MIN(1-I9/1000000000,5/7+(1-'单币测算'!$I$18-'单币测算'!$D$10)*H9/1000000000)</f>
      </c>
      <c r="K9" s="95">
        <f>IF('单币测算'!$D$26&lt;J9,1000000000*(1-'单币测算'!$D$26)-I9,"")</f>
      </c>
      <c r="L9" s="95">
        <f>IF(K9="","",H9*G9/K9)</f>
      </c>
      <c r="M9" s="95">
        <f>IF(1-'单币测算'!$I$17-'单币测算'!$D$10&gt;0,G9/(1-'单币测算'!$I$17-'单币测算'!$D$10),"")</f>
      </c>
      <c r="N9" s="95">
        <f>IF(K9="","",H9*G9/(H9-MAX(0,('单币测算'!$D$26-5/7)*1000000000)/(1-'单币测算'!$I$18-'单币测算'!$D$10))-G9)</f>
      </c>
      <c r="O9" s="95">
        <f>IF(N9="","",M9+N9)</f>
      </c>
      <c r="P9" s="95">
        <f>IF(M9="","",M9*MAX(0,'单币测算'!$D$15-1))</f>
      </c>
      <c r="Q9" s="95">
        <f>IF(L9="","",L9/K9*1000000000)</f>
      </c>
      <c r="R9" s="95">
        <f>IF(Q9="","",Q9*('单币测算'!$I$18+'单币测算'!$D$10)*2)</f>
      </c>
      <c r="S9" s="95">
        <f>'单币测算'!$D$19</f>
      </c>
      <c r="T9" s="103">
        <f>IF(O9="","",SUM(O9,P9,R9,S9))</f>
      </c>
      <c r="U9" s="99">
        <f>MAX(0,'单币测算'!$D$14)*MAX(0,'单币测算'!$D$15)+MAX(0,'单币测算'!$D$16)+MAX(0,'单币测算'!$D$17)</f>
      </c>
      <c r="V9" s="95">
        <f>U9*MAX(0,'单币测算'!$D$18)</f>
      </c>
      <c r="W9" s="35">
        <f>IF('单币测算'!$D$26&gt;=J9,"不可达",IF('单币测算'!$D$13="否","可达；Snipe税未计","可达"))</f>
      </c>
    </row>
    <row r="10" ht="20" customHeight="1">
      <c r="C10" s="35" t="str">
        <v>AMC</v>
      </c>
      <c r="D10" s="35" t="str">
        <v>AMC Entertainment</v>
      </c>
      <c r="E10" s="35" t="str">
        <v>股票 / ETF</v>
      </c>
      <c r="F10" s="95" t="n">
        <v>1536.0258736059484</v>
      </c>
      <c r="G10" s="95" t="n">
        <v>3840.0646840148715</v>
      </c>
      <c r="H10" s="95">
        <f>1000000000*F10*G10/(F10+G10)^2</f>
      </c>
      <c r="I10" s="95">
        <f>1000000000*F10^2/(F10+G10)^2</f>
      </c>
      <c r="J10" s="97">
        <f>MIN(1-I10/1000000000,5/7+(1-'单币测算'!$I$18-'单币测算'!$D$10)*H10/1000000000)</f>
      </c>
      <c r="K10" s="95">
        <f>IF('单币测算'!$D$26&lt;J10,1000000000*(1-'单币测算'!$D$26)-I10,"")</f>
      </c>
      <c r="L10" s="95">
        <f>IF(K10="","",H10*G10/K10)</f>
      </c>
      <c r="M10" s="95">
        <f>IF(1-'单币测算'!$I$17-'单币测算'!$D$10&gt;0,G10/(1-'单币测算'!$I$17-'单币测算'!$D$10),"")</f>
      </c>
      <c r="N10" s="95">
        <f>IF(K10="","",H10*G10/(H10-MAX(0,('单币测算'!$D$26-5/7)*1000000000)/(1-'单币测算'!$I$18-'单币测算'!$D$10))-G10)</f>
      </c>
      <c r="O10" s="95">
        <f>IF(N10="","",M10+N10)</f>
      </c>
      <c r="P10" s="95">
        <f>IF(M10="","",M10*MAX(0,'单币测算'!$D$15-1))</f>
      </c>
      <c r="Q10" s="95">
        <f>IF(L10="","",L10/K10*1000000000)</f>
      </c>
      <c r="R10" s="95">
        <f>IF(Q10="","",Q10*('单币测算'!$I$18+'单币测算'!$D$10)*2)</f>
      </c>
      <c r="S10" s="95">
        <f>'单币测算'!$D$19</f>
      </c>
      <c r="T10" s="103">
        <f>IF(O10="","",SUM(O10,P10,R10,S10))</f>
      </c>
      <c r="U10" s="99">
        <f>MAX(0,'单币测算'!$D$14)*MAX(0,'单币测算'!$D$15)+MAX(0,'单币测算'!$D$16)+MAX(0,'单币测算'!$D$17)</f>
      </c>
      <c r="V10" s="95">
        <f>U10*MAX(0,'单币测算'!$D$18)</f>
      </c>
      <c r="W10" s="35">
        <f>IF('单币测算'!$D$26&gt;=J10,"不可达",IF('单币测算'!$D$13="否","可达；Snipe税未计","可达"))</f>
      </c>
    </row>
    <row r="11" ht="20" customHeight="1">
      <c r="C11" s="35" t="str">
        <v>AMD</v>
      </c>
      <c r="D11" s="35" t="str">
        <v>Advanced Micro Devices</v>
      </c>
      <c r="E11" s="35" t="str">
        <v>股票 / ETF</v>
      </c>
      <c r="F11" s="95" t="n">
        <v>6.66620183638</v>
      </c>
      <c r="G11" s="95" t="n">
        <v>16.66550459095</v>
      </c>
      <c r="H11" s="95">
        <f>1000000000*F11*G11/(F11+G11)^2</f>
      </c>
      <c r="I11" s="95">
        <f>1000000000*F11^2/(F11+G11)^2</f>
      </c>
      <c r="J11" s="97">
        <f>MIN(1-I11/1000000000,5/7+(1-'单币测算'!$I$18-'单币测算'!$D$10)*H11/1000000000)</f>
      </c>
      <c r="K11" s="95">
        <f>IF('单币测算'!$D$26&lt;J11,1000000000*(1-'单币测算'!$D$26)-I11,"")</f>
      </c>
      <c r="L11" s="95">
        <f>IF(K11="","",H11*G11/K11)</f>
      </c>
      <c r="M11" s="95">
        <f>IF(1-'单币测算'!$I$17-'单币测算'!$D$10&gt;0,G11/(1-'单币测算'!$I$17-'单币测算'!$D$10),"")</f>
      </c>
      <c r="N11" s="95">
        <f>IF(K11="","",H11*G11/(H11-MAX(0,('单币测算'!$D$26-5/7)*1000000000)/(1-'单币测算'!$I$18-'单币测算'!$D$10))-G11)</f>
      </c>
      <c r="O11" s="95">
        <f>IF(N11="","",M11+N11)</f>
      </c>
      <c r="P11" s="95">
        <f>IF(M11="","",M11*MAX(0,'单币测算'!$D$15-1))</f>
      </c>
      <c r="Q11" s="95">
        <f>IF(L11="","",L11/K11*1000000000)</f>
      </c>
      <c r="R11" s="95">
        <f>IF(Q11="","",Q11*('单币测算'!$I$18+'单币测算'!$D$10)*2)</f>
      </c>
      <c r="S11" s="95">
        <f>'单币测算'!$D$19</f>
      </c>
      <c r="T11" s="103">
        <f>IF(O11="","",SUM(O11,P11,R11,S11))</f>
      </c>
      <c r="U11" s="99">
        <f>MAX(0,'单币测算'!$D$14)*MAX(0,'单币测算'!$D$15)+MAX(0,'单币测算'!$D$16)+MAX(0,'单币测算'!$D$17)</f>
      </c>
      <c r="V11" s="95">
        <f>U11*MAX(0,'单币测算'!$D$18)</f>
      </c>
      <c r="W11" s="35">
        <f>IF('单币测算'!$D$26&gt;=J11,"不可达",IF('单币测算'!$D$13="否","可达；Snipe税未计","可达"))</f>
      </c>
    </row>
    <row r="12" ht="20" customHeight="1">
      <c r="C12" s="35" t="str">
        <v>AMZN</v>
      </c>
      <c r="D12" s="35" t="str">
        <v>Amazon</v>
      </c>
      <c r="E12" s="35" t="str">
        <v>股票 / ETF</v>
      </c>
      <c r="F12" s="95" t="n">
        <v>11.73211643685</v>
      </c>
      <c r="G12" s="95" t="n">
        <v>29.330291092125</v>
      </c>
      <c r="H12" s="95">
        <f>1000000000*F12*G12/(F12+G12)^2</f>
      </c>
      <c r="I12" s="95">
        <f>1000000000*F12^2/(F12+G12)^2</f>
      </c>
      <c r="J12" s="97">
        <f>MIN(1-I12/1000000000,5/7+(1-'单币测算'!$I$18-'单币测算'!$D$10)*H12/1000000000)</f>
      </c>
      <c r="K12" s="95">
        <f>IF('单币测算'!$D$26&lt;J12,1000000000*(1-'单币测算'!$D$26)-I12,"")</f>
      </c>
      <c r="L12" s="95">
        <f>IF(K12="","",H12*G12/K12)</f>
      </c>
      <c r="M12" s="95">
        <f>IF(1-'单币测算'!$I$17-'单币测算'!$D$10&gt;0,G12/(1-'单币测算'!$I$17-'单币测算'!$D$10),"")</f>
      </c>
      <c r="N12" s="95">
        <f>IF(K12="","",H12*G12/(H12-MAX(0,('单币测算'!$D$26-5/7)*1000000000)/(1-'单币测算'!$I$18-'单币测算'!$D$10))-G12)</f>
      </c>
      <c r="O12" s="95">
        <f>IF(N12="","",M12+N12)</f>
      </c>
      <c r="P12" s="95">
        <f>IF(M12="","",M12*MAX(0,'单币测算'!$D$15-1))</f>
      </c>
      <c r="Q12" s="95">
        <f>IF(L12="","",L12/K12*1000000000)</f>
      </c>
      <c r="R12" s="95">
        <f>IF(Q12="","",Q12*('单币测算'!$I$18+'单币测算'!$D$10)*2)</f>
      </c>
      <c r="S12" s="95">
        <f>'单币测算'!$D$19</f>
      </c>
      <c r="T12" s="103">
        <f>IF(O12="","",SUM(O12,P12,R12,S12))</f>
      </c>
      <c r="U12" s="99">
        <f>MAX(0,'单币测算'!$D$14)*MAX(0,'单币测算'!$D$15)+MAX(0,'单币测算'!$D$16)+MAX(0,'单币测算'!$D$17)</f>
      </c>
      <c r="V12" s="95">
        <f>U12*MAX(0,'单币测算'!$D$18)</f>
      </c>
      <c r="W12" s="35">
        <f>IF('单币测算'!$D$26&gt;=J12,"不可达",IF('单币测算'!$D$13="否","可达；Snipe税未计","可达"))</f>
      </c>
    </row>
    <row r="13" ht="20" customHeight="1">
      <c r="C13" s="35" t="str">
        <v>BABA</v>
      </c>
      <c r="D13" s="35" t="str">
        <v>Alibaba</v>
      </c>
      <c r="E13" s="35" t="str">
        <v>股票 / ETF</v>
      </c>
      <c r="F13" s="95" t="n">
        <v>36.51387062566278</v>
      </c>
      <c r="G13" s="95" t="n">
        <v>91.28467656415695</v>
      </c>
      <c r="H13" s="95">
        <f>1000000000*F13*G13/(F13+G13)^2</f>
      </c>
      <c r="I13" s="95">
        <f>1000000000*F13^2/(F13+G13)^2</f>
      </c>
      <c r="J13" s="97">
        <f>MIN(1-I13/1000000000,5/7+(1-'单币测算'!$I$18-'单币测算'!$D$10)*H13/1000000000)</f>
      </c>
      <c r="K13" s="95">
        <f>IF('单币测算'!$D$26&lt;J13,1000000000*(1-'单币测算'!$D$26)-I13,"")</f>
      </c>
      <c r="L13" s="95">
        <f>IF(K13="","",H13*G13/K13)</f>
      </c>
      <c r="M13" s="95">
        <f>IF(1-'单币测算'!$I$17-'单币测算'!$D$10&gt;0,G13/(1-'单币测算'!$I$17-'单币测算'!$D$10),"")</f>
      </c>
      <c r="N13" s="95">
        <f>IF(K13="","",H13*G13/(H13-MAX(0,('单币测算'!$D$26-5/7)*1000000000)/(1-'单币测算'!$I$18-'单币测算'!$D$10))-G13)</f>
      </c>
      <c r="O13" s="95">
        <f>IF(N13="","",M13+N13)</f>
      </c>
      <c r="P13" s="95">
        <f>IF(M13="","",M13*MAX(0,'单币测算'!$D$15-1))</f>
      </c>
      <c r="Q13" s="95">
        <f>IF(L13="","",L13/K13*1000000000)</f>
      </c>
      <c r="R13" s="95">
        <f>IF(Q13="","",Q13*('单币测算'!$I$18+'单币测算'!$D$10)*2)</f>
      </c>
      <c r="S13" s="95">
        <f>'单币测算'!$D$19</f>
      </c>
      <c r="T13" s="103">
        <f>IF(O13="","",SUM(O13,P13,R13,S13))</f>
      </c>
      <c r="U13" s="99">
        <f>MAX(0,'单币测算'!$D$14)*MAX(0,'单币测算'!$D$15)+MAX(0,'单币测算'!$D$16)+MAX(0,'单币测算'!$D$17)</f>
      </c>
      <c r="V13" s="95">
        <f>U13*MAX(0,'单币测算'!$D$18)</f>
      </c>
      <c r="W13" s="35">
        <f>IF('单币测算'!$D$26&gt;=J13,"不可达",IF('单币测算'!$D$13="否","可达；Snipe税未计","可达"))</f>
      </c>
    </row>
    <row r="14" ht="20" customHeight="1">
      <c r="C14" s="35" t="str">
        <v>BB</v>
      </c>
      <c r="D14" s="35" t="str">
        <v>BlackBerry</v>
      </c>
      <c r="E14" s="35" t="str">
        <v>股票 / ETF</v>
      </c>
      <c r="F14" s="95" t="n">
        <v>503.824570024</v>
      </c>
      <c r="G14" s="95" t="n">
        <v>1259.56142506</v>
      </c>
      <c r="H14" s="95">
        <f>1000000000*F14*G14/(F14+G14)^2</f>
      </c>
      <c r="I14" s="95">
        <f>1000000000*F14^2/(F14+G14)^2</f>
      </c>
      <c r="J14" s="97">
        <f>MIN(1-I14/1000000000,5/7+(1-'单币测算'!$I$18-'单币测算'!$D$10)*H14/1000000000)</f>
      </c>
      <c r="K14" s="95">
        <f>IF('单币测算'!$D$26&lt;J14,1000000000*(1-'单币测算'!$D$26)-I14,"")</f>
      </c>
      <c r="L14" s="95">
        <f>IF(K14="","",H14*G14/K14)</f>
      </c>
      <c r="M14" s="95">
        <f>IF(1-'单币测算'!$I$17-'单币测算'!$D$10&gt;0,G14/(1-'单币测算'!$I$17-'单币测算'!$D$10),"")</f>
      </c>
      <c r="N14" s="95">
        <f>IF(K14="","",H14*G14/(H14-MAX(0,('单币测算'!$D$26-5/7)*1000000000)/(1-'单币测算'!$I$18-'单币测算'!$D$10))-G14)</f>
      </c>
      <c r="O14" s="95">
        <f>IF(N14="","",M14+N14)</f>
      </c>
      <c r="P14" s="95">
        <f>IF(M14="","",M14*MAX(0,'单币测算'!$D$15-1))</f>
      </c>
      <c r="Q14" s="95">
        <f>IF(L14="","",L14/K14*1000000000)</f>
      </c>
      <c r="R14" s="95">
        <f>IF(Q14="","",Q14*('单币测算'!$I$18+'单币测算'!$D$10)*2)</f>
      </c>
      <c r="S14" s="95">
        <f>'单币测算'!$D$19</f>
      </c>
      <c r="T14" s="103">
        <f>IF(O14="","",SUM(O14,P14,R14,S14))</f>
      </c>
      <c r="U14" s="99">
        <f>MAX(0,'单币测算'!$D$14)*MAX(0,'单币测算'!$D$15)+MAX(0,'单币测算'!$D$16)+MAX(0,'单币测算'!$D$17)</f>
      </c>
      <c r="V14" s="95">
        <f>U14*MAX(0,'单币测算'!$D$18)</f>
      </c>
      <c r="W14" s="35">
        <f>IF('单币测算'!$D$26&gt;=J14,"不可达",IF('单币测算'!$D$13="否","可达；Snipe税未计","可达"))</f>
      </c>
    </row>
    <row r="15" ht="20" customHeight="1">
      <c r="C15" s="35" t="str">
        <v>BE</v>
      </c>
      <c r="D15" s="35" t="str">
        <v>Bloom Energy</v>
      </c>
      <c r="E15" s="35" t="str">
        <v>股票 / ETF</v>
      </c>
      <c r="F15" s="95" t="n">
        <v>16.82031182576837</v>
      </c>
      <c r="G15" s="95" t="n">
        <v>42.05077956442092</v>
      </c>
      <c r="H15" s="95">
        <f>1000000000*F15*G15/(F15+G15)^2</f>
      </c>
      <c r="I15" s="95">
        <f>1000000000*F15^2/(F15+G15)^2</f>
      </c>
      <c r="J15" s="97">
        <f>MIN(1-I15/1000000000,5/7+(1-'单币测算'!$I$18-'单币测算'!$D$10)*H15/1000000000)</f>
      </c>
      <c r="K15" s="95">
        <f>IF('单币测算'!$D$26&lt;J15,1000000000*(1-'单币测算'!$D$26)-I15,"")</f>
      </c>
      <c r="L15" s="95">
        <f>IF(K15="","",H15*G15/K15)</f>
      </c>
      <c r="M15" s="95">
        <f>IF(1-'单币测算'!$I$17-'单币测算'!$D$10&gt;0,G15/(1-'单币测算'!$I$17-'单币测算'!$D$10),"")</f>
      </c>
      <c r="N15" s="95">
        <f>IF(K15="","",H15*G15/(H15-MAX(0,('单币测算'!$D$26-5/7)*1000000000)/(1-'单币测算'!$I$18-'单币测算'!$D$10))-G15)</f>
      </c>
      <c r="O15" s="95">
        <f>IF(N15="","",M15+N15)</f>
      </c>
      <c r="P15" s="95">
        <f>IF(M15="","",M15*MAX(0,'单币测算'!$D$15-1))</f>
      </c>
      <c r="Q15" s="95">
        <f>IF(L15="","",L15/K15*1000000000)</f>
      </c>
      <c r="R15" s="95">
        <f>IF(Q15="","",Q15*('单币测算'!$I$18+'单币测算'!$D$10)*2)</f>
      </c>
      <c r="S15" s="95">
        <f>'单币测算'!$D$19</f>
      </c>
      <c r="T15" s="103">
        <f>IF(O15="","",SUM(O15,P15,R15,S15))</f>
      </c>
      <c r="U15" s="99">
        <f>MAX(0,'单币测算'!$D$14)*MAX(0,'单币测算'!$D$15)+MAX(0,'单币测算'!$D$16)+MAX(0,'单币测算'!$D$17)</f>
      </c>
      <c r="V15" s="95">
        <f>U15*MAX(0,'单币测算'!$D$18)</f>
      </c>
      <c r="W15" s="35">
        <f>IF('单币测算'!$D$26&gt;=J15,"不可达",IF('单币测算'!$D$13="否","可达；Snipe税未计","可达"))</f>
      </c>
    </row>
    <row r="16" ht="20" customHeight="1">
      <c r="C16" s="35" t="str">
        <v>BULL</v>
      </c>
      <c r="D16" s="35" t="str">
        <v>Webull</v>
      </c>
      <c r="E16" s="35" t="str">
        <v>股票 / ETF</v>
      </c>
      <c r="F16" s="95" t="n">
        <v>421.8386523736601</v>
      </c>
      <c r="G16" s="95" t="n">
        <v>1054.5966309341502</v>
      </c>
      <c r="H16" s="95">
        <f>1000000000*F16*G16/(F16+G16)^2</f>
      </c>
      <c r="I16" s="95">
        <f>1000000000*F16^2/(F16+G16)^2</f>
      </c>
      <c r="J16" s="97">
        <f>MIN(1-I16/1000000000,5/7+(1-'单币测算'!$I$18-'单币测算'!$D$10)*H16/1000000000)</f>
      </c>
      <c r="K16" s="95">
        <f>IF('单币测算'!$D$26&lt;J16,1000000000*(1-'单币测算'!$D$26)-I16,"")</f>
      </c>
      <c r="L16" s="95">
        <f>IF(K16="","",H16*G16/K16)</f>
      </c>
      <c r="M16" s="95">
        <f>IF(1-'单币测算'!$I$17-'单币测算'!$D$10&gt;0,G16/(1-'单币测算'!$I$17-'单币测算'!$D$10),"")</f>
      </c>
      <c r="N16" s="95">
        <f>IF(K16="","",H16*G16/(H16-MAX(0,('单币测算'!$D$26-5/7)*1000000000)/(1-'单币测算'!$I$18-'单币测算'!$D$10))-G16)</f>
      </c>
      <c r="O16" s="95">
        <f>IF(N16="","",M16+N16)</f>
      </c>
      <c r="P16" s="95">
        <f>IF(M16="","",M16*MAX(0,'单币测算'!$D$15-1))</f>
      </c>
      <c r="Q16" s="95">
        <f>IF(L16="","",L16/K16*1000000000)</f>
      </c>
      <c r="R16" s="95">
        <f>IF(Q16="","",Q16*('单币测算'!$I$18+'单币测算'!$D$10)*2)</f>
      </c>
      <c r="S16" s="95">
        <f>'单币测算'!$D$19</f>
      </c>
      <c r="T16" s="103">
        <f>IF(O16="","",SUM(O16,P16,R16,S16))</f>
      </c>
      <c r="U16" s="99">
        <f>MAX(0,'单币测算'!$D$14)*MAX(0,'单币测算'!$D$15)+MAX(0,'单币测算'!$D$16)+MAX(0,'单币测算'!$D$17)</f>
      </c>
      <c r="V16" s="95">
        <f>U16*MAX(0,'单币测算'!$D$18)</f>
      </c>
      <c r="W16" s="35">
        <f>IF('单币测算'!$D$26&gt;=J16,"不可达",IF('单币测算'!$D$13="否","可达；Snipe税未计","可达"))</f>
      </c>
    </row>
    <row r="17" ht="20" customHeight="1">
      <c r="C17" s="35" t="str">
        <v>COIN</v>
      </c>
      <c r="D17" s="35" t="str">
        <v>Coinbase</v>
      </c>
      <c r="E17" s="35" t="str">
        <v>股票 / ETF</v>
      </c>
      <c r="F17" s="95" t="n">
        <v>20.98826938136</v>
      </c>
      <c r="G17" s="95" t="n">
        <v>52.4706734534</v>
      </c>
      <c r="H17" s="95">
        <f>1000000000*F17*G17/(F17+G17)^2</f>
      </c>
      <c r="I17" s="95">
        <f>1000000000*F17^2/(F17+G17)^2</f>
      </c>
      <c r="J17" s="97">
        <f>MIN(1-I17/1000000000,5/7+(1-'单币测算'!$I$18-'单币测算'!$D$10)*H17/1000000000)</f>
      </c>
      <c r="K17" s="95">
        <f>IF('单币测算'!$D$26&lt;J17,1000000000*(1-'单币测算'!$D$26)-I17,"")</f>
      </c>
      <c r="L17" s="95">
        <f>IF(K17="","",H17*G17/K17)</f>
      </c>
      <c r="M17" s="95">
        <f>IF(1-'单币测算'!$I$17-'单币测算'!$D$10&gt;0,G17/(1-'单币测算'!$I$17-'单币测算'!$D$10),"")</f>
      </c>
      <c r="N17" s="95">
        <f>IF(K17="","",H17*G17/(H17-MAX(0,('单币测算'!$D$26-5/7)*1000000000)/(1-'单币测算'!$I$18-'单币测算'!$D$10))-G17)</f>
      </c>
      <c r="O17" s="95">
        <f>IF(N17="","",M17+N17)</f>
      </c>
      <c r="P17" s="95">
        <f>IF(M17="","",M17*MAX(0,'单币测算'!$D$15-1))</f>
      </c>
      <c r="Q17" s="95">
        <f>IF(L17="","",L17/K17*1000000000)</f>
      </c>
      <c r="R17" s="95">
        <f>IF(Q17="","",Q17*('单币测算'!$I$18+'单币测算'!$D$10)*2)</f>
      </c>
      <c r="S17" s="95">
        <f>'单币测算'!$D$19</f>
      </c>
      <c r="T17" s="103">
        <f>IF(O17="","",SUM(O17,P17,R17,S17))</f>
      </c>
      <c r="U17" s="99">
        <f>MAX(0,'单币测算'!$D$14)*MAX(0,'单币测算'!$D$15)+MAX(0,'单币测算'!$D$16)+MAX(0,'单币测算'!$D$17)</f>
      </c>
      <c r="V17" s="95">
        <f>U17*MAX(0,'单币测算'!$D$18)</f>
      </c>
      <c r="W17" s="35">
        <f>IF('单币测算'!$D$26&gt;=J17,"不可达",IF('单币测算'!$D$13="否","可达；Snipe税未计","可达"))</f>
      </c>
    </row>
    <row r="18" ht="20" customHeight="1">
      <c r="C18" s="35" t="str">
        <v>COST</v>
      </c>
      <c r="D18" s="35" t="str">
        <v>Costco</v>
      </c>
      <c r="E18" s="35" t="str">
        <v>股票 / ETF</v>
      </c>
      <c r="F18" s="95" t="n">
        <v>3.388162372132</v>
      </c>
      <c r="G18" s="95" t="n">
        <v>8.47040593033</v>
      </c>
      <c r="H18" s="95">
        <f>1000000000*F18*G18/(F18+G18)^2</f>
      </c>
      <c r="I18" s="95">
        <f>1000000000*F18^2/(F18+G18)^2</f>
      </c>
      <c r="J18" s="97">
        <f>MIN(1-I18/1000000000,5/7+(1-'单币测算'!$I$18-'单币测算'!$D$10)*H18/1000000000)</f>
      </c>
      <c r="K18" s="95">
        <f>IF('单币测算'!$D$26&lt;J18,1000000000*(1-'单币测算'!$D$26)-I18,"")</f>
      </c>
      <c r="L18" s="95">
        <f>IF(K18="","",H18*G18/K18)</f>
      </c>
      <c r="M18" s="95">
        <f>IF(1-'单币测算'!$I$17-'单币测算'!$D$10&gt;0,G18/(1-'单币测算'!$I$17-'单币测算'!$D$10),"")</f>
      </c>
      <c r="N18" s="95">
        <f>IF(K18="","",H18*G18/(H18-MAX(0,('单币测算'!$D$26-5/7)*1000000000)/(1-'单币测算'!$I$18-'单币测算'!$D$10))-G18)</f>
      </c>
      <c r="O18" s="95">
        <f>IF(N18="","",M18+N18)</f>
      </c>
      <c r="P18" s="95">
        <f>IF(M18="","",M18*MAX(0,'单币测算'!$D$15-1))</f>
      </c>
      <c r="Q18" s="95">
        <f>IF(L18="","",L18/K18*1000000000)</f>
      </c>
      <c r="R18" s="95">
        <f>IF(Q18="","",Q18*('单币测算'!$I$18+'单币测算'!$D$10)*2)</f>
      </c>
      <c r="S18" s="95">
        <f>'单币测算'!$D$19</f>
      </c>
      <c r="T18" s="103">
        <f>IF(O18="","",SUM(O18,P18,R18,S18))</f>
      </c>
      <c r="U18" s="99">
        <f>MAX(0,'单币测算'!$D$14)*MAX(0,'单币测算'!$D$15)+MAX(0,'单币测算'!$D$16)+MAX(0,'单币测算'!$D$17)</f>
      </c>
      <c r="V18" s="95">
        <f>U18*MAX(0,'单币测算'!$D$18)</f>
      </c>
      <c r="W18" s="35">
        <f>IF('单币测算'!$D$26&gt;=J18,"不可达",IF('单币测算'!$D$13="否","可达；Snipe税未计","可达"))</f>
      </c>
    </row>
    <row r="19" ht="20" customHeight="1">
      <c r="C19" s="35" t="str">
        <v>CRCL</v>
      </c>
      <c r="D19" s="35" t="str">
        <v>Circle Internet Group</v>
      </c>
      <c r="E19" s="35" t="str">
        <v>股票 / ETF</v>
      </c>
      <c r="F19" s="95" t="n">
        <v>47.9606680584</v>
      </c>
      <c r="G19" s="95" t="n">
        <v>119.901670146</v>
      </c>
      <c r="H19" s="95">
        <f>1000000000*F19*G19/(F19+G19)^2</f>
      </c>
      <c r="I19" s="95">
        <f>1000000000*F19^2/(F19+G19)^2</f>
      </c>
      <c r="J19" s="97">
        <f>MIN(1-I19/1000000000,5/7+(1-'单币测算'!$I$18-'单币测算'!$D$10)*H19/1000000000)</f>
      </c>
      <c r="K19" s="95">
        <f>IF('单币测算'!$D$26&lt;J19,1000000000*(1-'单币测算'!$D$26)-I19,"")</f>
      </c>
      <c r="L19" s="95">
        <f>IF(K19="","",H19*G19/K19)</f>
      </c>
      <c r="M19" s="95">
        <f>IF(1-'单币测算'!$I$17-'单币测算'!$D$10&gt;0,G19/(1-'单币测算'!$I$17-'单币测算'!$D$10),"")</f>
      </c>
      <c r="N19" s="95">
        <f>IF(K19="","",H19*G19/(H19-MAX(0,('单币测算'!$D$26-5/7)*1000000000)/(1-'单币测算'!$I$18-'单币测算'!$D$10))-G19)</f>
      </c>
      <c r="O19" s="95">
        <f>IF(N19="","",M19+N19)</f>
      </c>
      <c r="P19" s="95">
        <f>IF(M19="","",M19*MAX(0,'单币测算'!$D$15-1))</f>
      </c>
      <c r="Q19" s="95">
        <f>IF(L19="","",L19/K19*1000000000)</f>
      </c>
      <c r="R19" s="95">
        <f>IF(Q19="","",Q19*('单币测算'!$I$18+'单币测算'!$D$10)*2)</f>
      </c>
      <c r="S19" s="95">
        <f>'单币测算'!$D$19</f>
      </c>
      <c r="T19" s="103">
        <f>IF(O19="","",SUM(O19,P19,R19,S19))</f>
      </c>
      <c r="U19" s="99">
        <f>MAX(0,'单币测算'!$D$14)*MAX(0,'单币测算'!$D$15)+MAX(0,'单币测算'!$D$16)+MAX(0,'单币测算'!$D$17)</f>
      </c>
      <c r="V19" s="95">
        <f>U19*MAX(0,'单币测算'!$D$18)</f>
      </c>
      <c r="W19" s="35">
        <f>IF('单币测算'!$D$26&gt;=J19,"不可达",IF('单币测算'!$D$13="否","可达；Snipe税未计","可达"))</f>
      </c>
    </row>
    <row r="20" ht="20" customHeight="1">
      <c r="C20" s="35" t="str">
        <v>DELL</v>
      </c>
      <c r="D20" s="35" t="str">
        <v>Dell Technologies</v>
      </c>
      <c r="E20" s="35" t="str">
        <v>股票 / ETF</v>
      </c>
      <c r="F20" s="95" t="n">
        <v>9.52812988236</v>
      </c>
      <c r="G20" s="95" t="n">
        <v>23.8203247059</v>
      </c>
      <c r="H20" s="95">
        <f>1000000000*F20*G20/(F20+G20)^2</f>
      </c>
      <c r="I20" s="95">
        <f>1000000000*F20^2/(F20+G20)^2</f>
      </c>
      <c r="J20" s="97">
        <f>MIN(1-I20/1000000000,5/7+(1-'单币测算'!$I$18-'单币测算'!$D$10)*H20/1000000000)</f>
      </c>
      <c r="K20" s="95">
        <f>IF('单币测算'!$D$26&lt;J20,1000000000*(1-'单币测算'!$D$26)-I20,"")</f>
      </c>
      <c r="L20" s="95">
        <f>IF(K20="","",H20*G20/K20)</f>
      </c>
      <c r="M20" s="95">
        <f>IF(1-'单币测算'!$I$17-'单币测算'!$D$10&gt;0,G20/(1-'单币测算'!$I$17-'单币测算'!$D$10),"")</f>
      </c>
      <c r="N20" s="95">
        <f>IF(K20="","",H20*G20/(H20-MAX(0,('单币测算'!$D$26-5/7)*1000000000)/(1-'单币测算'!$I$18-'单币测算'!$D$10))-G20)</f>
      </c>
      <c r="O20" s="95">
        <f>IF(N20="","",M20+N20)</f>
      </c>
      <c r="P20" s="95">
        <f>IF(M20="","",M20*MAX(0,'单币测算'!$D$15-1))</f>
      </c>
      <c r="Q20" s="95">
        <f>IF(L20="","",L20/K20*1000000000)</f>
      </c>
      <c r="R20" s="95">
        <f>IF(Q20="","",Q20*('单币测算'!$I$18+'单币测算'!$D$10)*2)</f>
      </c>
      <c r="S20" s="95">
        <f>'单币测算'!$D$19</f>
      </c>
      <c r="T20" s="103">
        <f>IF(O20="","",SUM(O20,P20,R20,S20))</f>
      </c>
      <c r="U20" s="99">
        <f>MAX(0,'单币测算'!$D$14)*MAX(0,'单币测算'!$D$15)+MAX(0,'单币测算'!$D$16)+MAX(0,'单币测算'!$D$17)</f>
      </c>
      <c r="V20" s="95">
        <f>U20*MAX(0,'单币测算'!$D$18)</f>
      </c>
      <c r="W20" s="35">
        <f>IF('单币测算'!$D$26&gt;=J20,"不可达",IF('单币测算'!$D$13="否","可达；Snipe税未计","可达"))</f>
      </c>
    </row>
    <row r="21" ht="20" customHeight="1">
      <c r="C21" s="35" t="str">
        <v>DJT</v>
      </c>
      <c r="D21" s="35" t="str">
        <v>Trump Media &amp; Technology Group</v>
      </c>
      <c r="E21" s="35" t="str">
        <v>股票 / ETF</v>
      </c>
      <c r="F21" s="95" t="n">
        <v>366.8648806576</v>
      </c>
      <c r="G21" s="95" t="n">
        <v>917.162201644</v>
      </c>
      <c r="H21" s="95">
        <f>1000000000*F21*G21/(F21+G21)^2</f>
      </c>
      <c r="I21" s="95">
        <f>1000000000*F21^2/(F21+G21)^2</f>
      </c>
      <c r="J21" s="97">
        <f>MIN(1-I21/1000000000,5/7+(1-'单币测算'!$I$18-'单币测算'!$D$10)*H21/1000000000)</f>
      </c>
      <c r="K21" s="95">
        <f>IF('单币测算'!$D$26&lt;J21,1000000000*(1-'单币测算'!$D$26)-I21,"")</f>
      </c>
      <c r="L21" s="95">
        <f>IF(K21="","",H21*G21/K21)</f>
      </c>
      <c r="M21" s="95">
        <f>IF(1-'单币测算'!$I$17-'单币测算'!$D$10&gt;0,G21/(1-'单币测算'!$I$17-'单币测算'!$D$10),"")</f>
      </c>
      <c r="N21" s="95">
        <f>IF(K21="","",H21*G21/(H21-MAX(0,('单币测算'!$D$26-5/7)*1000000000)/(1-'单币测算'!$I$18-'单币测算'!$D$10))-G21)</f>
      </c>
      <c r="O21" s="95">
        <f>IF(N21="","",M21+N21)</f>
      </c>
      <c r="P21" s="95">
        <f>IF(M21="","",M21*MAX(0,'单币测算'!$D$15-1))</f>
      </c>
      <c r="Q21" s="95">
        <f>IF(L21="","",L21/K21*1000000000)</f>
      </c>
      <c r="R21" s="95">
        <f>IF(Q21="","",Q21*('单币测算'!$I$18+'单币测算'!$D$10)*2)</f>
      </c>
      <c r="S21" s="95">
        <f>'单币测算'!$D$19</f>
      </c>
      <c r="T21" s="103">
        <f>IF(O21="","",SUM(O21,P21,R21,S21))</f>
      </c>
      <c r="U21" s="99">
        <f>MAX(0,'单币测算'!$D$14)*MAX(0,'单币测算'!$D$15)+MAX(0,'单币测算'!$D$16)+MAX(0,'单币测算'!$D$17)</f>
      </c>
      <c r="V21" s="95">
        <f>U21*MAX(0,'单币测算'!$D$18)</f>
      </c>
      <c r="W21" s="35">
        <f>IF('单币测算'!$D$26&gt;=J21,"不可达",IF('单币测算'!$D$13="否","可达；Snipe税未计","可达"))</f>
      </c>
    </row>
    <row r="22" ht="20" customHeight="1">
      <c r="C22" s="35" t="str">
        <v>F</v>
      </c>
      <c r="D22" s="35" t="str">
        <v>Ford Motor</v>
      </c>
      <c r="E22" s="35" t="str">
        <v>股票 / ETF</v>
      </c>
      <c r="F22" s="95" t="n">
        <v>284.56677685950416</v>
      </c>
      <c r="G22" s="95" t="n">
        <v>711.4169421487604</v>
      </c>
      <c r="H22" s="95">
        <f>1000000000*F22*G22/(F22+G22)^2</f>
      </c>
      <c r="I22" s="95">
        <f>1000000000*F22^2/(F22+G22)^2</f>
      </c>
      <c r="J22" s="97">
        <f>MIN(1-I22/1000000000,5/7+(1-'单币测算'!$I$18-'单币测算'!$D$10)*H22/1000000000)</f>
      </c>
      <c r="K22" s="95">
        <f>IF('单币测算'!$D$26&lt;J22,1000000000*(1-'单币测算'!$D$26)-I22,"")</f>
      </c>
      <c r="L22" s="95">
        <f>IF(K22="","",H22*G22/K22)</f>
      </c>
      <c r="M22" s="95">
        <f>IF(1-'单币测算'!$I$17-'单币测算'!$D$10&gt;0,G22/(1-'单币测算'!$I$17-'单币测算'!$D$10),"")</f>
      </c>
      <c r="N22" s="95">
        <f>IF(K22="","",H22*G22/(H22-MAX(0,('单币测算'!$D$26-5/7)*1000000000)/(1-'单币测算'!$I$18-'单币测算'!$D$10))-G22)</f>
      </c>
      <c r="O22" s="95">
        <f>IF(N22="","",M22+N22)</f>
      </c>
      <c r="P22" s="95">
        <f>IF(M22="","",M22*MAX(0,'单币测算'!$D$15-1))</f>
      </c>
      <c r="Q22" s="95">
        <f>IF(L22="","",L22/K22*1000000000)</f>
      </c>
      <c r="R22" s="95">
        <f>IF(Q22="","",Q22*('单币测算'!$I$18+'单币测算'!$D$10)*2)</f>
      </c>
      <c r="S22" s="95">
        <f>'单币测算'!$D$19</f>
      </c>
      <c r="T22" s="103">
        <f>IF(O22="","",SUM(O22,P22,R22,S22))</f>
      </c>
      <c r="U22" s="99">
        <f>MAX(0,'单币测算'!$D$14)*MAX(0,'单币测算'!$D$15)+MAX(0,'单币测算'!$D$16)+MAX(0,'单币测算'!$D$17)</f>
      </c>
      <c r="V22" s="95">
        <f>U22*MAX(0,'单币测算'!$D$18)</f>
      </c>
      <c r="W22" s="35">
        <f>IF('单币测算'!$D$26&gt;=J22,"不可达",IF('单币测算'!$D$13="否","可达；Snipe税未计","可达"))</f>
      </c>
    </row>
    <row r="23" ht="20" customHeight="1">
      <c r="C23" s="35" t="str">
        <v>FIG</v>
      </c>
      <c r="D23" s="35" t="str">
        <v>Figma</v>
      </c>
      <c r="E23" s="35" t="str">
        <v>股票 / ETF</v>
      </c>
      <c r="F23" s="95" t="n">
        <v>156.2667703072</v>
      </c>
      <c r="G23" s="95" t="n">
        <v>390.666925768</v>
      </c>
      <c r="H23" s="95">
        <f>1000000000*F23*G23/(F23+G23)^2</f>
      </c>
      <c r="I23" s="95">
        <f>1000000000*F23^2/(F23+G23)^2</f>
      </c>
      <c r="J23" s="97">
        <f>MIN(1-I23/1000000000,5/7+(1-'单币测算'!$I$18-'单币测算'!$D$10)*H23/1000000000)</f>
      </c>
      <c r="K23" s="95">
        <f>IF('单币测算'!$D$26&lt;J23,1000000000*(1-'单币测算'!$D$26)-I23,"")</f>
      </c>
      <c r="L23" s="95">
        <f>IF(K23="","",H23*G23/K23)</f>
      </c>
      <c r="M23" s="95">
        <f>IF(1-'单币测算'!$I$17-'单币测算'!$D$10&gt;0,G23/(1-'单币测算'!$I$17-'单币测算'!$D$10),"")</f>
      </c>
      <c r="N23" s="95">
        <f>IF(K23="","",H23*G23/(H23-MAX(0,('单币测算'!$D$26-5/7)*1000000000)/(1-'单币测算'!$I$18-'单币测算'!$D$10))-G23)</f>
      </c>
      <c r="O23" s="95">
        <f>IF(N23="","",M23+N23)</f>
      </c>
      <c r="P23" s="95">
        <f>IF(M23="","",M23*MAX(0,'单币测算'!$D$15-1))</f>
      </c>
      <c r="Q23" s="95">
        <f>IF(L23="","",L23/K23*1000000000)</f>
      </c>
      <c r="R23" s="95">
        <f>IF(Q23="","",Q23*('单币测算'!$I$18+'单币测算'!$D$10)*2)</f>
      </c>
      <c r="S23" s="95">
        <f>'单币测算'!$D$19</f>
      </c>
      <c r="T23" s="103">
        <f>IF(O23="","",SUM(O23,P23,R23,S23))</f>
      </c>
      <c r="U23" s="99">
        <f>MAX(0,'单币测算'!$D$14)*MAX(0,'单币测算'!$D$15)+MAX(0,'单币测算'!$D$16)+MAX(0,'单币测算'!$D$17)</f>
      </c>
      <c r="V23" s="95">
        <f>U23*MAX(0,'单币测算'!$D$18)</f>
      </c>
      <c r="W23" s="35">
        <f>IF('单币测算'!$D$26&gt;=J23,"不可达",IF('单币测算'!$D$13="否","可达；Snipe税未计","可达"))</f>
      </c>
    </row>
    <row r="24" ht="20" customHeight="1">
      <c r="C24" s="35" t="str">
        <v>GLD</v>
      </c>
      <c r="D24" s="35" t="str">
        <v>SPDR Gold Shares</v>
      </c>
      <c r="E24" s="35" t="str">
        <v>股票 / ETF</v>
      </c>
      <c r="F24" s="95" t="n">
        <v>9.97623877984</v>
      </c>
      <c r="G24" s="95" t="n">
        <v>24.9405969496</v>
      </c>
      <c r="H24" s="95">
        <f>1000000000*F24*G24/(F24+G24)^2</f>
      </c>
      <c r="I24" s="95">
        <f>1000000000*F24^2/(F24+G24)^2</f>
      </c>
      <c r="J24" s="97">
        <f>MIN(1-I24/1000000000,5/7+(1-'单币测算'!$I$18-'单币测算'!$D$10)*H24/1000000000)</f>
      </c>
      <c r="K24" s="95">
        <f>IF('单币测算'!$D$26&lt;J24,1000000000*(1-'单币测算'!$D$26)-I24,"")</f>
      </c>
      <c r="L24" s="95">
        <f>IF(K24="","",H24*G24/K24)</f>
      </c>
      <c r="M24" s="95">
        <f>IF(1-'单币测算'!$I$17-'单币测算'!$D$10&gt;0,G24/(1-'单币测算'!$I$17-'单币测算'!$D$10),"")</f>
      </c>
      <c r="N24" s="95">
        <f>IF(K24="","",H24*G24/(H24-MAX(0,('单币测算'!$D$26-5/7)*1000000000)/(1-'单币测算'!$I$18-'单币测算'!$D$10))-G24)</f>
      </c>
      <c r="O24" s="95">
        <f>IF(N24="","",M24+N24)</f>
      </c>
      <c r="P24" s="95">
        <f>IF(M24="","",M24*MAX(0,'单币测算'!$D$15-1))</f>
      </c>
      <c r="Q24" s="95">
        <f>IF(L24="","",L24/K24*1000000000)</f>
      </c>
      <c r="R24" s="95">
        <f>IF(Q24="","",Q24*('单币测算'!$I$18+'单币测算'!$D$10)*2)</f>
      </c>
      <c r="S24" s="95">
        <f>'单币测算'!$D$19</f>
      </c>
      <c r="T24" s="103">
        <f>IF(O24="","",SUM(O24,P24,R24,S24))</f>
      </c>
      <c r="U24" s="99">
        <f>MAX(0,'单币测算'!$D$14)*MAX(0,'单币测算'!$D$15)+MAX(0,'单币测算'!$D$16)+MAX(0,'单币测算'!$D$17)</f>
      </c>
      <c r="V24" s="95">
        <f>U24*MAX(0,'单币测算'!$D$18)</f>
      </c>
      <c r="W24" s="35">
        <f>IF('单币测算'!$D$26&gt;=J24,"不可达",IF('单币测算'!$D$13="否","可达；Snipe税未计","可达"))</f>
      </c>
    </row>
    <row r="25" ht="20" customHeight="1">
      <c r="C25" s="35" t="str">
        <v>GME</v>
      </c>
      <c r="D25" s="35" t="str">
        <v>GameStop</v>
      </c>
      <c r="E25" s="35" t="str">
        <v>股票 / ETF</v>
      </c>
      <c r="F25" s="95" t="n">
        <v>147.6</v>
      </c>
      <c r="G25" s="95" t="n">
        <v>369</v>
      </c>
      <c r="H25" s="95">
        <f>1000000000*F25*G25/(F25+G25)^2</f>
      </c>
      <c r="I25" s="95">
        <f>1000000000*F25^2/(F25+G25)^2</f>
      </c>
      <c r="J25" s="97">
        <f>MIN(1-I25/1000000000,5/7+(1-'单币测算'!$I$18-'单币测算'!$D$10)*H25/1000000000)</f>
      </c>
      <c r="K25" s="95">
        <f>IF('单币测算'!$D$26&lt;J25,1000000000*(1-'单币测算'!$D$26)-I25,"")</f>
      </c>
      <c r="L25" s="95">
        <f>IF(K25="","",H25*G25/K25)</f>
      </c>
      <c r="M25" s="95">
        <f>IF(1-'单币测算'!$I$17-'单币测算'!$D$10&gt;0,G25/(1-'单币测算'!$I$17-'单币测算'!$D$10),"")</f>
      </c>
      <c r="N25" s="95">
        <f>IF(K25="","",H25*G25/(H25-MAX(0,('单币测算'!$D$26-5/7)*1000000000)/(1-'单币测算'!$I$18-'单币测算'!$D$10))-G25)</f>
      </c>
      <c r="O25" s="95">
        <f>IF(N25="","",M25+N25)</f>
      </c>
      <c r="P25" s="95">
        <f>IF(M25="","",M25*MAX(0,'单币测算'!$D$15-1))</f>
      </c>
      <c r="Q25" s="95">
        <f>IF(L25="","",L25/K25*1000000000)</f>
      </c>
      <c r="R25" s="95">
        <f>IF(Q25="","",Q25*('单币测算'!$I$18+'单币测算'!$D$10)*2)</f>
      </c>
      <c r="S25" s="95">
        <f>'单币测算'!$D$19</f>
      </c>
      <c r="T25" s="103">
        <f>IF(O25="","",SUM(O25,P25,R25,S25))</f>
      </c>
      <c r="U25" s="99">
        <f>MAX(0,'单币测算'!$D$14)*MAX(0,'单币测算'!$D$15)+MAX(0,'单币测算'!$D$16)+MAX(0,'单币测算'!$D$17)</f>
      </c>
      <c r="V25" s="95">
        <f>U25*MAX(0,'单币测算'!$D$18)</f>
      </c>
      <c r="W25" s="35">
        <f>IF('单币测算'!$D$26&gt;=J25,"不可达",IF('单币测算'!$D$13="否","可达；Snipe税未计","可达"))</f>
      </c>
    </row>
    <row r="26" ht="20" customHeight="1">
      <c r="C26" s="35" t="str">
        <v>GOOGL</v>
      </c>
      <c r="D26" s="35" t="str">
        <v>Alphabet Class A</v>
      </c>
      <c r="E26" s="35" t="str">
        <v>股票 / ETF</v>
      </c>
      <c r="F26" s="95" t="n">
        <v>9.68</v>
      </c>
      <c r="G26" s="95" t="n">
        <v>24.2</v>
      </c>
      <c r="H26" s="95">
        <f>1000000000*F26*G26/(F26+G26)^2</f>
      </c>
      <c r="I26" s="95">
        <f>1000000000*F26^2/(F26+G26)^2</f>
      </c>
      <c r="J26" s="97">
        <f>MIN(1-I26/1000000000,5/7+(1-'单币测算'!$I$18-'单币测算'!$D$10)*H26/1000000000)</f>
      </c>
      <c r="K26" s="95">
        <f>IF('单币测算'!$D$26&lt;J26,1000000000*(1-'单币测算'!$D$26)-I26,"")</f>
      </c>
      <c r="L26" s="95">
        <f>IF(K26="","",H26*G26/K26)</f>
      </c>
      <c r="M26" s="95">
        <f>IF(1-'单币测算'!$I$17-'单币测算'!$D$10&gt;0,G26/(1-'单币测算'!$I$17-'单币测算'!$D$10),"")</f>
      </c>
      <c r="N26" s="95">
        <f>IF(K26="","",H26*G26/(H26-MAX(0,('单币测算'!$D$26-5/7)*1000000000)/(1-'单币测算'!$I$18-'单币测算'!$D$10))-G26)</f>
      </c>
      <c r="O26" s="95">
        <f>IF(N26="","",M26+N26)</f>
      </c>
      <c r="P26" s="95">
        <f>IF(M26="","",M26*MAX(0,'单币测算'!$D$15-1))</f>
      </c>
      <c r="Q26" s="95">
        <f>IF(L26="","",L26/K26*1000000000)</f>
      </c>
      <c r="R26" s="95">
        <f>IF(Q26="","",Q26*('单币测算'!$I$18+'单币测算'!$D$10)*2)</f>
      </c>
      <c r="S26" s="95">
        <f>'单币测算'!$D$19</f>
      </c>
      <c r="T26" s="103">
        <f>IF(O26="","",SUM(O26,P26,R26,S26))</f>
      </c>
      <c r="U26" s="99">
        <f>MAX(0,'单币测算'!$D$14)*MAX(0,'单币测算'!$D$15)+MAX(0,'单币测算'!$D$16)+MAX(0,'单币测算'!$D$17)</f>
      </c>
      <c r="V26" s="95">
        <f>U26*MAX(0,'单币测算'!$D$18)</f>
      </c>
      <c r="W26" s="35">
        <f>IF('单币测算'!$D$26&gt;=J26,"不可达",IF('单币测算'!$D$13="否","可达；Snipe税未计","可达"))</f>
      </c>
    </row>
    <row r="27" ht="20" customHeight="1">
      <c r="C27" s="35" t="str">
        <v>HIMS</v>
      </c>
      <c r="D27" s="35" t="str">
        <v>Hims &amp; Hers Health</v>
      </c>
      <c r="E27" s="35" t="str">
        <v>股票 / ETF</v>
      </c>
      <c r="F27" s="95" t="n">
        <v>141.9568016616</v>
      </c>
      <c r="G27" s="95" t="n">
        <v>354.892004154</v>
      </c>
      <c r="H27" s="95">
        <f>1000000000*F27*G27/(F27+G27)^2</f>
      </c>
      <c r="I27" s="95">
        <f>1000000000*F27^2/(F27+G27)^2</f>
      </c>
      <c r="J27" s="97">
        <f>MIN(1-I27/1000000000,5/7+(1-'单币测算'!$I$18-'单币测算'!$D$10)*H27/1000000000)</f>
      </c>
      <c r="K27" s="95">
        <f>IF('单币测算'!$D$26&lt;J27,1000000000*(1-'单币测算'!$D$26)-I27,"")</f>
      </c>
      <c r="L27" s="95">
        <f>IF(K27="","",H27*G27/K27)</f>
      </c>
      <c r="M27" s="95">
        <f>IF(1-'单币测算'!$I$17-'单币测算'!$D$10&gt;0,G27/(1-'单币测算'!$I$17-'单币测算'!$D$10),"")</f>
      </c>
      <c r="N27" s="95">
        <f>IF(K27="","",H27*G27/(H27-MAX(0,('单币测算'!$D$26-5/7)*1000000000)/(1-'单币测算'!$I$18-'单币测算'!$D$10))-G27)</f>
      </c>
      <c r="O27" s="95">
        <f>IF(N27="","",M27+N27)</f>
      </c>
      <c r="P27" s="95">
        <f>IF(M27="","",M27*MAX(0,'单币测算'!$D$15-1))</f>
      </c>
      <c r="Q27" s="95">
        <f>IF(L27="","",L27/K27*1000000000)</f>
      </c>
      <c r="R27" s="95">
        <f>IF(Q27="","",Q27*('单币测算'!$I$18+'单币测算'!$D$10)*2)</f>
      </c>
      <c r="S27" s="95">
        <f>'单币测算'!$D$19</f>
      </c>
      <c r="T27" s="103">
        <f>IF(O27="","",SUM(O27,P27,R27,S27))</f>
      </c>
      <c r="U27" s="99">
        <f>MAX(0,'单币测算'!$D$14)*MAX(0,'单币测算'!$D$15)+MAX(0,'单币测算'!$D$16)+MAX(0,'单币测算'!$D$17)</f>
      </c>
      <c r="V27" s="95">
        <f>U27*MAX(0,'单币测算'!$D$18)</f>
      </c>
      <c r="W27" s="35">
        <f>IF('单币测算'!$D$26&gt;=J27,"不可达",IF('单币测算'!$D$13="否","可达；Snipe税未计","可达"))</f>
      </c>
    </row>
    <row r="28" ht="20" customHeight="1">
      <c r="C28" s="35" t="str">
        <v>IBM</v>
      </c>
      <c r="D28" s="35" t="str">
        <v>IBM</v>
      </c>
      <c r="E28" s="35" t="str">
        <v>股票 / ETF</v>
      </c>
      <c r="F28" s="95" t="n">
        <v>17.55644614404079</v>
      </c>
      <c r="G28" s="95" t="n">
        <v>43.89111536010198</v>
      </c>
      <c r="H28" s="95">
        <f>1000000000*F28*G28/(F28+G28)^2</f>
      </c>
      <c r="I28" s="95">
        <f>1000000000*F28^2/(F28+G28)^2</f>
      </c>
      <c r="J28" s="97">
        <f>MIN(1-I28/1000000000,5/7+(1-'单币测算'!$I$18-'单币测算'!$D$10)*H28/1000000000)</f>
      </c>
      <c r="K28" s="95">
        <f>IF('单币测算'!$D$26&lt;J28,1000000000*(1-'单币测算'!$D$26)-I28,"")</f>
      </c>
      <c r="L28" s="95">
        <f>IF(K28="","",H28*G28/K28)</f>
      </c>
      <c r="M28" s="95">
        <f>IF(1-'单币测算'!$I$17-'单币测算'!$D$10&gt;0,G28/(1-'单币测算'!$I$17-'单币测算'!$D$10),"")</f>
      </c>
      <c r="N28" s="95">
        <f>IF(K28="","",H28*G28/(H28-MAX(0,('单币测算'!$D$26-5/7)*1000000000)/(1-'单币测算'!$I$18-'单币测算'!$D$10))-G28)</f>
      </c>
      <c r="O28" s="95">
        <f>IF(N28="","",M28+N28)</f>
      </c>
      <c r="P28" s="95">
        <f>IF(M28="","",M28*MAX(0,'单币测算'!$D$15-1))</f>
      </c>
      <c r="Q28" s="95">
        <f>IF(L28="","",L28/K28*1000000000)</f>
      </c>
      <c r="R28" s="95">
        <f>IF(Q28="","",Q28*('单币测算'!$I$18+'单币测算'!$D$10)*2)</f>
      </c>
      <c r="S28" s="95">
        <f>'单币测算'!$D$19</f>
      </c>
      <c r="T28" s="103">
        <f>IF(O28="","",SUM(O28,P28,R28,S28))</f>
      </c>
      <c r="U28" s="99">
        <f>MAX(0,'单币测算'!$D$14)*MAX(0,'单币测算'!$D$15)+MAX(0,'单币测算'!$D$16)+MAX(0,'单币测算'!$D$17)</f>
      </c>
      <c r="V28" s="95">
        <f>U28*MAX(0,'单币测算'!$D$18)</f>
      </c>
      <c r="W28" s="35">
        <f>IF('单币测算'!$D$26&gt;=J28,"不可达",IF('单币测算'!$D$13="否","可达；Snipe税未计","可达"))</f>
      </c>
    </row>
    <row r="29" ht="20" customHeight="1">
      <c r="C29" s="35" t="str">
        <v>INDA</v>
      </c>
      <c r="D29" s="35" t="str">
        <v>iShares MSCI India ETF</v>
      </c>
      <c r="E29" s="35" t="str">
        <v>股票 / ETF</v>
      </c>
      <c r="F29" s="95" t="n">
        <v>82.69607925547884</v>
      </c>
      <c r="G29" s="95" t="n">
        <v>206.7401981386971</v>
      </c>
      <c r="H29" s="95">
        <f>1000000000*F29*G29/(F29+G29)^2</f>
      </c>
      <c r="I29" s="95">
        <f>1000000000*F29^2/(F29+G29)^2</f>
      </c>
      <c r="J29" s="97">
        <f>MIN(1-I29/1000000000,5/7+(1-'单币测算'!$I$18-'单币测算'!$D$10)*H29/1000000000)</f>
      </c>
      <c r="K29" s="95">
        <f>IF('单币测算'!$D$26&lt;J29,1000000000*(1-'单币测算'!$D$26)-I29,"")</f>
      </c>
      <c r="L29" s="95">
        <f>IF(K29="","",H29*G29/K29)</f>
      </c>
      <c r="M29" s="95">
        <f>IF(1-'单币测算'!$I$17-'单币测算'!$D$10&gt;0,G29/(1-'单币测算'!$I$17-'单币测算'!$D$10),"")</f>
      </c>
      <c r="N29" s="95">
        <f>IF(K29="","",H29*G29/(H29-MAX(0,('单币测算'!$D$26-5/7)*1000000000)/(1-'单币测算'!$I$18-'单币测算'!$D$10))-G29)</f>
      </c>
      <c r="O29" s="95">
        <f>IF(N29="","",M29+N29)</f>
      </c>
      <c r="P29" s="95">
        <f>IF(M29="","",M29*MAX(0,'单币测算'!$D$15-1))</f>
      </c>
      <c r="Q29" s="95">
        <f>IF(L29="","",L29/K29*1000000000)</f>
      </c>
      <c r="R29" s="95">
        <f>IF(Q29="","",Q29*('单币测算'!$I$18+'单币测算'!$D$10)*2)</f>
      </c>
      <c r="S29" s="95">
        <f>'单币测算'!$D$19</f>
      </c>
      <c r="T29" s="103">
        <f>IF(O29="","",SUM(O29,P29,R29,S29))</f>
      </c>
      <c r="U29" s="99">
        <f>MAX(0,'单币测算'!$D$14)*MAX(0,'单币测算'!$D$15)+MAX(0,'单币测算'!$D$16)+MAX(0,'单币测算'!$D$17)</f>
      </c>
      <c r="V29" s="95">
        <f>U29*MAX(0,'单币测算'!$D$18)</f>
      </c>
      <c r="W29" s="35">
        <f>IF('单币测算'!$D$26&gt;=J29,"不可达",IF('单币测算'!$D$13="否","可达；Snipe税未计","可达"))</f>
      </c>
    </row>
    <row r="30" ht="20" customHeight="1">
      <c r="C30" s="35" t="str">
        <v>JNJ</v>
      </c>
      <c r="D30" s="35" t="str">
        <v>Johnson &amp; Johnson</v>
      </c>
      <c r="E30" s="35" t="str">
        <v>股票 / ETF</v>
      </c>
      <c r="F30" s="95" t="n">
        <v>14.60973075108</v>
      </c>
      <c r="G30" s="95" t="n">
        <v>36.5243268777</v>
      </c>
      <c r="H30" s="95">
        <f>1000000000*F30*G30/(F30+G30)^2</f>
      </c>
      <c r="I30" s="95">
        <f>1000000000*F30^2/(F30+G30)^2</f>
      </c>
      <c r="J30" s="97">
        <f>MIN(1-I30/1000000000,5/7+(1-'单币测算'!$I$18-'单币测算'!$D$10)*H30/1000000000)</f>
      </c>
      <c r="K30" s="95">
        <f>IF('单币测算'!$D$26&lt;J30,1000000000*(1-'单币测算'!$D$26)-I30,"")</f>
      </c>
      <c r="L30" s="95">
        <f>IF(K30="","",H30*G30/K30)</f>
      </c>
      <c r="M30" s="95">
        <f>IF(1-'单币测算'!$I$17-'单币测算'!$D$10&gt;0,G30/(1-'单币测算'!$I$17-'单币测算'!$D$10),"")</f>
      </c>
      <c r="N30" s="95">
        <f>IF(K30="","",H30*G30/(H30-MAX(0,('单币测算'!$D$26-5/7)*1000000000)/(1-'单币测算'!$I$18-'单币测算'!$D$10))-G30)</f>
      </c>
      <c r="O30" s="95">
        <f>IF(N30="","",M30+N30)</f>
      </c>
      <c r="P30" s="95">
        <f>IF(M30="","",M30*MAX(0,'单币测算'!$D$15-1))</f>
      </c>
      <c r="Q30" s="95">
        <f>IF(L30="","",L30/K30*1000000000)</f>
      </c>
      <c r="R30" s="95">
        <f>IF(Q30="","",Q30*('单币测算'!$I$18+'单币测算'!$D$10)*2)</f>
      </c>
      <c r="S30" s="95">
        <f>'单币测算'!$D$19</f>
      </c>
      <c r="T30" s="103">
        <f>IF(O30="","",SUM(O30,P30,R30,S30))</f>
      </c>
      <c r="U30" s="99">
        <f>MAX(0,'单币测算'!$D$14)*MAX(0,'单币测算'!$D$15)+MAX(0,'单币测算'!$D$16)+MAX(0,'单币测算'!$D$17)</f>
      </c>
      <c r="V30" s="95">
        <f>U30*MAX(0,'单币测算'!$D$18)</f>
      </c>
      <c r="W30" s="35">
        <f>IF('单币测算'!$D$26&gt;=J30,"不可达",IF('单币测算'!$D$13="否","可达；Snipe税未计","可达"))</f>
      </c>
    </row>
    <row r="31" ht="20" customHeight="1">
      <c r="C31" s="35" t="str">
        <v>LLY</v>
      </c>
      <c r="D31" s="35" t="str">
        <v>Eli Lilly</v>
      </c>
      <c r="E31" s="35" t="str">
        <v>股票 / ETF</v>
      </c>
      <c r="F31" s="95" t="n">
        <v>3.490909655172</v>
      </c>
      <c r="G31" s="95" t="n">
        <v>8.72727413793</v>
      </c>
      <c r="H31" s="95">
        <f>1000000000*F31*G31/(F31+G31)^2</f>
      </c>
      <c r="I31" s="95">
        <f>1000000000*F31^2/(F31+G31)^2</f>
      </c>
      <c r="J31" s="97">
        <f>MIN(1-I31/1000000000,5/7+(1-'单币测算'!$I$18-'单币测算'!$D$10)*H31/1000000000)</f>
      </c>
      <c r="K31" s="95">
        <f>IF('单币测算'!$D$26&lt;J31,1000000000*(1-'单币测算'!$D$26)-I31,"")</f>
      </c>
      <c r="L31" s="95">
        <f>IF(K31="","",H31*G31/K31)</f>
      </c>
      <c r="M31" s="95">
        <f>IF(1-'单币测算'!$I$17-'单币测算'!$D$10&gt;0,G31/(1-'单币测算'!$I$17-'单币测算'!$D$10),"")</f>
      </c>
      <c r="N31" s="95">
        <f>IF(K31="","",H31*G31/(H31-MAX(0,('单币测算'!$D$26-5/7)*1000000000)/(1-'单币测算'!$I$18-'单币测算'!$D$10))-G31)</f>
      </c>
      <c r="O31" s="95">
        <f>IF(N31="","",M31+N31)</f>
      </c>
      <c r="P31" s="95">
        <f>IF(M31="","",M31*MAX(0,'单币测算'!$D$15-1))</f>
      </c>
      <c r="Q31" s="95">
        <f>IF(L31="","",L31/K31*1000000000)</f>
      </c>
      <c r="R31" s="95">
        <f>IF(Q31="","",Q31*('单币测算'!$I$18+'单币测算'!$D$10)*2)</f>
      </c>
      <c r="S31" s="95">
        <f>'单币测算'!$D$19</f>
      </c>
      <c r="T31" s="103">
        <f>IF(O31="","",SUM(O31,P31,R31,S31))</f>
      </c>
      <c r="U31" s="99">
        <f>MAX(0,'单币测算'!$D$14)*MAX(0,'单币测算'!$D$15)+MAX(0,'单币测算'!$D$16)+MAX(0,'单币测算'!$D$17)</f>
      </c>
      <c r="V31" s="95">
        <f>U31*MAX(0,'单币测算'!$D$18)</f>
      </c>
      <c r="W31" s="35">
        <f>IF('单币测算'!$D$26&gt;=J31,"不可达",IF('单币测算'!$D$13="否","可达；Snipe税未计","可达"))</f>
      </c>
    </row>
    <row r="32" ht="20" customHeight="1">
      <c r="C32" s="35" t="str">
        <v>LULU</v>
      </c>
      <c r="D32" s="35" t="str">
        <v>Lululemon Athletica</v>
      </c>
      <c r="E32" s="35" t="str">
        <v>股票 / ETF</v>
      </c>
      <c r="F32" s="95" t="n">
        <v>33.48666611144</v>
      </c>
      <c r="G32" s="95" t="n">
        <v>83.7166652786</v>
      </c>
      <c r="H32" s="95">
        <f>1000000000*F32*G32/(F32+G32)^2</f>
      </c>
      <c r="I32" s="95">
        <f>1000000000*F32^2/(F32+G32)^2</f>
      </c>
      <c r="J32" s="97">
        <f>MIN(1-I32/1000000000,5/7+(1-'单币测算'!$I$18-'单币测算'!$D$10)*H32/1000000000)</f>
      </c>
      <c r="K32" s="95">
        <f>IF('单币测算'!$D$26&lt;J32,1000000000*(1-'单币测算'!$D$26)-I32,"")</f>
      </c>
      <c r="L32" s="95">
        <f>IF(K32="","",H32*G32/K32)</f>
      </c>
      <c r="M32" s="95">
        <f>IF(1-'单币测算'!$I$17-'单币测算'!$D$10&gt;0,G32/(1-'单币测算'!$I$17-'单币测算'!$D$10),"")</f>
      </c>
      <c r="N32" s="95">
        <f>IF(K32="","",H32*G32/(H32-MAX(0,('单币测算'!$D$26-5/7)*1000000000)/(1-'单币测算'!$I$18-'单币测算'!$D$10))-G32)</f>
      </c>
      <c r="O32" s="95">
        <f>IF(N32="","",M32+N32)</f>
      </c>
      <c r="P32" s="95">
        <f>IF(M32="","",M32*MAX(0,'单币测算'!$D$15-1))</f>
      </c>
      <c r="Q32" s="95">
        <f>IF(L32="","",L32/K32*1000000000)</f>
      </c>
      <c r="R32" s="95">
        <f>IF(Q32="","",Q32*('单币测算'!$I$18+'单币测算'!$D$10)*2)</f>
      </c>
      <c r="S32" s="95">
        <f>'单币测算'!$D$19</f>
      </c>
      <c r="T32" s="103">
        <f>IF(O32="","",SUM(O32,P32,R32,S32))</f>
      </c>
      <c r="U32" s="99">
        <f>MAX(0,'单币测算'!$D$14)*MAX(0,'单币测算'!$D$15)+MAX(0,'单币测算'!$D$16)+MAX(0,'单币测算'!$D$17)</f>
      </c>
      <c r="V32" s="95">
        <f>U32*MAX(0,'单币测算'!$D$18)</f>
      </c>
      <c r="W32" s="35">
        <f>IF('单币测算'!$D$26&gt;=J32,"不可达",IF('单币测算'!$D$13="否","可达；Snipe税未计","可达"))</f>
      </c>
    </row>
    <row r="33" ht="20" customHeight="1">
      <c r="C33" s="35" t="str">
        <v>META</v>
      </c>
      <c r="D33" s="35" t="str">
        <v>Meta Platforms</v>
      </c>
      <c r="E33" s="35" t="str">
        <v>股票 / ETF</v>
      </c>
      <c r="F33" s="95" t="n">
        <v>5.42715804396</v>
      </c>
      <c r="G33" s="95" t="n">
        <v>13.5678951099</v>
      </c>
      <c r="H33" s="95">
        <f>1000000000*F33*G33/(F33+G33)^2</f>
      </c>
      <c r="I33" s="95">
        <f>1000000000*F33^2/(F33+G33)^2</f>
      </c>
      <c r="J33" s="97">
        <f>MIN(1-I33/1000000000,5/7+(1-'单币测算'!$I$18-'单币测算'!$D$10)*H33/1000000000)</f>
      </c>
      <c r="K33" s="95">
        <f>IF('单币测算'!$D$26&lt;J33,1000000000*(1-'单币测算'!$D$26)-I33,"")</f>
      </c>
      <c r="L33" s="95">
        <f>IF(K33="","",H33*G33/K33)</f>
      </c>
      <c r="M33" s="95">
        <f>IF(1-'单币测算'!$I$17-'单币测算'!$D$10&gt;0,G33/(1-'单币测算'!$I$17-'单币测算'!$D$10),"")</f>
      </c>
      <c r="N33" s="95">
        <f>IF(K33="","",H33*G33/(H33-MAX(0,('单币测算'!$D$26-5/7)*1000000000)/(1-'单币测算'!$I$18-'单币测算'!$D$10))-G33)</f>
      </c>
      <c r="O33" s="95">
        <f>IF(N33="","",M33+N33)</f>
      </c>
      <c r="P33" s="95">
        <f>IF(M33="","",M33*MAX(0,'单币测算'!$D$15-1))</f>
      </c>
      <c r="Q33" s="95">
        <f>IF(L33="","",L33/K33*1000000000)</f>
      </c>
      <c r="R33" s="95">
        <f>IF(Q33="","",Q33*('单币测算'!$I$18+'单币测算'!$D$10)*2)</f>
      </c>
      <c r="S33" s="95">
        <f>'单币测算'!$D$19</f>
      </c>
      <c r="T33" s="103">
        <f>IF(O33="","",SUM(O33,P33,R33,S33))</f>
      </c>
      <c r="U33" s="99">
        <f>MAX(0,'单币测算'!$D$14)*MAX(0,'单币测算'!$D$15)+MAX(0,'单币测算'!$D$16)+MAX(0,'单币测算'!$D$17)</f>
      </c>
      <c r="V33" s="95">
        <f>U33*MAX(0,'单币测算'!$D$18)</f>
      </c>
      <c r="W33" s="35">
        <f>IF('单币测算'!$D$26&gt;=J33,"不可达",IF('单币测算'!$D$13="否","可达；Snipe税未计","可达"))</f>
      </c>
    </row>
    <row r="34" ht="20" customHeight="1">
      <c r="C34" s="35" t="str">
        <v>MRNA</v>
      </c>
      <c r="D34" s="35" t="str">
        <v>Moderna</v>
      </c>
      <c r="E34" s="35" t="str">
        <v>股票 / ETF</v>
      </c>
      <c r="F34" s="95" t="n">
        <v>26.66099065048</v>
      </c>
      <c r="G34" s="95" t="n">
        <v>66.6524766262</v>
      </c>
      <c r="H34" s="95">
        <f>1000000000*F34*G34/(F34+G34)^2</f>
      </c>
      <c r="I34" s="95">
        <f>1000000000*F34^2/(F34+G34)^2</f>
      </c>
      <c r="J34" s="97">
        <f>MIN(1-I34/1000000000,5/7+(1-'单币测算'!$I$18-'单币测算'!$D$10)*H34/1000000000)</f>
      </c>
      <c r="K34" s="95">
        <f>IF('单币测算'!$D$26&lt;J34,1000000000*(1-'单币测算'!$D$26)-I34,"")</f>
      </c>
      <c r="L34" s="95">
        <f>IF(K34="","",H34*G34/K34)</f>
      </c>
      <c r="M34" s="95">
        <f>IF(1-'单币测算'!$I$17-'单币测算'!$D$10&gt;0,G34/(1-'单币测算'!$I$17-'单币测算'!$D$10),"")</f>
      </c>
      <c r="N34" s="95">
        <f>IF(K34="","",H34*G34/(H34-MAX(0,('单币测算'!$D$26-5/7)*1000000000)/(1-'单币测算'!$I$18-'单币测算'!$D$10))-G34)</f>
      </c>
      <c r="O34" s="95">
        <f>IF(N34="","",M34+N34)</f>
      </c>
      <c r="P34" s="95">
        <f>IF(M34="","",M34*MAX(0,'单币测算'!$D$15-1))</f>
      </c>
      <c r="Q34" s="95">
        <f>IF(L34="","",L34/K34*1000000000)</f>
      </c>
      <c r="R34" s="95">
        <f>IF(Q34="","",Q34*('单币测算'!$I$18+'单币测算'!$D$10)*2)</f>
      </c>
      <c r="S34" s="95">
        <f>'单币测算'!$D$19</f>
      </c>
      <c r="T34" s="103">
        <f>IF(O34="","",SUM(O34,P34,R34,S34))</f>
      </c>
      <c r="U34" s="99">
        <f>MAX(0,'单币测算'!$D$14)*MAX(0,'单币测算'!$D$15)+MAX(0,'单币测算'!$D$16)+MAX(0,'单币测算'!$D$17)</f>
      </c>
      <c r="V34" s="95">
        <f>U34*MAX(0,'单币测算'!$D$18)</f>
      </c>
      <c r="W34" s="35">
        <f>IF('单币测算'!$D$26&gt;=J34,"不可达",IF('单币测算'!$D$13="否","可达；Snipe税未计","可达"))</f>
      </c>
    </row>
    <row r="35" ht="20" customHeight="1">
      <c r="C35" s="35" t="str">
        <v>MRVL</v>
      </c>
      <c r="D35" s="35" t="str">
        <v>Marvell Technology</v>
      </c>
      <c r="E35" s="35" t="str">
        <v>股票 / ETF</v>
      </c>
      <c r="F35" s="95" t="n">
        <v>19.47280123984</v>
      </c>
      <c r="G35" s="95" t="n">
        <v>48.6820030996</v>
      </c>
      <c r="H35" s="95">
        <f>1000000000*F35*G35/(F35+G35)^2</f>
      </c>
      <c r="I35" s="95">
        <f>1000000000*F35^2/(F35+G35)^2</f>
      </c>
      <c r="J35" s="97">
        <f>MIN(1-I35/1000000000,5/7+(1-'单币测算'!$I$18-'单币测算'!$D$10)*H35/1000000000)</f>
      </c>
      <c r="K35" s="95">
        <f>IF('单币测算'!$D$26&lt;J35,1000000000*(1-'单币测算'!$D$26)-I35,"")</f>
      </c>
      <c r="L35" s="95">
        <f>IF(K35="","",H35*G35/K35)</f>
      </c>
      <c r="M35" s="95">
        <f>IF(1-'单币测算'!$I$17-'单币测算'!$D$10&gt;0,G35/(1-'单币测算'!$I$17-'单币测算'!$D$10),"")</f>
      </c>
      <c r="N35" s="95">
        <f>IF(K35="","",H35*G35/(H35-MAX(0,('单币测算'!$D$26-5/7)*1000000000)/(1-'单币测算'!$I$18-'单币测算'!$D$10))-G35)</f>
      </c>
      <c r="O35" s="95">
        <f>IF(N35="","",M35+N35)</f>
      </c>
      <c r="P35" s="95">
        <f>IF(M35="","",M35*MAX(0,'单币测算'!$D$15-1))</f>
      </c>
      <c r="Q35" s="95">
        <f>IF(L35="","",L35/K35*1000000000)</f>
      </c>
      <c r="R35" s="95">
        <f>IF(Q35="","",Q35*('单币测算'!$I$18+'单币测算'!$D$10)*2)</f>
      </c>
      <c r="S35" s="95">
        <f>'单币测算'!$D$19</f>
      </c>
      <c r="T35" s="103">
        <f>IF(O35="","",SUM(O35,P35,R35,S35))</f>
      </c>
      <c r="U35" s="99">
        <f>MAX(0,'单币测算'!$D$14)*MAX(0,'单币测算'!$D$15)+MAX(0,'单币测算'!$D$16)+MAX(0,'单币测算'!$D$17)</f>
      </c>
      <c r="V35" s="95">
        <f>U35*MAX(0,'单币测算'!$D$18)</f>
      </c>
      <c r="W35" s="35">
        <f>IF('单币测算'!$D$26&gt;=J35,"不可达",IF('单币测算'!$D$13="否","可达；Snipe税未计","可达"))</f>
      </c>
    </row>
    <row r="36" ht="20" customHeight="1">
      <c r="C36" s="35" t="str">
        <v>MSFT</v>
      </c>
      <c r="D36" s="35" t="str">
        <v>Microsoft</v>
      </c>
      <c r="E36" s="35" t="str">
        <v>股票 / ETF</v>
      </c>
      <c r="F36" s="95" t="n">
        <v>6.43145576708</v>
      </c>
      <c r="G36" s="95" t="n">
        <v>16.0786394177</v>
      </c>
      <c r="H36" s="95">
        <f>1000000000*F36*G36/(F36+G36)^2</f>
      </c>
      <c r="I36" s="95">
        <f>1000000000*F36^2/(F36+G36)^2</f>
      </c>
      <c r="J36" s="97">
        <f>MIN(1-I36/1000000000,5/7+(1-'单币测算'!$I$18-'单币测算'!$D$10)*H36/1000000000)</f>
      </c>
      <c r="K36" s="95">
        <f>IF('单币测算'!$D$26&lt;J36,1000000000*(1-'单币测算'!$D$26)-I36,"")</f>
      </c>
      <c r="L36" s="95">
        <f>IF(K36="","",H36*G36/K36)</f>
      </c>
      <c r="M36" s="95">
        <f>IF(1-'单币测算'!$I$17-'单币测算'!$D$10&gt;0,G36/(1-'单币测算'!$I$17-'单币测算'!$D$10),"")</f>
      </c>
      <c r="N36" s="95">
        <f>IF(K36="","",H36*G36/(H36-MAX(0,('单币测算'!$D$26-5/7)*1000000000)/(1-'单币测算'!$I$18-'单币测算'!$D$10))-G36)</f>
      </c>
      <c r="O36" s="95">
        <f>IF(N36="","",M36+N36)</f>
      </c>
      <c r="P36" s="95">
        <f>IF(M36="","",M36*MAX(0,'单币测算'!$D$15-1))</f>
      </c>
      <c r="Q36" s="95">
        <f>IF(L36="","",L36/K36*1000000000)</f>
      </c>
      <c r="R36" s="95">
        <f>IF(Q36="","",Q36*('单币测算'!$I$18+'单币测算'!$D$10)*2)</f>
      </c>
      <c r="S36" s="95">
        <f>'单币测算'!$D$19</f>
      </c>
      <c r="T36" s="103">
        <f>IF(O36="","",SUM(O36,P36,R36,S36))</f>
      </c>
      <c r="U36" s="99">
        <f>MAX(0,'单币测算'!$D$14)*MAX(0,'单币测算'!$D$15)+MAX(0,'单币测算'!$D$16)+MAX(0,'单币测算'!$D$17)</f>
      </c>
      <c r="V36" s="95">
        <f>U36*MAX(0,'单币测算'!$D$18)</f>
      </c>
      <c r="W36" s="35">
        <f>IF('单币测算'!$D$26&gt;=J36,"不可达",IF('单币测算'!$D$13="否","可达；Snipe税未计","可达"))</f>
      </c>
    </row>
    <row r="37" ht="20" customHeight="1">
      <c r="C37" s="35" t="str">
        <v>MSTR</v>
      </c>
      <c r="D37" s="35" t="str">
        <v>Strategy</v>
      </c>
      <c r="E37" s="35" t="str">
        <v>股票 / ETF</v>
      </c>
      <c r="F37" s="95" t="n">
        <v>31.99209095404</v>
      </c>
      <c r="G37" s="95" t="n">
        <v>79.9802273851</v>
      </c>
      <c r="H37" s="95">
        <f>1000000000*F37*G37/(F37+G37)^2</f>
      </c>
      <c r="I37" s="95">
        <f>1000000000*F37^2/(F37+G37)^2</f>
      </c>
      <c r="J37" s="97">
        <f>MIN(1-I37/1000000000,5/7+(1-'单币测算'!$I$18-'单币测算'!$D$10)*H37/1000000000)</f>
      </c>
      <c r="K37" s="95">
        <f>IF('单币测算'!$D$26&lt;J37,1000000000*(1-'单币测算'!$D$26)-I37,"")</f>
      </c>
      <c r="L37" s="95">
        <f>IF(K37="","",H37*G37/K37)</f>
      </c>
      <c r="M37" s="95">
        <f>IF(1-'单币测算'!$I$17-'单币测算'!$D$10&gt;0,G37/(1-'单币测算'!$I$17-'单币测算'!$D$10),"")</f>
      </c>
      <c r="N37" s="95">
        <f>IF(K37="","",H37*G37/(H37-MAX(0,('单币测算'!$D$26-5/7)*1000000000)/(1-'单币测算'!$I$18-'单币测算'!$D$10))-G37)</f>
      </c>
      <c r="O37" s="95">
        <f>IF(N37="","",M37+N37)</f>
      </c>
      <c r="P37" s="95">
        <f>IF(M37="","",M37*MAX(0,'单币测算'!$D$15-1))</f>
      </c>
      <c r="Q37" s="95">
        <f>IF(L37="","",L37/K37*1000000000)</f>
      </c>
      <c r="R37" s="95">
        <f>IF(Q37="","",Q37*('单币测算'!$I$18+'单币测算'!$D$10)*2)</f>
      </c>
      <c r="S37" s="95">
        <f>'单币测算'!$D$19</f>
      </c>
      <c r="T37" s="103">
        <f>IF(O37="","",SUM(O37,P37,R37,S37))</f>
      </c>
      <c r="U37" s="99">
        <f>MAX(0,'单币测算'!$D$14)*MAX(0,'单币测算'!$D$15)+MAX(0,'单币测算'!$D$16)+MAX(0,'单币测算'!$D$17)</f>
      </c>
      <c r="V37" s="95">
        <f>U37*MAX(0,'单币测算'!$D$18)</f>
      </c>
      <c r="W37" s="35">
        <f>IF('单币测算'!$D$26&gt;=J37,"不可达",IF('单币测算'!$D$13="否","可达；Snipe税未计","可达"))</f>
      </c>
    </row>
    <row r="38" ht="20" customHeight="1">
      <c r="C38" s="35" t="str">
        <v>MU</v>
      </c>
      <c r="D38" s="35" t="str">
        <v>Micron Technology</v>
      </c>
      <c r="E38" s="35" t="str">
        <v>股票 / ETF</v>
      </c>
      <c r="F38" s="95" t="n">
        <v>3.671383856716</v>
      </c>
      <c r="G38" s="95" t="n">
        <v>9.17845964179</v>
      </c>
      <c r="H38" s="95">
        <f>1000000000*F38*G38/(F38+G38)^2</f>
      </c>
      <c r="I38" s="95">
        <f>1000000000*F38^2/(F38+G38)^2</f>
      </c>
      <c r="J38" s="97">
        <f>MIN(1-I38/1000000000,5/7+(1-'单币测算'!$I$18-'单币测算'!$D$10)*H38/1000000000)</f>
      </c>
      <c r="K38" s="95">
        <f>IF('单币测算'!$D$26&lt;J38,1000000000*(1-'单币测算'!$D$26)-I38,"")</f>
      </c>
      <c r="L38" s="95">
        <f>IF(K38="","",H38*G38/K38)</f>
      </c>
      <c r="M38" s="95">
        <f>IF(1-'单币测算'!$I$17-'单币测算'!$D$10&gt;0,G38/(1-'单币测算'!$I$17-'单币测算'!$D$10),"")</f>
      </c>
      <c r="N38" s="95">
        <f>IF(K38="","",H38*G38/(H38-MAX(0,('单币测算'!$D$26-5/7)*1000000000)/(1-'单币测算'!$I$18-'单币测算'!$D$10))-G38)</f>
      </c>
      <c r="O38" s="95">
        <f>IF(N38="","",M38+N38)</f>
      </c>
      <c r="P38" s="95">
        <f>IF(M38="","",M38*MAX(0,'单币测算'!$D$15-1))</f>
      </c>
      <c r="Q38" s="95">
        <f>IF(L38="","",L38/K38*1000000000)</f>
      </c>
      <c r="R38" s="95">
        <f>IF(Q38="","",Q38*('单币测算'!$I$18+'单币测算'!$D$10)*2)</f>
      </c>
      <c r="S38" s="95">
        <f>'单币测算'!$D$19</f>
      </c>
      <c r="T38" s="103">
        <f>IF(O38="","",SUM(O38,P38,R38,S38))</f>
      </c>
      <c r="U38" s="99">
        <f>MAX(0,'单币测算'!$D$14)*MAX(0,'单币测算'!$D$15)+MAX(0,'单币测算'!$D$16)+MAX(0,'单币测算'!$D$17)</f>
      </c>
      <c r="V38" s="95">
        <f>U38*MAX(0,'单币测算'!$D$18)</f>
      </c>
      <c r="W38" s="35">
        <f>IF('单币测算'!$D$26&gt;=J38,"不可达",IF('单币测算'!$D$13="否","可达；Snipe税未计","可达"))</f>
      </c>
    </row>
    <row r="39" ht="20" customHeight="1">
      <c r="C39" s="35" t="str">
        <v>NFLX</v>
      </c>
      <c r="D39" s="35" t="str">
        <v>Netflix</v>
      </c>
      <c r="E39" s="35" t="str">
        <v>股票 / ETF</v>
      </c>
      <c r="F39" s="95" t="n">
        <v>52.12121854304636</v>
      </c>
      <c r="G39" s="95" t="n">
        <v>130.3030463576159</v>
      </c>
      <c r="H39" s="95">
        <f>1000000000*F39*G39/(F39+G39)^2</f>
      </c>
      <c r="I39" s="95">
        <f>1000000000*F39^2/(F39+G39)^2</f>
      </c>
      <c r="J39" s="97">
        <f>MIN(1-I39/1000000000,5/7+(1-'单币测算'!$I$18-'单币测算'!$D$10)*H39/1000000000)</f>
      </c>
      <c r="K39" s="95">
        <f>IF('单币测算'!$D$26&lt;J39,1000000000*(1-'单币测算'!$D$26)-I39,"")</f>
      </c>
      <c r="L39" s="95">
        <f>IF(K39="","",H39*G39/K39)</f>
      </c>
      <c r="M39" s="95">
        <f>IF(1-'单币测算'!$I$17-'单币测算'!$D$10&gt;0,G39/(1-'单币测算'!$I$17-'单币测算'!$D$10),"")</f>
      </c>
      <c r="N39" s="95">
        <f>IF(K39="","",H39*G39/(H39-MAX(0,('单币测算'!$D$26-5/7)*1000000000)/(1-'单币测算'!$I$18-'单币测算'!$D$10))-G39)</f>
      </c>
      <c r="O39" s="95">
        <f>IF(N39="","",M39+N39)</f>
      </c>
      <c r="P39" s="95">
        <f>IF(M39="","",M39*MAX(0,'单币测算'!$D$15-1))</f>
      </c>
      <c r="Q39" s="95">
        <f>IF(L39="","",L39/K39*1000000000)</f>
      </c>
      <c r="R39" s="95">
        <f>IF(Q39="","",Q39*('单币测算'!$I$18+'单币测算'!$D$10)*2)</f>
      </c>
      <c r="S39" s="95">
        <f>'单币测算'!$D$19</f>
      </c>
      <c r="T39" s="103">
        <f>IF(O39="","",SUM(O39,P39,R39,S39))</f>
      </c>
      <c r="U39" s="99">
        <f>MAX(0,'单币测算'!$D$14)*MAX(0,'单币测算'!$D$15)+MAX(0,'单币测算'!$D$16)+MAX(0,'单币测算'!$D$17)</f>
      </c>
      <c r="V39" s="95">
        <f>U39*MAX(0,'单币测算'!$D$18)</f>
      </c>
      <c r="W39" s="35">
        <f>IF('单币测算'!$D$26&gt;=J39,"不可达",IF('单币测算'!$D$13="否","可达；Snipe税未计","可达"))</f>
      </c>
    </row>
    <row r="40" ht="20" customHeight="1">
      <c r="C40" s="35" t="str">
        <v>NU</v>
      </c>
      <c r="D40" s="35" t="str">
        <v>Nu</v>
      </c>
      <c r="E40" s="35" t="str">
        <v>股票 / ETF</v>
      </c>
      <c r="F40" s="95" t="n">
        <v>267.0054668820678</v>
      </c>
      <c r="G40" s="95" t="n">
        <v>667.5136672051697</v>
      </c>
      <c r="H40" s="95">
        <f>1000000000*F40*G40/(F40+G40)^2</f>
      </c>
      <c r="I40" s="95">
        <f>1000000000*F40^2/(F40+G40)^2</f>
      </c>
      <c r="J40" s="97">
        <f>MIN(1-I40/1000000000,5/7+(1-'单币测算'!$I$18-'单币测算'!$D$10)*H40/1000000000)</f>
      </c>
      <c r="K40" s="95">
        <f>IF('单币测算'!$D$26&lt;J40,1000000000*(1-'单币测算'!$D$26)-I40,"")</f>
      </c>
      <c r="L40" s="95">
        <f>IF(K40="","",H40*G40/K40)</f>
      </c>
      <c r="M40" s="95">
        <f>IF(1-'单币测算'!$I$17-'单币测算'!$D$10&gt;0,G40/(1-'单币测算'!$I$17-'单币测算'!$D$10),"")</f>
      </c>
      <c r="N40" s="95">
        <f>IF(K40="","",H40*G40/(H40-MAX(0,('单币测算'!$D$26-5/7)*1000000000)/(1-'单币测算'!$I$18-'单币测算'!$D$10))-G40)</f>
      </c>
      <c r="O40" s="95">
        <f>IF(N40="","",M40+N40)</f>
      </c>
      <c r="P40" s="95">
        <f>IF(M40="","",M40*MAX(0,'单币测算'!$D$15-1))</f>
      </c>
      <c r="Q40" s="95">
        <f>IF(L40="","",L40/K40*1000000000)</f>
      </c>
      <c r="R40" s="95">
        <f>IF(Q40="","",Q40*('单币测算'!$I$18+'单币测算'!$D$10)*2)</f>
      </c>
      <c r="S40" s="95">
        <f>'单币测算'!$D$19</f>
      </c>
      <c r="T40" s="103">
        <f>IF(O40="","",SUM(O40,P40,R40,S40))</f>
      </c>
      <c r="U40" s="99">
        <f>MAX(0,'单币测算'!$D$14)*MAX(0,'单币测算'!$D$15)+MAX(0,'单币测算'!$D$16)+MAX(0,'单币测算'!$D$17)</f>
      </c>
      <c r="V40" s="95">
        <f>U40*MAX(0,'单币测算'!$D$18)</f>
      </c>
      <c r="W40" s="35">
        <f>IF('单币测算'!$D$26&gt;=J40,"不可达",IF('单币测算'!$D$13="否","可达；Snipe税未计","可达"))</f>
      </c>
    </row>
    <row r="41" ht="20" customHeight="1">
      <c r="C41" s="35" t="str">
        <v>NVDA</v>
      </c>
      <c r="D41" s="35" t="str">
        <v>NVIDIA</v>
      </c>
      <c r="E41" s="35" t="str">
        <v>股票 / ETF</v>
      </c>
      <c r="F41" s="95" t="n">
        <v>16.64</v>
      </c>
      <c r="G41" s="95" t="n">
        <v>41.6</v>
      </c>
      <c r="H41" s="95">
        <f>1000000000*F41*G41/(F41+G41)^2</f>
      </c>
      <c r="I41" s="95">
        <f>1000000000*F41^2/(F41+G41)^2</f>
      </c>
      <c r="J41" s="97">
        <f>MIN(1-I41/1000000000,5/7+(1-'单币测算'!$I$18-'单币测算'!$D$10)*H41/1000000000)</f>
      </c>
      <c r="K41" s="95">
        <f>IF('单币测算'!$D$26&lt;J41,1000000000*(1-'单币测算'!$D$26)-I41,"")</f>
      </c>
      <c r="L41" s="95">
        <f>IF(K41="","",H41*G41/K41)</f>
      </c>
      <c r="M41" s="95">
        <f>IF(1-'单币测算'!$I$17-'单币测算'!$D$10&gt;0,G41/(1-'单币测算'!$I$17-'单币测算'!$D$10),"")</f>
      </c>
      <c r="N41" s="95">
        <f>IF(K41="","",H41*G41/(H41-MAX(0,('单币测算'!$D$26-5/7)*1000000000)/(1-'单币测算'!$I$18-'单币测算'!$D$10))-G41)</f>
      </c>
      <c r="O41" s="95">
        <f>IF(N41="","",M41+N41)</f>
      </c>
      <c r="P41" s="95">
        <f>IF(M41="","",M41*MAX(0,'单币测算'!$D$15-1))</f>
      </c>
      <c r="Q41" s="95">
        <f>IF(L41="","",L41/K41*1000000000)</f>
      </c>
      <c r="R41" s="95">
        <f>IF(Q41="","",Q41*('单币测算'!$I$18+'单币测算'!$D$10)*2)</f>
      </c>
      <c r="S41" s="95">
        <f>'单币测算'!$D$19</f>
      </c>
      <c r="T41" s="103">
        <f>IF(O41="","",SUM(O41,P41,R41,S41))</f>
      </c>
      <c r="U41" s="99">
        <f>MAX(0,'单币测算'!$D$14)*MAX(0,'单币测算'!$D$15)+MAX(0,'单币测算'!$D$16)+MAX(0,'单币测算'!$D$17)</f>
      </c>
      <c r="V41" s="95">
        <f>U41*MAX(0,'单币测算'!$D$18)</f>
      </c>
      <c r="W41" s="35">
        <f>IF('单币测算'!$D$26&gt;=J41,"不可达",IF('单币测算'!$D$13="否","可达；Snipe税未计","可达"))</f>
      </c>
    </row>
    <row r="42" ht="20" customHeight="1">
      <c r="C42" s="35" t="str">
        <v>PFE</v>
      </c>
      <c r="D42" s="35" t="str">
        <v>Pfizer</v>
      </c>
      <c r="E42" s="35" t="str">
        <v>股票 / ETF</v>
      </c>
      <c r="F42" s="95" t="n">
        <v>138.5507925568</v>
      </c>
      <c r="G42" s="95" t="n">
        <v>346.376981392</v>
      </c>
      <c r="H42" s="95">
        <f>1000000000*F42*G42/(F42+G42)^2</f>
      </c>
      <c r="I42" s="95">
        <f>1000000000*F42^2/(F42+G42)^2</f>
      </c>
      <c r="J42" s="97">
        <f>MIN(1-I42/1000000000,5/7+(1-'单币测算'!$I$18-'单币测算'!$D$10)*H42/1000000000)</f>
      </c>
      <c r="K42" s="95">
        <f>IF('单币测算'!$D$26&lt;J42,1000000000*(1-'单币测算'!$D$26)-I42,"")</f>
      </c>
      <c r="L42" s="95">
        <f>IF(K42="","",H42*G42/K42)</f>
      </c>
      <c r="M42" s="95">
        <f>IF(1-'单币测算'!$I$17-'单币测算'!$D$10&gt;0,G42/(1-'单币测算'!$I$17-'单币测算'!$D$10),"")</f>
      </c>
      <c r="N42" s="95">
        <f>IF(K42="","",H42*G42/(H42-MAX(0,('单币测算'!$D$26-5/7)*1000000000)/(1-'单币测算'!$I$18-'单币测算'!$D$10))-G42)</f>
      </c>
      <c r="O42" s="95">
        <f>IF(N42="","",M42+N42)</f>
      </c>
      <c r="P42" s="95">
        <f>IF(M42="","",M42*MAX(0,'单币测算'!$D$15-1))</f>
      </c>
      <c r="Q42" s="95">
        <f>IF(L42="","",L42/K42*1000000000)</f>
      </c>
      <c r="R42" s="95">
        <f>IF(Q42="","",Q42*('单币测算'!$I$18+'单币测算'!$D$10)*2)</f>
      </c>
      <c r="S42" s="95">
        <f>'单币测算'!$D$19</f>
      </c>
      <c r="T42" s="103">
        <f>IF(O42="","",SUM(O42,P42,R42,S42))</f>
      </c>
      <c r="U42" s="99">
        <f>MAX(0,'单币测算'!$D$14)*MAX(0,'单币测算'!$D$15)+MAX(0,'单币测算'!$D$16)+MAX(0,'单币测算'!$D$17)</f>
      </c>
      <c r="V42" s="95">
        <f>U42*MAX(0,'单币测算'!$D$18)</f>
      </c>
      <c r="W42" s="35">
        <f>IF('单币测算'!$D$26&gt;=J42,"不可达",IF('单币测算'!$D$13="否","可达；Snipe税未计","可达"))</f>
      </c>
    </row>
    <row r="43" ht="20" customHeight="1">
      <c r="C43" s="35" t="str">
        <v>PLTR</v>
      </c>
      <c r="D43" s="35" t="str">
        <v>Palantir Technologies</v>
      </c>
      <c r="E43" s="35" t="str">
        <v>股票 / ETF</v>
      </c>
      <c r="F43" s="95" t="n">
        <v>18.82605010536</v>
      </c>
      <c r="G43" s="95" t="n">
        <v>47.0651252634</v>
      </c>
      <c r="H43" s="95">
        <f>1000000000*F43*G43/(F43+G43)^2</f>
      </c>
      <c r="I43" s="95">
        <f>1000000000*F43^2/(F43+G43)^2</f>
      </c>
      <c r="J43" s="97">
        <f>MIN(1-I43/1000000000,5/7+(1-'单币测算'!$I$18-'单币测算'!$D$10)*H43/1000000000)</f>
      </c>
      <c r="K43" s="95">
        <f>IF('单币测算'!$D$26&lt;J43,1000000000*(1-'单币测算'!$D$26)-I43,"")</f>
      </c>
      <c r="L43" s="95">
        <f>IF(K43="","",H43*G43/K43)</f>
      </c>
      <c r="M43" s="95">
        <f>IF(1-'单币测算'!$I$17-'单币测算'!$D$10&gt;0,G43/(1-'单币测算'!$I$17-'单币测算'!$D$10),"")</f>
      </c>
      <c r="N43" s="95">
        <f>IF(K43="","",H43*G43/(H43-MAX(0,('单币测算'!$D$26-5/7)*1000000000)/(1-'单币测算'!$I$18-'单币测算'!$D$10))-G43)</f>
      </c>
      <c r="O43" s="95">
        <f>IF(N43="","",M43+N43)</f>
      </c>
      <c r="P43" s="95">
        <f>IF(M43="","",M43*MAX(0,'单币测算'!$D$15-1))</f>
      </c>
      <c r="Q43" s="95">
        <f>IF(L43="","",L43/K43*1000000000)</f>
      </c>
      <c r="R43" s="95">
        <f>IF(Q43="","",Q43*('单币测算'!$I$18+'单币测算'!$D$10)*2)</f>
      </c>
      <c r="S43" s="95">
        <f>'单币测算'!$D$19</f>
      </c>
      <c r="T43" s="103">
        <f>IF(O43="","",SUM(O43,P43,R43,S43))</f>
      </c>
      <c r="U43" s="99">
        <f>MAX(0,'单币测算'!$D$14)*MAX(0,'单币测算'!$D$15)+MAX(0,'单币测算'!$D$16)+MAX(0,'单币测算'!$D$17)</f>
      </c>
      <c r="V43" s="95">
        <f>U43*MAX(0,'单币测算'!$D$18)</f>
      </c>
      <c r="W43" s="35">
        <f>IF('单币测算'!$D$26&gt;=J43,"不可达",IF('单币测算'!$D$13="否","可达；Snipe税未计","可达"))</f>
      </c>
    </row>
    <row r="44" ht="20" customHeight="1">
      <c r="C44" s="35" t="str">
        <v>QQQ</v>
      </c>
      <c r="D44" s="35" t="str">
        <v>Invesco QQQ</v>
      </c>
      <c r="E44" s="35" t="str">
        <v>股票 / ETF</v>
      </c>
      <c r="F44" s="95" t="n">
        <v>4.45858995028</v>
      </c>
      <c r="G44" s="95" t="n">
        <v>11.1464748757</v>
      </c>
      <c r="H44" s="95">
        <f>1000000000*F44*G44/(F44+G44)^2</f>
      </c>
      <c r="I44" s="95">
        <f>1000000000*F44^2/(F44+G44)^2</f>
      </c>
      <c r="J44" s="97">
        <f>MIN(1-I44/1000000000,5/7+(1-'单币测算'!$I$18-'单币测算'!$D$10)*H44/1000000000)</f>
      </c>
      <c r="K44" s="95">
        <f>IF('单币测算'!$D$26&lt;J44,1000000000*(1-'单币测算'!$D$26)-I44,"")</f>
      </c>
      <c r="L44" s="95">
        <f>IF(K44="","",H44*G44/K44)</f>
      </c>
      <c r="M44" s="95">
        <f>IF(1-'单币测算'!$I$17-'单币测算'!$D$10&gt;0,G44/(1-'单币测算'!$I$17-'单币测算'!$D$10),"")</f>
      </c>
      <c r="N44" s="95">
        <f>IF(K44="","",H44*G44/(H44-MAX(0,('单币测算'!$D$26-5/7)*1000000000)/(1-'单币测算'!$I$18-'单币测算'!$D$10))-G44)</f>
      </c>
      <c r="O44" s="95">
        <f>IF(N44="","",M44+N44)</f>
      </c>
      <c r="P44" s="95">
        <f>IF(M44="","",M44*MAX(0,'单币测算'!$D$15-1))</f>
      </c>
      <c r="Q44" s="95">
        <f>IF(L44="","",L44/K44*1000000000)</f>
      </c>
      <c r="R44" s="95">
        <f>IF(Q44="","",Q44*('单币测算'!$I$18+'单币测算'!$D$10)*2)</f>
      </c>
      <c r="S44" s="95">
        <f>'单币测算'!$D$19</f>
      </c>
      <c r="T44" s="103">
        <f>IF(O44="","",SUM(O44,P44,R44,S44))</f>
      </c>
      <c r="U44" s="99">
        <f>MAX(0,'单币测算'!$D$14)*MAX(0,'单币测算'!$D$15)+MAX(0,'单币测算'!$D$16)+MAX(0,'单币测算'!$D$17)</f>
      </c>
      <c r="V44" s="95">
        <f>U44*MAX(0,'单币测算'!$D$18)</f>
      </c>
      <c r="W44" s="35">
        <f>IF('单币测算'!$D$26&gt;=J44,"不可达",IF('单币测算'!$D$13="否","可达；Snipe税未计","可达"))</f>
      </c>
    </row>
    <row r="45" ht="20" customHeight="1">
      <c r="C45" s="35" t="str">
        <v>RBLX</v>
      </c>
      <c r="D45" s="35" t="str">
        <v>Roblox</v>
      </c>
      <c r="E45" s="35" t="str">
        <v>股票 / ETF</v>
      </c>
      <c r="F45" s="95" t="n">
        <v>99.568605852</v>
      </c>
      <c r="G45" s="95" t="n">
        <v>248.92151463</v>
      </c>
      <c r="H45" s="95">
        <f>1000000000*F45*G45/(F45+G45)^2</f>
      </c>
      <c r="I45" s="95">
        <f>1000000000*F45^2/(F45+G45)^2</f>
      </c>
      <c r="J45" s="97">
        <f>MIN(1-I45/1000000000,5/7+(1-'单币测算'!$I$18-'单币测算'!$D$10)*H45/1000000000)</f>
      </c>
      <c r="K45" s="95">
        <f>IF('单币测算'!$D$26&lt;J45,1000000000*(1-'单币测算'!$D$26)-I45,"")</f>
      </c>
      <c r="L45" s="95">
        <f>IF(K45="","",H45*G45/K45)</f>
      </c>
      <c r="M45" s="95">
        <f>IF(1-'单币测算'!$I$17-'单币测算'!$D$10&gt;0,G45/(1-'单币测算'!$I$17-'单币测算'!$D$10),"")</f>
      </c>
      <c r="N45" s="95">
        <f>IF(K45="","",H45*G45/(H45-MAX(0,('单币测算'!$D$26-5/7)*1000000000)/(1-'单币测算'!$I$18-'单币测算'!$D$10))-G45)</f>
      </c>
      <c r="O45" s="95">
        <f>IF(N45="","",M45+N45)</f>
      </c>
      <c r="P45" s="95">
        <f>IF(M45="","",M45*MAX(0,'单币测算'!$D$15-1))</f>
      </c>
      <c r="Q45" s="95">
        <f>IF(L45="","",L45/K45*1000000000)</f>
      </c>
      <c r="R45" s="95">
        <f>IF(Q45="","",Q45*('单币测算'!$I$18+'单币测算'!$D$10)*2)</f>
      </c>
      <c r="S45" s="95">
        <f>'单币测算'!$D$19</f>
      </c>
      <c r="T45" s="103">
        <f>IF(O45="","",SUM(O45,P45,R45,S45))</f>
      </c>
      <c r="U45" s="99">
        <f>MAX(0,'单币测算'!$D$14)*MAX(0,'单币测算'!$D$15)+MAX(0,'单币测算'!$D$16)+MAX(0,'单币测算'!$D$17)</f>
      </c>
      <c r="V45" s="95">
        <f>U45*MAX(0,'单币测算'!$D$18)</f>
      </c>
      <c r="W45" s="35">
        <f>IF('单币测算'!$D$26&gt;=J45,"不可达",IF('单币测算'!$D$13="否","可达；Snipe税未计","可达"))</f>
      </c>
    </row>
    <row r="46" ht="20" customHeight="1">
      <c r="C46" s="35" t="str">
        <v>RDDT</v>
      </c>
      <c r="D46" s="35" t="str">
        <v>Reddit</v>
      </c>
      <c r="E46" s="35" t="str">
        <v>股票 / ETF</v>
      </c>
      <c r="F46" s="95" t="n">
        <v>16.93886097152</v>
      </c>
      <c r="G46" s="95" t="n">
        <v>42.3471524288</v>
      </c>
      <c r="H46" s="95">
        <f>1000000000*F46*G46/(F46+G46)^2</f>
      </c>
      <c r="I46" s="95">
        <f>1000000000*F46^2/(F46+G46)^2</f>
      </c>
      <c r="J46" s="97">
        <f>MIN(1-I46/1000000000,5/7+(1-'单币测算'!$I$18-'单币测算'!$D$10)*H46/1000000000)</f>
      </c>
      <c r="K46" s="95">
        <f>IF('单币测算'!$D$26&lt;J46,1000000000*(1-'单币测算'!$D$26)-I46,"")</f>
      </c>
      <c r="L46" s="95">
        <f>IF(K46="","",H46*G46/K46)</f>
      </c>
      <c r="M46" s="95">
        <f>IF(1-'单币测算'!$I$17-'单币测算'!$D$10&gt;0,G46/(1-'单币测算'!$I$17-'单币测算'!$D$10),"")</f>
      </c>
      <c r="N46" s="95">
        <f>IF(K46="","",H46*G46/(H46-MAX(0,('单币测算'!$D$26-5/7)*1000000000)/(1-'单币测算'!$I$18-'单币测算'!$D$10))-G46)</f>
      </c>
      <c r="O46" s="95">
        <f>IF(N46="","",M46+N46)</f>
      </c>
      <c r="P46" s="95">
        <f>IF(M46="","",M46*MAX(0,'单币测算'!$D$15-1))</f>
      </c>
      <c r="Q46" s="95">
        <f>IF(L46="","",L46/K46*1000000000)</f>
      </c>
      <c r="R46" s="95">
        <f>IF(Q46="","",Q46*('单币测算'!$I$18+'单币测算'!$D$10)*2)</f>
      </c>
      <c r="S46" s="95">
        <f>'单币测算'!$D$19</f>
      </c>
      <c r="T46" s="103">
        <f>IF(O46="","",SUM(O46,P46,R46,S46))</f>
      </c>
      <c r="U46" s="99">
        <f>MAX(0,'单币测算'!$D$14)*MAX(0,'单币测算'!$D$15)+MAX(0,'单币测算'!$D$16)+MAX(0,'单币测算'!$D$17)</f>
      </c>
      <c r="V46" s="95">
        <f>U46*MAX(0,'单币测算'!$D$18)</f>
      </c>
      <c r="W46" s="35">
        <f>IF('单币测算'!$D$26&gt;=J46,"不可达",IF('单币测算'!$D$13="否","可达；Snipe税未计","可达"))</f>
      </c>
    </row>
    <row r="47" ht="20" customHeight="1">
      <c r="C47" s="35" t="str">
        <v>RIVN</v>
      </c>
      <c r="D47" s="35" t="str">
        <v>Rivian Automotive</v>
      </c>
      <c r="E47" s="35" t="str">
        <v>股票 / ETF</v>
      </c>
      <c r="F47" s="95" t="n">
        <v>257.5748878924</v>
      </c>
      <c r="G47" s="95" t="n">
        <v>643.937219731</v>
      </c>
      <c r="H47" s="95">
        <f>1000000000*F47*G47/(F47+G47)^2</f>
      </c>
      <c r="I47" s="95">
        <f>1000000000*F47^2/(F47+G47)^2</f>
      </c>
      <c r="J47" s="97">
        <f>MIN(1-I47/1000000000,5/7+(1-'单币测算'!$I$18-'单币测算'!$D$10)*H47/1000000000)</f>
      </c>
      <c r="K47" s="95">
        <f>IF('单币测算'!$D$26&lt;J47,1000000000*(1-'单币测算'!$D$26)-I47,"")</f>
      </c>
      <c r="L47" s="95">
        <f>IF(K47="","",H47*G47/K47)</f>
      </c>
      <c r="M47" s="95">
        <f>IF(1-'单币测算'!$I$17-'单币测算'!$D$10&gt;0,G47/(1-'单币测算'!$I$17-'单币测算'!$D$10),"")</f>
      </c>
      <c r="N47" s="95">
        <f>IF(K47="","",H47*G47/(H47-MAX(0,('单币测算'!$D$26-5/7)*1000000000)/(1-'单币测算'!$I$18-'单币测算'!$D$10))-G47)</f>
      </c>
      <c r="O47" s="95">
        <f>IF(N47="","",M47+N47)</f>
      </c>
      <c r="P47" s="95">
        <f>IF(M47="","",M47*MAX(0,'单币测算'!$D$15-1))</f>
      </c>
      <c r="Q47" s="95">
        <f>IF(L47="","",L47/K47*1000000000)</f>
      </c>
      <c r="R47" s="95">
        <f>IF(Q47="","",Q47*('单币测算'!$I$18+'单币测算'!$D$10)*2)</f>
      </c>
      <c r="S47" s="95">
        <f>'单币测算'!$D$19</f>
      </c>
      <c r="T47" s="103">
        <f>IF(O47="","",SUM(O47,P47,R47,S47))</f>
      </c>
      <c r="U47" s="99">
        <f>MAX(0,'单币测算'!$D$14)*MAX(0,'单币测算'!$D$15)+MAX(0,'单币测算'!$D$16)+MAX(0,'单币测算'!$D$17)</f>
      </c>
      <c r="V47" s="95">
        <f>U47*MAX(0,'单币测算'!$D$18)</f>
      </c>
      <c r="W47" s="35">
        <f>IF('单币测算'!$D$26&gt;=J47,"不可达",IF('单币测算'!$D$13="否","可达；Snipe税未计","可达"))</f>
      </c>
    </row>
    <row r="48" ht="20" customHeight="1">
      <c r="C48" s="35" t="str">
        <v>SGOV</v>
      </c>
      <c r="D48" s="35" t="str">
        <v>iShares 0-3 Month Treasury Bond</v>
      </c>
      <c r="E48" s="35" t="str">
        <v>股票 / ETF</v>
      </c>
      <c r="F48" s="95" t="n">
        <v>41.12662340247641</v>
      </c>
      <c r="G48" s="95" t="n">
        <v>102.81655850619103</v>
      </c>
      <c r="H48" s="95">
        <f>1000000000*F48*G48/(F48+G48)^2</f>
      </c>
      <c r="I48" s="95">
        <f>1000000000*F48^2/(F48+G48)^2</f>
      </c>
      <c r="J48" s="97">
        <f>MIN(1-I48/1000000000,5/7+(1-'单币测算'!$I$18-'单币测算'!$D$10)*H48/1000000000)</f>
      </c>
      <c r="K48" s="95">
        <f>IF('单币测算'!$D$26&lt;J48,1000000000*(1-'单币测算'!$D$26)-I48,"")</f>
      </c>
      <c r="L48" s="95">
        <f>IF(K48="","",H48*G48/K48)</f>
      </c>
      <c r="M48" s="95">
        <f>IF(1-'单币测算'!$I$17-'单币测算'!$D$10&gt;0,G48/(1-'单币测算'!$I$17-'单币测算'!$D$10),"")</f>
      </c>
      <c r="N48" s="95">
        <f>IF(K48="","",H48*G48/(H48-MAX(0,('单币测算'!$D$26-5/7)*1000000000)/(1-'单币测算'!$I$18-'单币测算'!$D$10))-G48)</f>
      </c>
      <c r="O48" s="95">
        <f>IF(N48="","",M48+N48)</f>
      </c>
      <c r="P48" s="95">
        <f>IF(M48="","",M48*MAX(0,'单币测算'!$D$15-1))</f>
      </c>
      <c r="Q48" s="95">
        <f>IF(L48="","",L48/K48*1000000000)</f>
      </c>
      <c r="R48" s="95">
        <f>IF(Q48="","",Q48*('单币测算'!$I$18+'单币测算'!$D$10)*2)</f>
      </c>
      <c r="S48" s="95">
        <f>'单币测算'!$D$19</f>
      </c>
      <c r="T48" s="103">
        <f>IF(O48="","",SUM(O48,P48,R48,S48))</f>
      </c>
      <c r="U48" s="99">
        <f>MAX(0,'单币测算'!$D$14)*MAX(0,'单币测算'!$D$15)+MAX(0,'单币测算'!$D$16)+MAX(0,'单币测算'!$D$17)</f>
      </c>
      <c r="V48" s="95">
        <f>U48*MAX(0,'单币测算'!$D$18)</f>
      </c>
      <c r="W48" s="35">
        <f>IF('单币测算'!$D$26&gt;=J48,"不可达",IF('单币测算'!$D$13="否","可达；Snipe税未计","可达"))</f>
      </c>
    </row>
    <row r="49" ht="20" customHeight="1">
      <c r="C49" s="35" t="str">
        <v>SHOP</v>
      </c>
      <c r="D49" s="35" t="str">
        <v>Shopify</v>
      </c>
      <c r="E49" s="35" t="str">
        <v>股票 / ETF</v>
      </c>
      <c r="F49" s="95" t="n">
        <v>28.03575519066359</v>
      </c>
      <c r="G49" s="95" t="n">
        <v>70.08938797665897</v>
      </c>
      <c r="H49" s="95">
        <f>1000000000*F49*G49/(F49+G49)^2</f>
      </c>
      <c r="I49" s="95">
        <f>1000000000*F49^2/(F49+G49)^2</f>
      </c>
      <c r="J49" s="97">
        <f>MIN(1-I49/1000000000,5/7+(1-'单币测算'!$I$18-'单币测算'!$D$10)*H49/1000000000)</f>
      </c>
      <c r="K49" s="95">
        <f>IF('单币测算'!$D$26&lt;J49,1000000000*(1-'单币测算'!$D$26)-I49,"")</f>
      </c>
      <c r="L49" s="95">
        <f>IF(K49="","",H49*G49/K49)</f>
      </c>
      <c r="M49" s="95">
        <f>IF(1-'单币测算'!$I$17-'单币测算'!$D$10&gt;0,G49/(1-'单币测算'!$I$17-'单币测算'!$D$10),"")</f>
      </c>
      <c r="N49" s="95">
        <f>IF(K49="","",H49*G49/(H49-MAX(0,('单币测算'!$D$26-5/7)*1000000000)/(1-'单币测算'!$I$18-'单币测算'!$D$10))-G49)</f>
      </c>
      <c r="O49" s="95">
        <f>IF(N49="","",M49+N49)</f>
      </c>
      <c r="P49" s="95">
        <f>IF(M49="","",M49*MAX(0,'单币测算'!$D$15-1))</f>
      </c>
      <c r="Q49" s="95">
        <f>IF(L49="","",L49/K49*1000000000)</f>
      </c>
      <c r="R49" s="95">
        <f>IF(Q49="","",Q49*('单币测算'!$I$18+'单币测算'!$D$10)*2)</f>
      </c>
      <c r="S49" s="95">
        <f>'单币测算'!$D$19</f>
      </c>
      <c r="T49" s="103">
        <f>IF(O49="","",SUM(O49,P49,R49,S49))</f>
      </c>
      <c r="U49" s="99">
        <f>MAX(0,'单币测算'!$D$14)*MAX(0,'单币测算'!$D$15)+MAX(0,'单币测算'!$D$16)+MAX(0,'单币测算'!$D$17)</f>
      </c>
      <c r="V49" s="95">
        <f>U49*MAX(0,'单币测算'!$D$18)</f>
      </c>
      <c r="W49" s="35">
        <f>IF('单币测算'!$D$26&gt;=J49,"不可达",IF('单币测算'!$D$13="否","可达；Snipe税未计","可达"))</f>
      </c>
    </row>
    <row r="50" ht="20" customHeight="1">
      <c r="C50" s="35" t="str">
        <v>SKHY</v>
      </c>
      <c r="D50" s="35" t="str">
        <v>SK hynix</v>
      </c>
      <c r="E50" s="35" t="str">
        <v>股票 / ETF</v>
      </c>
      <c r="F50" s="95" t="n">
        <v>25.18631173032</v>
      </c>
      <c r="G50" s="95" t="n">
        <v>62.9657793258</v>
      </c>
      <c r="H50" s="95">
        <f>1000000000*F50*G50/(F50+G50)^2</f>
      </c>
      <c r="I50" s="95">
        <f>1000000000*F50^2/(F50+G50)^2</f>
      </c>
      <c r="J50" s="97">
        <f>MIN(1-I50/1000000000,5/7+(1-'单币测算'!$I$18-'单币测算'!$D$10)*H50/1000000000)</f>
      </c>
      <c r="K50" s="95">
        <f>IF('单币测算'!$D$26&lt;J50,1000000000*(1-'单币测算'!$D$26)-I50,"")</f>
      </c>
      <c r="L50" s="95">
        <f>IF(K50="","",H50*G50/K50)</f>
      </c>
      <c r="M50" s="95">
        <f>IF(1-'单币测算'!$I$17-'单币测算'!$D$10&gt;0,G50/(1-'单币测算'!$I$17-'单币测算'!$D$10),"")</f>
      </c>
      <c r="N50" s="95">
        <f>IF(K50="","",H50*G50/(H50-MAX(0,('单币测算'!$D$26-5/7)*1000000000)/(1-'单币测算'!$I$18-'单币测算'!$D$10))-G50)</f>
      </c>
      <c r="O50" s="95">
        <f>IF(N50="","",M50+N50)</f>
      </c>
      <c r="P50" s="95">
        <f>IF(M50="","",M50*MAX(0,'单币测算'!$D$15-1))</f>
      </c>
      <c r="Q50" s="95">
        <f>IF(L50="","",L50/K50*1000000000)</f>
      </c>
      <c r="R50" s="95">
        <f>IF(Q50="","",Q50*('单币测算'!$I$18+'单币测算'!$D$10)*2)</f>
      </c>
      <c r="S50" s="95">
        <f>'单币测算'!$D$19</f>
      </c>
      <c r="T50" s="103">
        <f>IF(O50="","",SUM(O50,P50,R50,S50))</f>
      </c>
      <c r="U50" s="99">
        <f>MAX(0,'单币测算'!$D$14)*MAX(0,'单币测算'!$D$15)+MAX(0,'单币测算'!$D$16)+MAX(0,'单币测算'!$D$17)</f>
      </c>
      <c r="V50" s="95">
        <f>U50*MAX(0,'单币测算'!$D$18)</f>
      </c>
      <c r="W50" s="35">
        <f>IF('单币测算'!$D$26&gt;=J50,"不可达",IF('单币测算'!$D$13="否","可达；Snipe税未计","可达"))</f>
      </c>
    </row>
    <row r="51" ht="20" customHeight="1">
      <c r="C51" s="35" t="str">
        <v>SLV</v>
      </c>
      <c r="D51" s="35" t="str">
        <v>iShares Silver Trust</v>
      </c>
      <c r="E51" s="35" t="str">
        <v>股票 / ETF</v>
      </c>
      <c r="F51" s="95" t="n">
        <v>69.11859484777517</v>
      </c>
      <c r="G51" s="95" t="n">
        <v>172.79648711943796</v>
      </c>
      <c r="H51" s="95">
        <f>1000000000*F51*G51/(F51+G51)^2</f>
      </c>
      <c r="I51" s="95">
        <f>1000000000*F51^2/(F51+G51)^2</f>
      </c>
      <c r="J51" s="97">
        <f>MIN(1-I51/1000000000,5/7+(1-'单币测算'!$I$18-'单币测算'!$D$10)*H51/1000000000)</f>
      </c>
      <c r="K51" s="95">
        <f>IF('单币测算'!$D$26&lt;J51,1000000000*(1-'单币测算'!$D$26)-I51,"")</f>
      </c>
      <c r="L51" s="95">
        <f>IF(K51="","",H51*G51/K51)</f>
      </c>
      <c r="M51" s="95">
        <f>IF(1-'单币测算'!$I$17-'单币测算'!$D$10&gt;0,G51/(1-'单币测算'!$I$17-'单币测算'!$D$10),"")</f>
      </c>
      <c r="N51" s="95">
        <f>IF(K51="","",H51*G51/(H51-MAX(0,('单币测算'!$D$26-5/7)*1000000000)/(1-'单币测算'!$I$18-'单币测算'!$D$10))-G51)</f>
      </c>
      <c r="O51" s="95">
        <f>IF(N51="","",M51+N51)</f>
      </c>
      <c r="P51" s="95">
        <f>IF(M51="","",M51*MAX(0,'单币测算'!$D$15-1))</f>
      </c>
      <c r="Q51" s="95">
        <f>IF(L51="","",L51/K51*1000000000)</f>
      </c>
      <c r="R51" s="95">
        <f>IF(Q51="","",Q51*('单币测算'!$I$18+'单币测算'!$D$10)*2)</f>
      </c>
      <c r="S51" s="95">
        <f>'单币测算'!$D$19</f>
      </c>
      <c r="T51" s="103">
        <f>IF(O51="","",SUM(O51,P51,R51,S51))</f>
      </c>
      <c r="U51" s="99">
        <f>MAX(0,'单币测算'!$D$14)*MAX(0,'单币测算'!$D$15)+MAX(0,'单币测算'!$D$16)+MAX(0,'单币测算'!$D$17)</f>
      </c>
      <c r="V51" s="95">
        <f>U51*MAX(0,'单币测算'!$D$18)</f>
      </c>
      <c r="W51" s="35">
        <f>IF('单币测算'!$D$26&gt;=J51,"不可达",IF('单币测算'!$D$13="否","可达；Snipe税未计","可达"))</f>
      </c>
    </row>
    <row r="52" ht="20" customHeight="1">
      <c r="C52" s="35" t="str">
        <v>SNAP</v>
      </c>
      <c r="D52" s="35" t="str">
        <v>Snap</v>
      </c>
      <c r="E52" s="35" t="str">
        <v>股票 / ETF</v>
      </c>
      <c r="F52" s="95" t="n">
        <v>719.274418604</v>
      </c>
      <c r="G52" s="95" t="n">
        <v>1798.18604651</v>
      </c>
      <c r="H52" s="95">
        <f>1000000000*F52*G52/(F52+G52)^2</f>
      </c>
      <c r="I52" s="95">
        <f>1000000000*F52^2/(F52+G52)^2</f>
      </c>
      <c r="J52" s="97">
        <f>MIN(1-I52/1000000000,5/7+(1-'单币测算'!$I$18-'单币测算'!$D$10)*H52/1000000000)</f>
      </c>
      <c r="K52" s="95">
        <f>IF('单币测算'!$D$26&lt;J52,1000000000*(1-'单币测算'!$D$26)-I52,"")</f>
      </c>
      <c r="L52" s="95">
        <f>IF(K52="","",H52*G52/K52)</f>
      </c>
      <c r="M52" s="95">
        <f>IF(1-'单币测算'!$I$17-'单币测算'!$D$10&gt;0,G52/(1-'单币测算'!$I$17-'单币测算'!$D$10),"")</f>
      </c>
      <c r="N52" s="95">
        <f>IF(K52="","",H52*G52/(H52-MAX(0,('单币测算'!$D$26-5/7)*1000000000)/(1-'单币测算'!$I$18-'单币测算'!$D$10))-G52)</f>
      </c>
      <c r="O52" s="95">
        <f>IF(N52="","",M52+N52)</f>
      </c>
      <c r="P52" s="95">
        <f>IF(M52="","",M52*MAX(0,'单币测算'!$D$15-1))</f>
      </c>
      <c r="Q52" s="95">
        <f>IF(L52="","",L52/K52*1000000000)</f>
      </c>
      <c r="R52" s="95">
        <f>IF(Q52="","",Q52*('单币测算'!$I$18+'单币测算'!$D$10)*2)</f>
      </c>
      <c r="S52" s="95">
        <f>'单币测算'!$D$19</f>
      </c>
      <c r="T52" s="103">
        <f>IF(O52="","",SUM(O52,P52,R52,S52))</f>
      </c>
      <c r="U52" s="99">
        <f>MAX(0,'单币测算'!$D$14)*MAX(0,'单币测算'!$D$15)+MAX(0,'单币测算'!$D$16)+MAX(0,'单币测算'!$D$17)</f>
      </c>
      <c r="V52" s="95">
        <f>U52*MAX(0,'单币测算'!$D$18)</f>
      </c>
      <c r="W52" s="35">
        <f>IF('单币测算'!$D$26&gt;=J52,"不可达",IF('单币测算'!$D$13="否","可达；Snipe税未计","可达"))</f>
      </c>
    </row>
    <row r="53" ht="20" customHeight="1">
      <c r="C53" s="35" t="str">
        <v>SNDK</v>
      </c>
      <c r="D53" s="35" t="str">
        <v>SanDisk</v>
      </c>
      <c r="E53" s="35" t="str">
        <v>股票 / ETF</v>
      </c>
      <c r="F53" s="95" t="n">
        <v>2.652177326252</v>
      </c>
      <c r="G53" s="95" t="n">
        <v>6.63044331563</v>
      </c>
      <c r="H53" s="95">
        <f>1000000000*F53*G53/(F53+G53)^2</f>
      </c>
      <c r="I53" s="95">
        <f>1000000000*F53^2/(F53+G53)^2</f>
      </c>
      <c r="J53" s="97">
        <f>MIN(1-I53/1000000000,5/7+(1-'单币测算'!$I$18-'单币测算'!$D$10)*H53/1000000000)</f>
      </c>
      <c r="K53" s="95">
        <f>IF('单币测算'!$D$26&lt;J53,1000000000*(1-'单币测算'!$D$26)-I53,"")</f>
      </c>
      <c r="L53" s="95">
        <f>IF(K53="","",H53*G53/K53)</f>
      </c>
      <c r="M53" s="95">
        <f>IF(1-'单币测算'!$I$17-'单币测算'!$D$10&gt;0,G53/(1-'单币测算'!$I$17-'单币测算'!$D$10),"")</f>
      </c>
      <c r="N53" s="95">
        <f>IF(K53="","",H53*G53/(H53-MAX(0,('单币测算'!$D$26-5/7)*1000000000)/(1-'单币测算'!$I$18-'单币测算'!$D$10))-G53)</f>
      </c>
      <c r="O53" s="95">
        <f>IF(N53="","",M53+N53)</f>
      </c>
      <c r="P53" s="95">
        <f>IF(M53="","",M53*MAX(0,'单币测算'!$D$15-1))</f>
      </c>
      <c r="Q53" s="95">
        <f>IF(L53="","",L53/K53*1000000000)</f>
      </c>
      <c r="R53" s="95">
        <f>IF(Q53="","",Q53*('单币测算'!$I$18+'单币测算'!$D$10)*2)</f>
      </c>
      <c r="S53" s="95">
        <f>'单币测算'!$D$19</f>
      </c>
      <c r="T53" s="103">
        <f>IF(O53="","",SUM(O53,P53,R53,S53))</f>
      </c>
      <c r="U53" s="99">
        <f>MAX(0,'单币测算'!$D$14)*MAX(0,'单币测算'!$D$15)+MAX(0,'单币测算'!$D$16)+MAX(0,'单币测算'!$D$17)</f>
      </c>
      <c r="V53" s="95">
        <f>U53*MAX(0,'单币测算'!$D$18)</f>
      </c>
      <c r="W53" s="35">
        <f>IF('单币测算'!$D$26&gt;=J53,"不可达",IF('单币测算'!$D$13="否","可达；Snipe税未计","可达"))</f>
      </c>
    </row>
    <row r="54" ht="20" customHeight="1">
      <c r="C54" s="35" t="str">
        <v>SPCX</v>
      </c>
      <c r="D54" s="35" t="str">
        <v>SpaceX Class A</v>
      </c>
      <c r="E54" s="35" t="str">
        <v>股票 / ETF</v>
      </c>
      <c r="F54" s="95" t="n">
        <v>28.88</v>
      </c>
      <c r="G54" s="95" t="n">
        <v>72.2</v>
      </c>
      <c r="H54" s="95">
        <f>1000000000*F54*G54/(F54+G54)^2</f>
      </c>
      <c r="I54" s="95">
        <f>1000000000*F54^2/(F54+G54)^2</f>
      </c>
      <c r="J54" s="97">
        <f>MIN(1-I54/1000000000,5/7+(1-'单币测算'!$I$18-'单币测算'!$D$10)*H54/1000000000)</f>
      </c>
      <c r="K54" s="95">
        <f>IF('单币测算'!$D$26&lt;J54,1000000000*(1-'单币测算'!$D$26)-I54,"")</f>
      </c>
      <c r="L54" s="95">
        <f>IF(K54="","",H54*G54/K54)</f>
      </c>
      <c r="M54" s="95">
        <f>IF(1-'单币测算'!$I$17-'单币测算'!$D$10&gt;0,G54/(1-'单币测算'!$I$17-'单币测算'!$D$10),"")</f>
      </c>
      <c r="N54" s="95">
        <f>IF(K54="","",H54*G54/(H54-MAX(0,('单币测算'!$D$26-5/7)*1000000000)/(1-'单币测算'!$I$18-'单币测算'!$D$10))-G54)</f>
      </c>
      <c r="O54" s="95">
        <f>IF(N54="","",M54+N54)</f>
      </c>
      <c r="P54" s="95">
        <f>IF(M54="","",M54*MAX(0,'单币测算'!$D$15-1))</f>
      </c>
      <c r="Q54" s="95">
        <f>IF(L54="","",L54/K54*1000000000)</f>
      </c>
      <c r="R54" s="95">
        <f>IF(Q54="","",Q54*('单币测算'!$I$18+'单币测算'!$D$10)*2)</f>
      </c>
      <c r="S54" s="95">
        <f>'单币测算'!$D$19</f>
      </c>
      <c r="T54" s="103">
        <f>IF(O54="","",SUM(O54,P54,R54,S54))</f>
      </c>
      <c r="U54" s="99">
        <f>MAX(0,'单币测算'!$D$14)*MAX(0,'单币测算'!$D$15)+MAX(0,'单币测算'!$D$16)+MAX(0,'单币测算'!$D$17)</f>
      </c>
      <c r="V54" s="95">
        <f>U54*MAX(0,'单币测算'!$D$18)</f>
      </c>
      <c r="W54" s="35">
        <f>IF('单币测算'!$D$26&gt;=J54,"不可达",IF('单币测算'!$D$13="否","可达；Snipe税未计","可达"))</f>
      </c>
    </row>
    <row r="55" ht="20" customHeight="1">
      <c r="C55" s="35" t="str">
        <v>SPY</v>
      </c>
      <c r="D55" s="35" t="str">
        <v>SPDR S&amp;P 500 ETF</v>
      </c>
      <c r="E55" s="35" t="str">
        <v>股票 / ETF</v>
      </c>
      <c r="F55" s="95" t="n">
        <v>4.36</v>
      </c>
      <c r="G55" s="95" t="n">
        <v>10.9</v>
      </c>
      <c r="H55" s="95">
        <f>1000000000*F55*G55/(F55+G55)^2</f>
      </c>
      <c r="I55" s="95">
        <f>1000000000*F55^2/(F55+G55)^2</f>
      </c>
      <c r="J55" s="97">
        <f>MIN(1-I55/1000000000,5/7+(1-'单币测算'!$I$18-'单币测算'!$D$10)*H55/1000000000)</f>
      </c>
      <c r="K55" s="95">
        <f>IF('单币测算'!$D$26&lt;J55,1000000000*(1-'单币测算'!$D$26)-I55,"")</f>
      </c>
      <c r="L55" s="95">
        <f>IF(K55="","",H55*G55/K55)</f>
      </c>
      <c r="M55" s="95">
        <f>IF(1-'单币测算'!$I$17-'单币测算'!$D$10&gt;0,G55/(1-'单币测算'!$I$17-'单币测算'!$D$10),"")</f>
      </c>
      <c r="N55" s="95">
        <f>IF(K55="","",H55*G55/(H55-MAX(0,('单币测算'!$D$26-5/7)*1000000000)/(1-'单币测算'!$I$18-'单币测算'!$D$10))-G55)</f>
      </c>
      <c r="O55" s="95">
        <f>IF(N55="","",M55+N55)</f>
      </c>
      <c r="P55" s="95">
        <f>IF(M55="","",M55*MAX(0,'单币测算'!$D$15-1))</f>
      </c>
      <c r="Q55" s="95">
        <f>IF(L55="","",L55/K55*1000000000)</f>
      </c>
      <c r="R55" s="95">
        <f>IF(Q55="","",Q55*('单币测算'!$I$18+'单币测算'!$D$10)*2)</f>
      </c>
      <c r="S55" s="95">
        <f>'单币测算'!$D$19</f>
      </c>
      <c r="T55" s="103">
        <f>IF(O55="","",SUM(O55,P55,R55,S55))</f>
      </c>
      <c r="U55" s="99">
        <f>MAX(0,'单币测算'!$D$14)*MAX(0,'单币测算'!$D$15)+MAX(0,'单币测算'!$D$16)+MAX(0,'单币测算'!$D$17)</f>
      </c>
      <c r="V55" s="95">
        <f>U55*MAX(0,'单币测算'!$D$18)</f>
      </c>
      <c r="W55" s="35">
        <f>IF('单币测算'!$D$26&gt;=J55,"不可达",IF('单币测算'!$D$13="否","可达；Snipe税未计","可达"))</f>
      </c>
    </row>
    <row r="56" ht="20" customHeight="1">
      <c r="C56" s="35" t="str">
        <v>TSLA</v>
      </c>
      <c r="D56" s="35" t="str">
        <v>Tesla</v>
      </c>
      <c r="E56" s="35" t="str">
        <v>股票 / ETF</v>
      </c>
      <c r="F56" s="95" t="n">
        <v>10.4</v>
      </c>
      <c r="G56" s="95" t="n">
        <v>26</v>
      </c>
      <c r="H56" s="95">
        <f>1000000000*F56*G56/(F56+G56)^2</f>
      </c>
      <c r="I56" s="95">
        <f>1000000000*F56^2/(F56+G56)^2</f>
      </c>
      <c r="J56" s="97">
        <f>MIN(1-I56/1000000000,5/7+(1-'单币测算'!$I$18-'单币测算'!$D$10)*H56/1000000000)</f>
      </c>
      <c r="K56" s="95">
        <f>IF('单币测算'!$D$26&lt;J56,1000000000*(1-'单币测算'!$D$26)-I56,"")</f>
      </c>
      <c r="L56" s="95">
        <f>IF(K56="","",H56*G56/K56)</f>
      </c>
      <c r="M56" s="95">
        <f>IF(1-'单币测算'!$I$17-'单币测算'!$D$10&gt;0,G56/(1-'单币测算'!$I$17-'单币测算'!$D$10),"")</f>
      </c>
      <c r="N56" s="95">
        <f>IF(K56="","",H56*G56/(H56-MAX(0,('单币测算'!$D$26-5/7)*1000000000)/(1-'单币测算'!$I$18-'单币测算'!$D$10))-G56)</f>
      </c>
      <c r="O56" s="95">
        <f>IF(N56="","",M56+N56)</f>
      </c>
      <c r="P56" s="95">
        <f>IF(M56="","",M56*MAX(0,'单币测算'!$D$15-1))</f>
      </c>
      <c r="Q56" s="95">
        <f>IF(L56="","",L56/K56*1000000000)</f>
      </c>
      <c r="R56" s="95">
        <f>IF(Q56="","",Q56*('单币测算'!$I$18+'单币测算'!$D$10)*2)</f>
      </c>
      <c r="S56" s="95">
        <f>'单币测算'!$D$19</f>
      </c>
      <c r="T56" s="103">
        <f>IF(O56="","",SUM(O56,P56,R56,S56))</f>
      </c>
      <c r="U56" s="99">
        <f>MAX(0,'单币测算'!$D$14)*MAX(0,'单币测算'!$D$15)+MAX(0,'单币测算'!$D$16)+MAX(0,'单币测算'!$D$17)</f>
      </c>
      <c r="V56" s="95">
        <f>U56*MAX(0,'单币测算'!$D$18)</f>
      </c>
      <c r="W56" s="35">
        <f>IF('单币测算'!$D$26&gt;=J56,"不可达",IF('单币测算'!$D$13="否","可达；Snipe税未计","可达"))</f>
      </c>
    </row>
    <row r="57" ht="20" customHeight="1">
      <c r="C57" s="35" t="str">
        <v>TSM</v>
      </c>
      <c r="D57" s="35" t="str">
        <v>Taiwan Semiconductor Manufacturing</v>
      </c>
      <c r="E57" s="35" t="str">
        <v>股票 / ETF</v>
      </c>
      <c r="F57" s="95" t="n">
        <v>9.78129275364</v>
      </c>
      <c r="G57" s="95" t="n">
        <v>24.4532318841</v>
      </c>
      <c r="H57" s="95">
        <f>1000000000*F57*G57/(F57+G57)^2</f>
      </c>
      <c r="I57" s="95">
        <f>1000000000*F57^2/(F57+G57)^2</f>
      </c>
      <c r="J57" s="97">
        <f>MIN(1-I57/1000000000,5/7+(1-'单币测算'!$I$18-'单币测算'!$D$10)*H57/1000000000)</f>
      </c>
      <c r="K57" s="95">
        <f>IF('单币测算'!$D$26&lt;J57,1000000000*(1-'单币测算'!$D$26)-I57,"")</f>
      </c>
      <c r="L57" s="95">
        <f>IF(K57="","",H57*G57/K57)</f>
      </c>
      <c r="M57" s="95">
        <f>IF(1-'单币测算'!$I$17-'单币测算'!$D$10&gt;0,G57/(1-'单币测算'!$I$17-'单币测算'!$D$10),"")</f>
      </c>
      <c r="N57" s="95">
        <f>IF(K57="","",H57*G57/(H57-MAX(0,('单币测算'!$D$26-5/7)*1000000000)/(1-'单币测算'!$I$18-'单币测算'!$D$10))-G57)</f>
      </c>
      <c r="O57" s="95">
        <f>IF(N57="","",M57+N57)</f>
      </c>
      <c r="P57" s="95">
        <f>IF(M57="","",M57*MAX(0,'单币测算'!$D$15-1))</f>
      </c>
      <c r="Q57" s="95">
        <f>IF(L57="","",L57/K57*1000000000)</f>
      </c>
      <c r="R57" s="95">
        <f>IF(Q57="","",Q57*('单币测算'!$I$18+'单币测算'!$D$10)*2)</f>
      </c>
      <c r="S57" s="95">
        <f>'单币测算'!$D$19</f>
      </c>
      <c r="T57" s="103">
        <f>IF(O57="","",SUM(O57,P57,R57,S57))</f>
      </c>
      <c r="U57" s="99">
        <f>MAX(0,'单币测算'!$D$14)*MAX(0,'单币测算'!$D$15)+MAX(0,'单币测算'!$D$16)+MAX(0,'单币测算'!$D$17)</f>
      </c>
      <c r="V57" s="95">
        <f>U57*MAX(0,'单币测算'!$D$18)</f>
      </c>
      <c r="W57" s="35">
        <f>IF('单币测算'!$D$26&gt;=J57,"不可达",IF('单币测算'!$D$13="否","可达；Snipe税未计","可达"))</f>
      </c>
    </row>
    <row r="58" ht="20" customHeight="1">
      <c r="C58" s="35" t="str">
        <v>TTWO</v>
      </c>
      <c r="D58" s="35" t="str">
        <v>Take-Two Interactive</v>
      </c>
      <c r="E58" s="35" t="str">
        <v>股票 / ETF</v>
      </c>
      <c r="F58" s="95" t="n">
        <v>10.6556027528</v>
      </c>
      <c r="G58" s="95" t="n">
        <v>26.639006882</v>
      </c>
      <c r="H58" s="95">
        <f>1000000000*F58*G58/(F58+G58)^2</f>
      </c>
      <c r="I58" s="95">
        <f>1000000000*F58^2/(F58+G58)^2</f>
      </c>
      <c r="J58" s="97">
        <f>MIN(1-I58/1000000000,5/7+(1-'单币测算'!$I$18-'单币测算'!$D$10)*H58/1000000000)</f>
      </c>
      <c r="K58" s="95">
        <f>IF('单币测算'!$D$26&lt;J58,1000000000*(1-'单币测算'!$D$26)-I58,"")</f>
      </c>
      <c r="L58" s="95">
        <f>IF(K58="","",H58*G58/K58)</f>
      </c>
      <c r="M58" s="95">
        <f>IF(1-'单币测算'!$I$17-'单币测算'!$D$10&gt;0,G58/(1-'单币测算'!$I$17-'单币测算'!$D$10),"")</f>
      </c>
      <c r="N58" s="95">
        <f>IF(K58="","",H58*G58/(H58-MAX(0,('单币测算'!$D$26-5/7)*1000000000)/(1-'单币测算'!$I$18-'单币测算'!$D$10))-G58)</f>
      </c>
      <c r="O58" s="95">
        <f>IF(N58="","",M58+N58)</f>
      </c>
      <c r="P58" s="95">
        <f>IF(M58="","",M58*MAX(0,'单币测算'!$D$15-1))</f>
      </c>
      <c r="Q58" s="95">
        <f>IF(L58="","",L58/K58*1000000000)</f>
      </c>
      <c r="R58" s="95">
        <f>IF(Q58="","",Q58*('单币测算'!$I$18+'单币测算'!$D$10)*2)</f>
      </c>
      <c r="S58" s="95">
        <f>'单币测算'!$D$19</f>
      </c>
      <c r="T58" s="103">
        <f>IF(O58="","",SUM(O58,P58,R58,S58))</f>
      </c>
      <c r="U58" s="99">
        <f>MAX(0,'单币测算'!$D$14)*MAX(0,'单币测算'!$D$15)+MAX(0,'单币测算'!$D$16)+MAX(0,'单币测算'!$D$17)</f>
      </c>
      <c r="V58" s="95">
        <f>U58*MAX(0,'单币测算'!$D$18)</f>
      </c>
      <c r="W58" s="35">
        <f>IF('单币测算'!$D$26&gt;=J58,"不可达",IF('单币测算'!$D$13="否","可达；Snipe税未计","可达"))</f>
      </c>
    </row>
    <row r="59" ht="20" customHeight="1">
      <c r="C59" s="35" t="str">
        <v>UPS</v>
      </c>
      <c r="D59" s="35" t="str">
        <v>UPS</v>
      </c>
      <c r="E59" s="35" t="str">
        <v>股票 / ETF</v>
      </c>
      <c r="F59" s="95" t="n">
        <v>40.12341813944455</v>
      </c>
      <c r="G59" s="95" t="n">
        <v>100.30854534861137</v>
      </c>
      <c r="H59" s="95">
        <f>1000000000*F59*G59/(F59+G59)^2</f>
      </c>
      <c r="I59" s="95">
        <f>1000000000*F59^2/(F59+G59)^2</f>
      </c>
      <c r="J59" s="97">
        <f>MIN(1-I59/1000000000,5/7+(1-'单币测算'!$I$18-'单币测算'!$D$10)*H59/1000000000)</f>
      </c>
      <c r="K59" s="95">
        <f>IF('单币测算'!$D$26&lt;J59,1000000000*(1-'单币测算'!$D$26)-I59,"")</f>
      </c>
      <c r="L59" s="95">
        <f>IF(K59="","",H59*G59/K59)</f>
      </c>
      <c r="M59" s="95">
        <f>IF(1-'单币测算'!$I$17-'单币测算'!$D$10&gt;0,G59/(1-'单币测算'!$I$17-'单币测算'!$D$10),"")</f>
      </c>
      <c r="N59" s="95">
        <f>IF(K59="","",H59*G59/(H59-MAX(0,('单币测算'!$D$26-5/7)*1000000000)/(1-'单币测算'!$I$18-'单币测算'!$D$10))-G59)</f>
      </c>
      <c r="O59" s="95">
        <f>IF(N59="","",M59+N59)</f>
      </c>
      <c r="P59" s="95">
        <f>IF(M59="","",M59*MAX(0,'单币测算'!$D$15-1))</f>
      </c>
      <c r="Q59" s="95">
        <f>IF(L59="","",L59/K59*1000000000)</f>
      </c>
      <c r="R59" s="95">
        <f>IF(Q59="","",Q59*('单币测算'!$I$18+'单币测算'!$D$10)*2)</f>
      </c>
      <c r="S59" s="95">
        <f>'单币测算'!$D$19</f>
      </c>
      <c r="T59" s="103">
        <f>IF(O59="","",SUM(O59,P59,R59,S59))</f>
      </c>
      <c r="U59" s="99">
        <f>MAX(0,'单币测算'!$D$14)*MAX(0,'单币测算'!$D$15)+MAX(0,'单币测算'!$D$16)+MAX(0,'单币测算'!$D$17)</f>
      </c>
      <c r="V59" s="95">
        <f>U59*MAX(0,'单币测算'!$D$18)</f>
      </c>
      <c r="W59" s="35">
        <f>IF('单币测算'!$D$26&gt;=J59,"不可达",IF('单币测算'!$D$13="否","可达；Snipe税未计","可达"))</f>
      </c>
    </row>
    <row r="60" ht="20" customHeight="1">
      <c r="C60" s="35" t="str">
        <v>USO</v>
      </c>
      <c r="D60" s="35" t="str">
        <v>United States Oil Fund</v>
      </c>
      <c r="E60" s="35" t="str">
        <v>股票 / ETF</v>
      </c>
      <c r="F60" s="95" t="n">
        <v>28.71954042552</v>
      </c>
      <c r="G60" s="95" t="n">
        <v>71.7988510638</v>
      </c>
      <c r="H60" s="95">
        <f>1000000000*F60*G60/(F60+G60)^2</f>
      </c>
      <c r="I60" s="95">
        <f>1000000000*F60^2/(F60+G60)^2</f>
      </c>
      <c r="J60" s="97">
        <f>MIN(1-I60/1000000000,5/7+(1-'单币测算'!$I$18-'单币测算'!$D$10)*H60/1000000000)</f>
      </c>
      <c r="K60" s="95">
        <f>IF('单币测算'!$D$26&lt;J60,1000000000*(1-'单币测算'!$D$26)-I60,"")</f>
      </c>
      <c r="L60" s="95">
        <f>IF(K60="","",H60*G60/K60)</f>
      </c>
      <c r="M60" s="95">
        <f>IF(1-'单币测算'!$I$17-'单币测算'!$D$10&gt;0,G60/(1-'单币测算'!$I$17-'单币测算'!$D$10),"")</f>
      </c>
      <c r="N60" s="95">
        <f>IF(K60="","",H60*G60/(H60-MAX(0,('单币测算'!$D$26-5/7)*1000000000)/(1-'单币测算'!$I$18-'单币测算'!$D$10))-G60)</f>
      </c>
      <c r="O60" s="95">
        <f>IF(N60="","",M60+N60)</f>
      </c>
      <c r="P60" s="95">
        <f>IF(M60="","",M60*MAX(0,'单币测算'!$D$15-1))</f>
      </c>
      <c r="Q60" s="95">
        <f>IF(L60="","",L60/K60*1000000000)</f>
      </c>
      <c r="R60" s="95">
        <f>IF(Q60="","",Q60*('单币测算'!$I$18+'单币测算'!$D$10)*2)</f>
      </c>
      <c r="S60" s="95">
        <f>'单币测算'!$D$19</f>
      </c>
      <c r="T60" s="103">
        <f>IF(O60="","",SUM(O60,P60,R60,S60))</f>
      </c>
      <c r="U60" s="99">
        <f>MAX(0,'单币测算'!$D$14)*MAX(0,'单币测算'!$D$15)+MAX(0,'单币测算'!$D$16)+MAX(0,'单币测算'!$D$17)</f>
      </c>
      <c r="V60" s="95">
        <f>U60*MAX(0,'单币测算'!$D$18)</f>
      </c>
      <c r="W60" s="35">
        <f>IF('单币测算'!$D$26&gt;=J60,"不可达",IF('单币测算'!$D$13="否","可达；Snipe税未计","可达"))</f>
      </c>
    </row>
    <row r="61" ht="20" customHeight="1">
      <c r="C61" s="35" t="str">
        <v>WYFI</v>
      </c>
      <c r="D61" s="35" t="str">
        <v>WhiteFiber</v>
      </c>
      <c r="E61" s="35" t="str">
        <v>股票 / ETF</v>
      </c>
      <c r="F61" s="95" t="n">
        <v>231.39744</v>
      </c>
      <c r="G61" s="95" t="n">
        <v>578.4936</v>
      </c>
      <c r="H61" s="95">
        <f>1000000000*F61*G61/(F61+G61)^2</f>
      </c>
      <c r="I61" s="95">
        <f>1000000000*F61^2/(F61+G61)^2</f>
      </c>
      <c r="J61" s="97">
        <f>MIN(1-I61/1000000000,5/7+(1-'单币测算'!$I$18-'单币测算'!$D$10)*H61/1000000000)</f>
      </c>
      <c r="K61" s="95">
        <f>IF('单币测算'!$D$26&lt;J61,1000000000*(1-'单币测算'!$D$26)-I61,"")</f>
      </c>
      <c r="L61" s="95">
        <f>IF(K61="","",H61*G61/K61)</f>
      </c>
      <c r="M61" s="95">
        <f>IF(1-'单币测算'!$I$17-'单币测算'!$D$10&gt;0,G61/(1-'单币测算'!$I$17-'单币测算'!$D$10),"")</f>
      </c>
      <c r="N61" s="95">
        <f>IF(K61="","",H61*G61/(H61-MAX(0,('单币测算'!$D$26-5/7)*1000000000)/(1-'单币测算'!$I$18-'单币测算'!$D$10))-G61)</f>
      </c>
      <c r="O61" s="95">
        <f>IF(N61="","",M61+N61)</f>
      </c>
      <c r="P61" s="95">
        <f>IF(M61="","",M61*MAX(0,'单币测算'!$D$15-1))</f>
      </c>
      <c r="Q61" s="95">
        <f>IF(L61="","",L61/K61*1000000000)</f>
      </c>
      <c r="R61" s="95">
        <f>IF(Q61="","",Q61*('单币测算'!$I$18+'单币测算'!$D$10)*2)</f>
      </c>
      <c r="S61" s="95">
        <f>'单币测算'!$D$19</f>
      </c>
      <c r="T61" s="103">
        <f>IF(O61="","",SUM(O61,P61,R61,S61))</f>
      </c>
      <c r="U61" s="99">
        <f>MAX(0,'单币测算'!$D$14)*MAX(0,'单币测算'!$D$15)+MAX(0,'单币测算'!$D$16)+MAX(0,'单币测算'!$D$17)</f>
      </c>
      <c r="V61" s="95">
        <f>U61*MAX(0,'单币测算'!$D$18)</f>
      </c>
      <c r="W61" s="35">
        <f>IF('单币测算'!$D$26&gt;=J61,"不可达",IF('单币测算'!$D$13="否","可达；Snipe税未计","可达"))</f>
      </c>
    </row>
  </sheetData>
  <conditionalFormatting sqref="W8:W61">
    <cfRule type="containsText" dxfId="0" priority="1" operator="containsText" text="不可达"/>
    <cfRule type="containsText" dxfId="1" priority="2" operator="containsText" text="可达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showGridLines="0" workbookViewId="0">
      <pane ySplit="8" topLeftCell="A9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12" hidden="0" customWidth="1"/>
    <col min="4" max="4" width="20" hidden="0" customWidth="1"/>
    <col min="5" max="5" width="20" hidden="0" customWidth="1"/>
    <col min="6" max="6" width="18" hidden="0" customWidth="1"/>
    <col min="7" max="7" width="20" hidden="0" customWidth="1"/>
    <col min="8" max="8" width="20" hidden="0" customWidth="1"/>
    <col min="9" max="9" width="18" hidden="0" customWidth="1"/>
    <col min="10" max="10" width="20" hidden="0" customWidth="1"/>
    <col min="11" max="11" width="20" hidden="0" customWidth="1"/>
    <col min="12" max="12" width="16" hidden="0" customWidth="1"/>
  </cols>
  <sheetData>
    <row r="2" ht="26" customHeight="1">
      <c r="C2" s="256" t="str">
        <v>Pons V2 选中 Quote 曲线</v>
      </c>
      <c r="D2" s="257"/>
      <c r="E2" s="257"/>
      <c r="F2" s="257"/>
      <c r="G2" s="257"/>
      <c r="H2" s="257"/>
      <c r="I2" s="257"/>
      <c r="J2" s="257"/>
      <c r="K2" s="257"/>
    </row>
    <row r="3" ht="20" customHeight="1">
      <c r="C3" s="258" t="str">
        <v>读取“单币测算”的 Quote 与 Creator Tax。外盘按 exact-input：Hook fee 与 Creator Tax 从 Meme 输出端扣除，手续费 Meme 随后卖回同一 V4 池。</v>
      </c>
      <c r="D3" s="258"/>
      <c r="E3" s="258"/>
      <c r="F3" s="258"/>
      <c r="G3" s="258"/>
      <c r="H3" s="258"/>
      <c r="I3" s="258"/>
      <c r="J3" s="258"/>
      <c r="K3" s="258"/>
    </row>
    <row r="4" ht="20" customHeight="1">
      <c r="C4" s="253"/>
      <c r="D4" s="253"/>
      <c r="E4" s="253"/>
      <c r="F4" s="253"/>
      <c r="G4" s="253"/>
      <c r="H4" s="253"/>
      <c r="I4" s="253"/>
      <c r="J4" s="253"/>
      <c r="K4" s="253"/>
    </row>
    <row r="5" ht="20" customHeight="1">
      <c r="C5" s="279" t="str">
        <v>当前 Quote</v>
      </c>
      <c r="D5" s="279">
        <f>'单币测算'!$D$8</f>
      </c>
      <c r="E5" s="279" t="str">
        <v>Creator Tax</v>
      </c>
      <c r="F5" s="280">
        <f>'单币测算'!$D$10</f>
      </c>
      <c r="G5" s="280" t="str">
        <v>当前费率可达上限</v>
      </c>
      <c r="H5" s="280">
        <f>'单币测算'!$I$16</f>
      </c>
      <c r="I5" s="279" t="str">
        <v>Locker Meme</v>
      </c>
      <c r="J5" s="281">
        <f>'单币测算'!$I$15</f>
      </c>
      <c r="K5" s="279" t="str"/>
    </row>
    <row r="6" ht="20" customHeight="1">
      <c r="C6" s="253"/>
      <c r="D6" s="253"/>
      <c r="E6" s="253"/>
      <c r="F6" s="253"/>
      <c r="G6" s="253"/>
      <c r="H6" s="253"/>
      <c r="I6" s="253"/>
      <c r="J6" s="253"/>
      <c r="K6" s="253"/>
    </row>
    <row r="7" ht="20" customHeight="1">
      <c r="C7" s="46" t="str">
        <v>内盘曲线</v>
      </c>
      <c r="D7" s="47"/>
      <c r="E7" s="47"/>
      <c r="F7" s="47"/>
      <c r="G7" s="47"/>
      <c r="H7" s="47"/>
      <c r="I7" s="47"/>
      <c r="J7" s="48"/>
      <c r="K7" s="253"/>
    </row>
    <row r="8" ht="34" customHeight="1">
      <c r="C8" s="20" t="str">
        <v>控筹率</v>
      </c>
      <c r="D8" s="21" t="str">
        <v>Pool Meme</v>
      </c>
      <c r="E8" s="21" t="str">
        <v>Pool Quote</v>
      </c>
      <c r="F8" s="466" t="str">
        <v>Meme 价格</v>
      </c>
      <c r="G8" s="466" t="str">
        <v>价格 / USDT</v>
      </c>
      <c r="H8" s="466" t="str">
        <v>FDV（Quote）</v>
      </c>
      <c r="I8" s="466" t="str">
        <v>区间净投入</v>
      </c>
      <c r="J8" s="466" t="str">
        <v>区间含费投入</v>
      </c>
      <c r="K8" s="472" t="str">
        <v>累计含费投入</v>
      </c>
    </row>
    <row r="9" ht="20" customHeight="1">
      <c r="C9" s="31" t="n">
        <v>0</v>
      </c>
      <c r="D9" s="107">
        <f>'单币测算'!$I$13*(1-C9)</f>
      </c>
      <c r="E9" s="107">
        <f>'单币测算'!$I$11*'单币测算'!$I$13/D9</f>
      </c>
      <c r="F9" s="481">
        <f>E9/D9</f>
      </c>
      <c r="G9" s="481">
        <f>IF(OR(VLOOKUP('单币测算'!$D$8,'Quote参数'!$E$9:$S$62,15,FALSE)=0,NOT(ISNUMBER(F9))),"",F9*VLOOKUP('单币测算'!$D$8,'Quote参数'!$E$9:$S$62,15,FALSE))</f>
      </c>
      <c r="H9" s="486">
        <f>F9*'单币测算'!$I$13</f>
      </c>
      <c r="I9" s="486">
        <f>0</f>
      </c>
      <c r="J9" s="486">
        <f>0</f>
      </c>
      <c r="K9" s="486">
        <f>(E9-'单币测算'!$I$11)/(1-'单币测算'!$I$17-'单币测算'!$D$10)</f>
      </c>
    </row>
    <row r="10" ht="20" customHeight="1">
      <c r="C10" s="32" t="n">
        <v>0.1</v>
      </c>
      <c r="D10" s="72">
        <f>'单币测算'!$I$13*(1-C10)</f>
      </c>
      <c r="E10" s="72">
        <f>'单币测算'!$I$11*'单币测算'!$I$13/D10</f>
      </c>
      <c r="F10" s="495">
        <f>E10/D10</f>
      </c>
      <c r="G10" s="495">
        <f>IF(OR(VLOOKUP('单币测算'!$D$8,'Quote参数'!$E$9:$S$62,15,FALSE)=0,NOT(ISNUMBER(F10))),"",F10*VLOOKUP('单币测算'!$D$8,'Quote参数'!$E$9:$S$62,15,FALSE))</f>
      </c>
      <c r="H10" s="500">
        <f>F10*'单币测算'!$I$13</f>
      </c>
      <c r="I10" s="500">
        <f>E10-E9</f>
      </c>
      <c r="J10" s="500">
        <f>I10/(1-'单币测算'!$I$17-'单币测算'!$D$10)</f>
      </c>
      <c r="K10" s="500">
        <f>(E10-'单币测算'!$I$11)/(1-'单币测算'!$I$17-'单币测算'!$D$10)</f>
      </c>
    </row>
    <row r="11" ht="20" customHeight="1">
      <c r="C11" s="32" t="n">
        <v>0.2</v>
      </c>
      <c r="D11" s="72">
        <f>'单币测算'!$I$13*(1-C11)</f>
      </c>
      <c r="E11" s="72">
        <f>'单币测算'!$I$11*'单币测算'!$I$13/D11</f>
      </c>
      <c r="F11" s="495">
        <f>E11/D11</f>
      </c>
      <c r="G11" s="495">
        <f>IF(OR(VLOOKUP('单币测算'!$D$8,'Quote参数'!$E$9:$S$62,15,FALSE)=0,NOT(ISNUMBER(F11))),"",F11*VLOOKUP('单币测算'!$D$8,'Quote参数'!$E$9:$S$62,15,FALSE))</f>
      </c>
      <c r="H11" s="500">
        <f>F11*'单币测算'!$I$13</f>
      </c>
      <c r="I11" s="500">
        <f>E11-E10</f>
      </c>
      <c r="J11" s="500">
        <f>I11/(1-'单币测算'!$I$17-'单币测算'!$D$10)</f>
      </c>
      <c r="K11" s="500">
        <f>(E11-'单币测算'!$I$11)/(1-'单币测算'!$I$17-'单币测算'!$D$10)</f>
      </c>
    </row>
    <row r="12" ht="20" customHeight="1">
      <c r="C12" s="32" t="n">
        <v>0.3</v>
      </c>
      <c r="D12" s="72">
        <f>'单币测算'!$I$13*(1-C12)</f>
      </c>
      <c r="E12" s="72">
        <f>'单币测算'!$I$11*'单币测算'!$I$13/D12</f>
      </c>
      <c r="F12" s="495">
        <f>E12/D12</f>
      </c>
      <c r="G12" s="495">
        <f>IF(OR(VLOOKUP('单币测算'!$D$8,'Quote参数'!$E$9:$S$62,15,FALSE)=0,NOT(ISNUMBER(F12))),"",F12*VLOOKUP('单币测算'!$D$8,'Quote参数'!$E$9:$S$62,15,FALSE))</f>
      </c>
      <c r="H12" s="500">
        <f>F12*'单币测算'!$I$13</f>
      </c>
      <c r="I12" s="500">
        <f>E12-E11</f>
      </c>
      <c r="J12" s="500">
        <f>I12/(1-'单币测算'!$I$17-'单币测算'!$D$10)</f>
      </c>
      <c r="K12" s="500">
        <f>(E12-'单币测算'!$I$11)/(1-'单币测算'!$I$17-'单币测算'!$D$10)</f>
      </c>
    </row>
    <row r="13" ht="20" customHeight="1">
      <c r="C13" s="32" t="n">
        <v>0.4</v>
      </c>
      <c r="D13" s="72">
        <f>'单币测算'!$I$13*(1-C13)</f>
      </c>
      <c r="E13" s="72">
        <f>'单币测算'!$I$11*'单币测算'!$I$13/D13</f>
      </c>
      <c r="F13" s="495">
        <f>E13/D13</f>
      </c>
      <c r="G13" s="495">
        <f>IF(OR(VLOOKUP('单币测算'!$D$8,'Quote参数'!$E$9:$S$62,15,FALSE)=0,NOT(ISNUMBER(F13))),"",F13*VLOOKUP('单币测算'!$D$8,'Quote参数'!$E$9:$S$62,15,FALSE))</f>
      </c>
      <c r="H13" s="500">
        <f>F13*'单币测算'!$I$13</f>
      </c>
      <c r="I13" s="500">
        <f>E13-E12</f>
      </c>
      <c r="J13" s="500">
        <f>I13/(1-'单币测算'!$I$17-'单币测算'!$D$10)</f>
      </c>
      <c r="K13" s="500">
        <f>(E13-'单币测算'!$I$11)/(1-'单币测算'!$I$17-'单币测算'!$D$10)</f>
      </c>
    </row>
    <row r="14" ht="20" customHeight="1">
      <c r="C14" s="32" t="n">
        <v>0.5</v>
      </c>
      <c r="D14" s="72">
        <f>'单币测算'!$I$13*(1-C14)</f>
      </c>
      <c r="E14" s="72">
        <f>'单币测算'!$I$11*'单币测算'!$I$13/D14</f>
      </c>
      <c r="F14" s="495">
        <f>E14/D14</f>
      </c>
      <c r="G14" s="495">
        <f>IF(OR(VLOOKUP('单币测算'!$D$8,'Quote参数'!$E$9:$S$62,15,FALSE)=0,NOT(ISNUMBER(F14))),"",F14*VLOOKUP('单币测算'!$D$8,'Quote参数'!$E$9:$S$62,15,FALSE))</f>
      </c>
      <c r="H14" s="500">
        <f>F14*'单币测算'!$I$13</f>
      </c>
      <c r="I14" s="500">
        <f>E14-E13</f>
      </c>
      <c r="J14" s="500">
        <f>I14/(1-'单币测算'!$I$17-'单币测算'!$D$10)</f>
      </c>
      <c r="K14" s="500">
        <f>(E14-'单币测算'!$I$11)/(1-'单币测算'!$I$17-'单币测算'!$D$10)</f>
      </c>
    </row>
    <row r="15" ht="20" customHeight="1">
      <c r="C15" s="32" t="n">
        <v>0.6</v>
      </c>
      <c r="D15" s="72">
        <f>'单币测算'!$I$13*(1-C15)</f>
      </c>
      <c r="E15" s="72">
        <f>'单币测算'!$I$11*'单币测算'!$I$13/D15</f>
      </c>
      <c r="F15" s="495">
        <f>E15/D15</f>
      </c>
      <c r="G15" s="495">
        <f>IF(OR(VLOOKUP('单币测算'!$D$8,'Quote参数'!$E$9:$S$62,15,FALSE)=0,NOT(ISNUMBER(F15))),"",F15*VLOOKUP('单币测算'!$D$8,'Quote参数'!$E$9:$S$62,15,FALSE))</f>
      </c>
      <c r="H15" s="500">
        <f>F15*'单币测算'!$I$13</f>
      </c>
      <c r="I15" s="500">
        <f>E15-E14</f>
      </c>
      <c r="J15" s="500">
        <f>I15/(1-'单币测算'!$I$17-'单币测算'!$D$10)</f>
      </c>
      <c r="K15" s="500">
        <f>(E15-'单币测算'!$I$11)/(1-'单币测算'!$I$17-'单币测算'!$D$10)</f>
      </c>
    </row>
    <row r="16" ht="20" customHeight="1">
      <c r="C16" s="32" t="n">
        <v>0.7</v>
      </c>
      <c r="D16" s="72">
        <f>'单币测算'!$I$13*(1-C16)</f>
      </c>
      <c r="E16" s="72">
        <f>'单币测算'!$I$11*'单币测算'!$I$13/D16</f>
      </c>
      <c r="F16" s="495">
        <f>E16/D16</f>
      </c>
      <c r="G16" s="495">
        <f>IF(OR(VLOOKUP('单币测算'!$D$8,'Quote参数'!$E$9:$S$62,15,FALSE)=0,NOT(ISNUMBER(F16))),"",F16*VLOOKUP('单币测算'!$D$8,'Quote参数'!$E$9:$S$62,15,FALSE))</f>
      </c>
      <c r="H16" s="500">
        <f>F16*'单币测算'!$I$13</f>
      </c>
      <c r="I16" s="500">
        <f>E16-E15</f>
      </c>
      <c r="J16" s="500">
        <f>I16/(1-'单币测算'!$I$17-'单币测算'!$D$10)</f>
      </c>
      <c r="K16" s="500">
        <f>(E16-'单币测算'!$I$11)/(1-'单币测算'!$I$17-'单币测算'!$D$10)</f>
      </c>
    </row>
    <row r="17" ht="20" customHeight="1">
      <c r="C17" s="32" t="n">
        <v>0.7142857142857143</v>
      </c>
      <c r="D17" s="72">
        <f>'单币测算'!$I$13*(1-C17)</f>
      </c>
      <c r="E17" s="72">
        <f>'单币测算'!$I$11*'单币测算'!$I$13/D17</f>
      </c>
      <c r="F17" s="495">
        <f>E17/D17</f>
      </c>
      <c r="G17" s="495">
        <f>IF(OR(VLOOKUP('单币测算'!$D$8,'Quote参数'!$E$9:$S$62,15,FALSE)=0,NOT(ISNUMBER(F17))),"",F17*VLOOKUP('单币测算'!$D$8,'Quote参数'!$E$9:$S$62,15,FALSE))</f>
      </c>
      <c r="H17" s="500">
        <f>F17*'单币测算'!$I$13</f>
      </c>
      <c r="I17" s="500">
        <f>E17-E16</f>
      </c>
      <c r="J17" s="500">
        <f>I17/(1-'单币测算'!$I$17-'单币测算'!$D$10)</f>
      </c>
      <c r="K17" s="500">
        <f>(E17-'单币测算'!$I$11)/(1-'单币测算'!$I$17-'单币测算'!$D$10)</f>
      </c>
    </row>
    <row r="18" ht="20" customHeight="1">
      <c r="C18" s="253"/>
      <c r="D18" s="253"/>
      <c r="E18" s="253"/>
      <c r="F18" s="253"/>
      <c r="G18" s="253"/>
      <c r="H18" s="253"/>
      <c r="I18" s="253"/>
      <c r="J18" s="253"/>
      <c r="K18" s="253"/>
    </row>
    <row r="19" ht="20" customHeight="1">
      <c r="C19" s="253"/>
      <c r="D19" s="253"/>
      <c r="E19" s="253"/>
      <c r="F19" s="253"/>
      <c r="G19" s="253"/>
      <c r="H19" s="253"/>
      <c r="I19" s="253"/>
      <c r="J19" s="253"/>
      <c r="K19" s="253"/>
    </row>
    <row r="20" ht="20" customHeight="1">
      <c r="C20" s="46" t="str">
        <v>V4 外盘曲线</v>
      </c>
      <c r="D20" s="47"/>
      <c r="E20" s="47"/>
      <c r="F20" s="47"/>
      <c r="G20" s="47"/>
      <c r="H20" s="47"/>
      <c r="I20" s="47"/>
      <c r="J20" s="47"/>
      <c r="K20" s="48"/>
    </row>
    <row r="21" ht="34" customHeight="1">
      <c r="C21" s="20" t="str">
        <v>控筹率</v>
      </c>
      <c r="D21" s="21" t="str">
        <v>Pool Meme</v>
      </c>
      <c r="E21" s="21" t="str">
        <v>Pool Quote</v>
      </c>
      <c r="F21" s="466" t="str">
        <v>Meme 价格</v>
      </c>
      <c r="G21" s="466" t="str">
        <v>价格 / USDT</v>
      </c>
      <c r="H21" s="466" t="str">
        <v>FDV（Quote）</v>
      </c>
      <c r="I21" s="466" t="str">
        <v>外盘净增加</v>
      </c>
      <c r="J21" s="466" t="str">
        <v>外盘 exact-input Quote</v>
      </c>
      <c r="K21" s="466" t="str">
        <v>理论累计所需</v>
      </c>
      <c r="L21" s="472" t="str">
        <v>状态</v>
      </c>
    </row>
    <row r="22" ht="20" customHeight="1">
      <c r="C22" s="31" t="n">
        <v>0.7142857142857143</v>
      </c>
      <c r="D22" s="107">
        <f>IF(C22&lt;'单币测算'!$I$16,'单币测算'!$I$13*(1-C22)-'单币测算'!$I$15,"")</f>
      </c>
      <c r="E22" s="107">
        <f>IF(D22="","",'单币测算'!$I$20/D22)</f>
      </c>
      <c r="F22" s="481">
        <f>IF(E22="","",E22/D22)</f>
      </c>
      <c r="G22" s="481">
        <f>IF(OR(VLOOKUP('单币测算'!$D$8,'Quote参数'!$E$9:$S$62,15,FALSE)=0,NOT(ISNUMBER(F22))),"",F22*VLOOKUP('单币测算'!$D$8,'Quote参数'!$E$9:$S$62,15,FALSE))</f>
      </c>
      <c r="H22" s="486">
        <f>IF(F22="","",F22*'单币测算'!$I$13)</f>
      </c>
      <c r="I22" s="486">
        <f>IF(E22="","",MAX(0,E22-'单币测算'!$I$12))</f>
      </c>
      <c r="J22" s="486">
        <f>IF(D22="","",'单币测算'!$I$20/('单币测算'!$I$14-MAX(0,(C22-'单币测算'!$I$19)*'单币测算'!$I$13)/(1-'单币测算'!$I$18-'单币测算'!$D$10))-'单币测算'!$I$12)</f>
      </c>
      <c r="K22" s="486">
        <f>'单币测算'!$D$27</f>
      </c>
      <c r="L22" s="508">
        <f>IF(C22&gt;='单币测算'!$I$16,"不可达","可达")</f>
      </c>
    </row>
    <row r="23" ht="20" customHeight="1">
      <c r="C23" s="32" t="n">
        <v>0.75</v>
      </c>
      <c r="D23" s="72">
        <f>IF(C23&lt;'单币测算'!$I$16,'单币测算'!$I$13*(1-C23)-'单币测算'!$I$15,"")</f>
      </c>
      <c r="E23" s="72">
        <f>IF(D23="","",'单币测算'!$I$20/D23)</f>
      </c>
      <c r="F23" s="495">
        <f>IF(E23="","",E23/D23)</f>
      </c>
      <c r="G23" s="495">
        <f>IF(OR(VLOOKUP('单币测算'!$D$8,'Quote参数'!$E$9:$S$62,15,FALSE)=0,NOT(ISNUMBER(F23))),"",F23*VLOOKUP('单币测算'!$D$8,'Quote参数'!$E$9:$S$62,15,FALSE))</f>
      </c>
      <c r="H23" s="500">
        <f>IF(F23="","",F23*'单币测算'!$I$13)</f>
      </c>
      <c r="I23" s="500">
        <f>IF(E23="","",MAX(0,E23-'单币测算'!$I$12))</f>
      </c>
      <c r="J23" s="500">
        <f>IF(D23="","",'单币测算'!$I$20/('单币测算'!$I$14-MAX(0,(C23-'单币测算'!$I$19)*'单币测算'!$I$13)/(1-'单币测算'!$I$18-'单币测算'!$D$10))-'单币测算'!$I$12)</f>
      </c>
      <c r="K23" s="500">
        <f>IF(J23="","",'单币测算'!$D$27+J23)</f>
      </c>
      <c r="L23" s="511">
        <f>IF(C23&gt;='单币测算'!$I$16,"不可达","可达")</f>
      </c>
    </row>
    <row r="24" ht="20" customHeight="1">
      <c r="C24" s="32" t="n">
        <v>0.8</v>
      </c>
      <c r="D24" s="72">
        <f>IF(C24&lt;'单币测算'!$I$16,'单币测算'!$I$13*(1-C24)-'单币测算'!$I$15,"")</f>
      </c>
      <c r="E24" s="72">
        <f>IF(D24="","",'单币测算'!$I$20/D24)</f>
      </c>
      <c r="F24" s="495">
        <f>IF(E24="","",E24/D24)</f>
      </c>
      <c r="G24" s="495">
        <f>IF(OR(VLOOKUP('单币测算'!$D$8,'Quote参数'!$E$9:$S$62,15,FALSE)=0,NOT(ISNUMBER(F24))),"",F24*VLOOKUP('单币测算'!$D$8,'Quote参数'!$E$9:$S$62,15,FALSE))</f>
      </c>
      <c r="H24" s="500">
        <f>IF(F24="","",F24*'单币测算'!$I$13)</f>
      </c>
      <c r="I24" s="500">
        <f>IF(E24="","",MAX(0,E24-'单币测算'!$I$12))</f>
      </c>
      <c r="J24" s="500">
        <f>IF(D24="","",'单币测算'!$I$20/('单币测算'!$I$14-MAX(0,(C24-'单币测算'!$I$19)*'单币测算'!$I$13)/(1-'单币测算'!$I$18-'单币测算'!$D$10))-'单币测算'!$I$12)</f>
      </c>
      <c r="K24" s="500">
        <f>IF(J24="","",'单币测算'!$D$27+J24)</f>
      </c>
      <c r="L24" s="511">
        <f>IF(C24&gt;='单币测算'!$I$16,"不可达","可达")</f>
      </c>
    </row>
    <row r="25" ht="20" customHeight="1">
      <c r="C25" s="32" t="n">
        <v>0.82</v>
      </c>
      <c r="D25" s="72">
        <f>IF(C25&lt;'单币测算'!$I$16,'单币测算'!$I$13*(1-C25)-'单币测算'!$I$15,"")</f>
      </c>
      <c r="E25" s="72">
        <f>IF(D25="","",'单币测算'!$I$20/D25)</f>
      </c>
      <c r="F25" s="495">
        <f>IF(E25="","",E25/D25)</f>
      </c>
      <c r="G25" s="495">
        <f>IF(OR(VLOOKUP('单币测算'!$D$8,'Quote参数'!$E$9:$S$62,15,FALSE)=0,NOT(ISNUMBER(F25))),"",F25*VLOOKUP('单币测算'!$D$8,'Quote参数'!$E$9:$S$62,15,FALSE))</f>
      </c>
      <c r="H25" s="500">
        <f>IF(F25="","",F25*'单币测算'!$I$13)</f>
      </c>
      <c r="I25" s="500">
        <f>IF(E25="","",MAX(0,E25-'单币测算'!$I$12))</f>
      </c>
      <c r="J25" s="500">
        <f>IF(D25="","",'单币测算'!$I$20/('单币测算'!$I$14-MAX(0,(C25-'单币测算'!$I$19)*'单币测算'!$I$13)/(1-'单币测算'!$I$18-'单币测算'!$D$10))-'单币测算'!$I$12)</f>
      </c>
      <c r="K25" s="500">
        <f>IF(J25="","",'单币测算'!$D$27+J25)</f>
      </c>
      <c r="L25" s="511">
        <f>IF(C25&gt;='单币测算'!$I$16,"不可达","可达")</f>
      </c>
    </row>
    <row r="26" ht="20" customHeight="1">
      <c r="C26" s="32" t="n">
        <v>0.84</v>
      </c>
      <c r="D26" s="72">
        <f>IF(C26&lt;'单币测算'!$I$16,'单币测算'!$I$13*(1-C26)-'单币测算'!$I$15,"")</f>
      </c>
      <c r="E26" s="72">
        <f>IF(D26="","",'单币测算'!$I$20/D26)</f>
      </c>
      <c r="F26" s="495">
        <f>IF(E26="","",E26/D26)</f>
      </c>
      <c r="G26" s="495">
        <f>IF(OR(VLOOKUP('单币测算'!$D$8,'Quote参数'!$E$9:$S$62,15,FALSE)=0,NOT(ISNUMBER(F26))),"",F26*VLOOKUP('单币测算'!$D$8,'Quote参数'!$E$9:$S$62,15,FALSE))</f>
      </c>
      <c r="H26" s="500">
        <f>IF(F26="","",F26*'单币测算'!$I$13)</f>
      </c>
      <c r="I26" s="500">
        <f>IF(E26="","",MAX(0,E26-'单币测算'!$I$12))</f>
      </c>
      <c r="J26" s="500">
        <f>IF(D26="","",'单币测算'!$I$20/('单币测算'!$I$14-MAX(0,(C26-'单币测算'!$I$19)*'单币测算'!$I$13)/(1-'单币测算'!$I$18-'单币测算'!$D$10))-'单币测算'!$I$12)</f>
      </c>
      <c r="K26" s="500">
        <f>IF(J26="","",'单币测算'!$D$27+J26)</f>
      </c>
      <c r="L26" s="511">
        <f>IF(C26&gt;='单币测算'!$I$16,"不可达","可达")</f>
      </c>
    </row>
    <row r="27" ht="20" customHeight="1">
      <c r="C27" s="32" t="n">
        <v>0.86</v>
      </c>
      <c r="D27" s="72">
        <f>IF(C27&lt;'单币测算'!$I$16,'单币测算'!$I$13*(1-C27)-'单币测算'!$I$15,"")</f>
      </c>
      <c r="E27" s="72">
        <f>IF(D27="","",'单币测算'!$I$20/D27)</f>
      </c>
      <c r="F27" s="495">
        <f>IF(E27="","",E27/D27)</f>
      </c>
      <c r="G27" s="495">
        <f>IF(OR(VLOOKUP('单币测算'!$D$8,'Quote参数'!$E$9:$S$62,15,FALSE)=0,NOT(ISNUMBER(F27))),"",F27*VLOOKUP('单币测算'!$D$8,'Quote参数'!$E$9:$S$62,15,FALSE))</f>
      </c>
      <c r="H27" s="500">
        <f>IF(F27="","",F27*'单币测算'!$I$13)</f>
      </c>
      <c r="I27" s="500">
        <f>IF(E27="","",MAX(0,E27-'单币测算'!$I$12))</f>
      </c>
      <c r="J27" s="500">
        <f>IF(D27="","",'单币测算'!$I$20/('单币测算'!$I$14-MAX(0,(C27-'单币测算'!$I$19)*'单币测算'!$I$13)/(1-'单币测算'!$I$18-'单币测算'!$D$10))-'单币测算'!$I$12)</f>
      </c>
      <c r="K27" s="500">
        <f>IF(J27="","",'单币测算'!$D$27+J27)</f>
      </c>
      <c r="L27" s="511">
        <f>IF(C27&gt;='单币测算'!$I$16,"不可达","可达")</f>
      </c>
    </row>
    <row r="28" ht="20" customHeight="1">
      <c r="C28" s="32" t="n">
        <v>0.88</v>
      </c>
      <c r="D28" s="72">
        <f>IF(C28&lt;'单币测算'!$I$16,'单币测算'!$I$13*(1-C28)-'单币测算'!$I$15,"")</f>
      </c>
      <c r="E28" s="72">
        <f>IF(D28="","",'单币测算'!$I$20/D28)</f>
      </c>
      <c r="F28" s="495">
        <f>IF(E28="","",E28/D28)</f>
      </c>
      <c r="G28" s="495">
        <f>IF(OR(VLOOKUP('单币测算'!$D$8,'Quote参数'!$E$9:$S$62,15,FALSE)=0,NOT(ISNUMBER(F28))),"",F28*VLOOKUP('单币测算'!$D$8,'Quote参数'!$E$9:$S$62,15,FALSE))</f>
      </c>
      <c r="H28" s="500">
        <f>IF(F28="","",F28*'单币测算'!$I$13)</f>
      </c>
      <c r="I28" s="500">
        <f>IF(E28="","",MAX(0,E28-'单币测算'!$I$12))</f>
      </c>
      <c r="J28" s="500">
        <f>IF(D28="","",'单币测算'!$I$20/('单币测算'!$I$14-MAX(0,(C28-'单币测算'!$I$19)*'单币测算'!$I$13)/(1-'单币测算'!$I$18-'单币测算'!$D$10))-'单币测算'!$I$12)</f>
      </c>
      <c r="K28" s="500">
        <f>IF(J28="","",'单币测算'!$D$27+J28)</f>
      </c>
      <c r="L28" s="511">
        <f>IF(C28&gt;='单币测算'!$I$16,"不可达","可达")</f>
      </c>
    </row>
    <row r="29" ht="20" customHeight="1">
      <c r="C29" s="32" t="n">
        <v>0.89</v>
      </c>
      <c r="D29" s="72">
        <f>IF(C29&lt;'单币测算'!$I$16,'单币测算'!$I$13*(1-C29)-'单币测算'!$I$15,"")</f>
      </c>
      <c r="E29" s="72">
        <f>IF(D29="","",'单币测算'!$I$20/D29)</f>
      </c>
      <c r="F29" s="495">
        <f>IF(E29="","",E29/D29)</f>
      </c>
      <c r="G29" s="495">
        <f>IF(OR(VLOOKUP('单币测算'!$D$8,'Quote参数'!$E$9:$S$62,15,FALSE)=0,NOT(ISNUMBER(F29))),"",F29*VLOOKUP('单币测算'!$D$8,'Quote参数'!$E$9:$S$62,15,FALSE))</f>
      </c>
      <c r="H29" s="500">
        <f>IF(F29="","",F29*'单币测算'!$I$13)</f>
      </c>
      <c r="I29" s="500">
        <f>IF(E29="","",MAX(0,E29-'单币测算'!$I$12))</f>
      </c>
      <c r="J29" s="500">
        <f>IF(D29="","",'单币测算'!$I$20/('单币测算'!$I$14-MAX(0,(C29-'单币测算'!$I$19)*'单币测算'!$I$13)/(1-'单币测算'!$I$18-'单币测算'!$D$10))-'单币测算'!$I$12)</f>
      </c>
      <c r="K29" s="500">
        <f>IF(J29="","",'单币测算'!$D$27+J29)</f>
      </c>
      <c r="L29" s="511">
        <f>IF(C29&gt;='单币测算'!$I$16,"不可达","可达")</f>
      </c>
    </row>
    <row r="30" ht="20" customHeight="1">
      <c r="C30" s="32" t="n">
        <v>0.9</v>
      </c>
      <c r="D30" s="72">
        <f>IF(C30&lt;'单币测算'!$I$16,'单币测算'!$I$13*(1-C30)-'单币测算'!$I$15,"")</f>
      </c>
      <c r="E30" s="72">
        <f>IF(D30="","",'单币测算'!$I$20/D30)</f>
      </c>
      <c r="F30" s="495">
        <f>IF(E30="","",E30/D30)</f>
      </c>
      <c r="G30" s="495">
        <f>IF(OR(VLOOKUP('单币测算'!$D$8,'Quote参数'!$E$9:$S$62,15,FALSE)=0,NOT(ISNUMBER(F30))),"",F30*VLOOKUP('单币测算'!$D$8,'Quote参数'!$E$9:$S$62,15,FALSE))</f>
      </c>
      <c r="H30" s="500">
        <f>IF(F30="","",F30*'单币测算'!$I$13)</f>
      </c>
      <c r="I30" s="500">
        <f>IF(E30="","",MAX(0,E30-'单币测算'!$I$12))</f>
      </c>
      <c r="J30" s="500">
        <f>IF(D30="","",'单币测算'!$I$20/('单币测算'!$I$14-MAX(0,(C30-'单币测算'!$I$19)*'单币测算'!$I$13)/(1-'单币测算'!$I$18-'单币测算'!$D$10))-'单币测算'!$I$12)</f>
      </c>
      <c r="K30" s="500">
        <f>IF(J30="","",'单币测算'!$D$27+J30)</f>
      </c>
      <c r="L30" s="511">
        <f>IF(C30&gt;='单币测算'!$I$16,"不可达","可达")</f>
      </c>
    </row>
    <row r="31" ht="20" customHeight="1">
      <c r="C31" s="32" t="n">
        <v>0.905</v>
      </c>
      <c r="D31" s="72">
        <f>IF(C31&lt;'单币测算'!$I$16,'单币测算'!$I$13*(1-C31)-'单币测算'!$I$15,"")</f>
      </c>
      <c r="E31" s="72">
        <f>IF(D31="","",'单币测算'!$I$20/D31)</f>
      </c>
      <c r="F31" s="495">
        <f>IF(E31="","",E31/D31)</f>
      </c>
      <c r="G31" s="495">
        <f>IF(OR(VLOOKUP('单币测算'!$D$8,'Quote参数'!$E$9:$S$62,15,FALSE)=0,NOT(ISNUMBER(F31))),"",F31*VLOOKUP('单币测算'!$D$8,'Quote参数'!$E$9:$S$62,15,FALSE))</f>
      </c>
      <c r="H31" s="500">
        <f>IF(F31="","",F31*'单币测算'!$I$13)</f>
      </c>
      <c r="I31" s="500">
        <f>IF(E31="","",MAX(0,E31-'单币测算'!$I$12))</f>
      </c>
      <c r="J31" s="500">
        <f>IF(D31="","",'单币测算'!$I$20/('单币测算'!$I$14-MAX(0,(C31-'单币测算'!$I$19)*'单币测算'!$I$13)/(1-'单币测算'!$I$18-'单币测算'!$D$10))-'单币测算'!$I$12)</f>
      </c>
      <c r="K31" s="500">
        <f>IF(J31="","",'单币测算'!$D$27+J31)</f>
      </c>
      <c r="L31" s="511">
        <f>IF(C31&gt;='单币测算'!$I$16,"不可达","可达")</f>
      </c>
    </row>
    <row r="32" ht="20" customHeight="1">
      <c r="C32" s="32" t="n">
        <v>0.91</v>
      </c>
      <c r="D32" s="72">
        <f>IF(C32&lt;'单币测算'!$I$16,'单币测算'!$I$13*(1-C32)-'单币测算'!$I$15,"")</f>
      </c>
      <c r="E32" s="72">
        <f>IF(D32="","",'单币测算'!$I$20/D32)</f>
      </c>
      <c r="F32" s="495">
        <f>IF(E32="","",E32/D32)</f>
      </c>
      <c r="G32" s="495">
        <f>IF(OR(VLOOKUP('单币测算'!$D$8,'Quote参数'!$E$9:$S$62,15,FALSE)=0,NOT(ISNUMBER(F32))),"",F32*VLOOKUP('单币测算'!$D$8,'Quote参数'!$E$9:$S$62,15,FALSE))</f>
      </c>
      <c r="H32" s="500">
        <f>IF(F32="","",F32*'单币测算'!$I$13)</f>
      </c>
      <c r="I32" s="500">
        <f>IF(E32="","",MAX(0,E32-'单币测算'!$I$12))</f>
      </c>
      <c r="J32" s="500">
        <f>IF(D32="","",'单币测算'!$I$20/('单币测算'!$I$14-MAX(0,(C32-'单币测算'!$I$19)*'单币测算'!$I$13)/(1-'单币测算'!$I$18-'单币测算'!$D$10))-'单币测算'!$I$12)</f>
      </c>
      <c r="K32" s="500">
        <f>IF(J32="","",'单币测算'!$D$27+J32)</f>
      </c>
      <c r="L32" s="511">
        <f>IF(C32&gt;='单币测算'!$I$16,"不可达","可达")</f>
      </c>
    </row>
    <row r="33" ht="20" customHeight="1">
      <c r="C33" s="32" t="n">
        <v>0.915</v>
      </c>
      <c r="D33" s="72">
        <f>IF(C33&lt;'单币测算'!$I$16,'单币测算'!$I$13*(1-C33)-'单币测算'!$I$15,"")</f>
      </c>
      <c r="E33" s="72">
        <f>IF(D33="","",'单币测算'!$I$20/D33)</f>
      </c>
      <c r="F33" s="495">
        <f>IF(E33="","",E33/D33)</f>
      </c>
      <c r="G33" s="495">
        <f>IF(OR(VLOOKUP('单币测算'!$D$8,'Quote参数'!$E$9:$S$62,15,FALSE)=0,NOT(ISNUMBER(F33))),"",F33*VLOOKUP('单币测算'!$D$8,'Quote参数'!$E$9:$S$62,15,FALSE))</f>
      </c>
      <c r="H33" s="500">
        <f>IF(F33="","",F33*'单币测算'!$I$13)</f>
      </c>
      <c r="I33" s="500">
        <f>IF(E33="","",MAX(0,E33-'单币测算'!$I$12))</f>
      </c>
      <c r="J33" s="500">
        <f>IF(D33="","",'单币测算'!$I$20/('单币测算'!$I$14-MAX(0,(C33-'单币测算'!$I$19)*'单币测算'!$I$13)/(1-'单币测算'!$I$18-'单币测算'!$D$10))-'单币测算'!$I$12)</f>
      </c>
      <c r="K33" s="500">
        <f>IF(J33="","",'单币测算'!$D$27+J33)</f>
      </c>
      <c r="L33" s="511">
        <f>IF(C33&gt;='单币测算'!$I$16,"不可达","可达")</f>
      </c>
    </row>
    <row r="34" ht="20" customHeight="1">
      <c r="C34" s="32" t="n">
        <v>0.918</v>
      </c>
      <c r="D34" s="72">
        <f>IF(C34&lt;'单币测算'!$I$16,'单币测算'!$I$13*(1-C34)-'单币测算'!$I$15,"")</f>
      </c>
      <c r="E34" s="72">
        <f>IF(D34="","",'单币测算'!$I$20/D34)</f>
      </c>
      <c r="F34" s="495">
        <f>IF(E34="","",E34/D34)</f>
      </c>
      <c r="G34" s="495">
        <f>IF(OR(VLOOKUP('单币测算'!$D$8,'Quote参数'!$E$9:$S$62,15,FALSE)=0,NOT(ISNUMBER(F34))),"",F34*VLOOKUP('单币测算'!$D$8,'Quote参数'!$E$9:$S$62,15,FALSE))</f>
      </c>
      <c r="H34" s="500">
        <f>IF(F34="","",F34*'单币测算'!$I$13)</f>
      </c>
      <c r="I34" s="500">
        <f>IF(E34="","",MAX(0,E34-'单币测算'!$I$12))</f>
      </c>
      <c r="J34" s="500">
        <f>IF(D34="","",'单币测算'!$I$20/('单币测算'!$I$14-MAX(0,(C34-'单币测算'!$I$19)*'单币测算'!$I$13)/(1-'单币测算'!$I$18-'单币测算'!$D$10))-'单币测算'!$I$12)</f>
      </c>
      <c r="K34" s="500">
        <f>IF(J34="","",'单币测算'!$D$27+J34)</f>
      </c>
      <c r="L34" s="512">
        <f>IF(C34&gt;='单币测算'!$I$16,"不可达","可达")</f>
      </c>
    </row>
    <row r="35" ht="20" customHeight="1">
      <c r="C35" s="32" t="n">
        <v>0.9183673469387755</v>
      </c>
      <c r="D35" s="72">
        <f>IF(C35&lt;'单币测算'!$I$16,'单币测算'!$I$13*(1-C35)-'单币测算'!$I$15,"")</f>
      </c>
      <c r="E35" s="72">
        <f>IF(D35="","",'单币测算'!$I$20/D35)</f>
      </c>
      <c r="F35" s="495">
        <f>IF(E35="","",E35/D35)</f>
      </c>
      <c r="G35" s="495">
        <f>IF(OR(VLOOKUP('单币测算'!$D$8,'Quote参数'!$E$9:$S$62,15,FALSE)=0,NOT(ISNUMBER(F35))),"",F35*VLOOKUP('单币测算'!$D$8,'Quote参数'!$E$9:$S$62,15,FALSE))</f>
      </c>
      <c r="H35" s="500">
        <f>IF(F35="","",F35*'单币测算'!$I$13)</f>
      </c>
      <c r="I35" s="500">
        <f>IF(E35="","",MAX(0,E35-'单币测算'!$I$12))</f>
      </c>
      <c r="J35" s="500">
        <f>IF(D35="","",'单币测算'!$I$20/('单币测算'!$I$14-MAX(0,(C35-'单币测算'!$I$19)*'单币测算'!$I$13)/(1-'单币测算'!$I$18-'单币测算'!$D$10))-'单币测算'!$I$12)</f>
      </c>
      <c r="K35" s="500">
        <f>IF(J35="","",'单币测算'!$D$27+J35)</f>
      </c>
      <c r="L35" s="512">
        <f>IF(C35&gt;='单币测算'!$I$16,"不可达","可达")</f>
      </c>
    </row>
  </sheetData>
  <conditionalFormatting sqref="L22:L35">
    <cfRule type="containsText" dxfId="5" priority="1" operator="containsText" text="不可达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8" hidden="0" customWidth="1"/>
    <col min="21" max="21" width="55" hidden="0" customWidth="1"/>
    <col min="22" max="22" width="32" hidden="0" customWidth="1"/>
  </cols>
  <sheetData>
    <row r="2" ht="26" customHeight="1">
      <c r="C2" s="256" t="str">
        <v>Pons V2 Quote 参数</v>
      </c>
      <c r="D2" s="257"/>
      <c r="E2" s="257"/>
      <c r="F2" s="257"/>
      <c r="G2" s="257"/>
      <c r="H2" s="257"/>
      <c r="I2" s="257"/>
      <c r="J2" s="257"/>
      <c r="K2" s="257"/>
      <c r="L2" s="257"/>
      <c r="M2" s="257"/>
      <c r="N2" s="257"/>
      <c r="O2" s="257"/>
      <c r="P2" s="257"/>
      <c r="Q2" s="257"/>
      <c r="R2" s="257"/>
    </row>
    <row r="3" ht="20" customHeight="1">
      <c r="C3" s="258" t="str">
        <v>ETH + 53 个股票 / ETF Quote。股票类参数为 Robinhood Chain 区块 54,430,299 快照；Factory owner 后续可更新新 Launch 参数。</v>
      </c>
      <c r="D3" s="258"/>
      <c r="E3" s="258"/>
      <c r="F3" s="258"/>
      <c r="G3" s="258"/>
      <c r="H3" s="258"/>
      <c r="I3" s="258"/>
      <c r="J3" s="258"/>
      <c r="K3" s="258"/>
      <c r="L3" s="258"/>
      <c r="M3" s="258"/>
      <c r="N3" s="258"/>
      <c r="O3" s="258"/>
      <c r="P3" s="258"/>
      <c r="Q3" s="258"/>
      <c r="R3" s="258"/>
    </row>
    <row r="4" ht="20" customHeight="1"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3"/>
      <c r="N4" s="253"/>
      <c r="O4" s="253"/>
      <c r="P4" s="253"/>
      <c r="Q4" s="253"/>
      <c r="R4" s="253"/>
    </row>
    <row r="5" ht="20" customHeight="1">
      <c r="C5" s="262" t="str">
        <v>Pons V2 Factory</v>
      </c>
      <c r="D5" s="265" t="str">
        <v>​0x7eD598BcEf8bd9Edd8C97A195C6d13f40801EC7e</v>
      </c>
      <c r="E5" s="265"/>
      <c r="F5" s="265"/>
      <c r="G5" s="265"/>
      <c r="H5" s="282" t="str">
        <v>Hook 源码</v>
      </c>
      <c r="I5" s="265" t="str">
        <v>https://github.com/ponsdotdev/ponsfamily/blob/main/contractsV2/src/v2/hooks/PonsV2MemeHook.sol</v>
      </c>
      <c r="J5" s="265"/>
      <c r="K5" s="265"/>
      <c r="L5" s="265"/>
      <c r="M5" s="265"/>
      <c r="N5" s="265"/>
      <c r="O5" s="265"/>
      <c r="P5" s="265"/>
      <c r="Q5" s="265"/>
      <c r="R5" s="265"/>
      <c r="S5" t="str">
        <v>每日价格快照</v>
      </c>
      <c r="T5" t="str">
        <v>网站下载时读取最新发布版</v>
      </c>
      <c r="U5" t="str">
        <v>切换 Quote 自动引用此页</v>
      </c>
      <c r="V5" t="str">
        <v>本地可手动更新价格</v>
      </c>
    </row>
    <row r="6" ht="20" customHeight="1">
      <c r="C6" s="262" t="str">
        <v>Factory 源码</v>
      </c>
      <c r="D6" s="265" t="str">
        <v>https://github.com/ponsdotdev/ponsfamily/blob/845bd546b37515621e47b08015ce4f9d374f6eca/contractsV2/src/v2/PonsV2LaunchFactory.sol</v>
      </c>
      <c r="E6" s="265"/>
      <c r="F6" s="265"/>
      <c r="G6" s="265"/>
      <c r="H6" s="282" t="str">
        <v>外盘成交口径</v>
      </c>
      <c r="I6" s="265" t="str">
        <v>exact-input；Hook fee 与 Creator Tax 从 Meme 输出端扣除</v>
      </c>
      <c r="J6" s="265"/>
      <c r="K6" s="265"/>
      <c r="L6" s="265"/>
      <c r="M6" s="265"/>
      <c r="N6" s="265"/>
      <c r="O6" s="265"/>
      <c r="P6" s="265"/>
      <c r="Q6" s="265"/>
      <c r="R6" s="265"/>
    </row>
    <row r="7" ht="20" customHeight="1">
      <c r="C7" s="262" t="str">
        <v>新增 13 Quote 交易</v>
      </c>
      <c r="D7" s="265" t="str">
        <v>https://rh-scan.com/tx/0xb4aaf027b105aba6268762cdb68dc7fc363b8432d344ee6900536cf36f44183f</v>
      </c>
      <c r="E7" s="265"/>
      <c r="F7" s="265"/>
      <c r="G7" s="265"/>
      <c r="H7" s="282" t="str">
        <v>Snipe 窗口</v>
      </c>
      <c r="I7" s="265" t="str">
        <v>3 秒（当前 Factory 链上参数）</v>
      </c>
      <c r="J7" s="265"/>
      <c r="K7" s="265"/>
      <c r="L7" s="265"/>
      <c r="M7" s="265"/>
      <c r="N7" s="265"/>
      <c r="O7" s="265"/>
      <c r="P7" s="265"/>
      <c r="Q7" s="265"/>
      <c r="R7" s="265"/>
    </row>
    <row r="8" ht="36" customHeight="1">
      <c r="C8" s="20" t="str">
        <v>序号</v>
      </c>
      <c r="D8" s="21" t="str">
        <v>类别</v>
      </c>
      <c r="E8" s="21" t="str">
        <v>Symbol</v>
      </c>
      <c r="F8" s="21" t="str">
        <v>名称</v>
      </c>
      <c r="G8" s="21" t="str">
        <v>Quote 合约</v>
      </c>
      <c r="H8" s="21" t="str">
        <v>Decimals</v>
      </c>
      <c r="I8" s="21" t="str">
        <v>phantom Quote</v>
      </c>
      <c r="J8" s="21" t="str">
        <v>毕业门槛</v>
      </c>
      <c r="K8" s="21" t="str">
        <v>门槛 / phantom</v>
      </c>
      <c r="L8" s="21" t="str">
        <v>V4 初始 Quote</v>
      </c>
      <c r="M8" s="21" t="str">
        <v>V4 初始 Meme</v>
      </c>
      <c r="N8" s="21" t="str">
        <v>Locker Meme</v>
      </c>
      <c r="O8" s="21" t="str">
        <v>锁仓结构上限</v>
      </c>
      <c r="P8" s="21" t="str">
        <v>核验区块 / 证据</v>
      </c>
      <c r="Q8" s="21" t="str">
        <v>状态</v>
      </c>
      <c r="R8" s="22" t="str">
        <v>Quote 证据 URL</v>
      </c>
      <c r="S8" s="513" t="str">
        <v>Quote / USDT 价格</v>
      </c>
      <c r="T8" s="513" t="str">
        <v>价格时间 / UTC</v>
      </c>
      <c r="U8" s="513" t="str">
        <v>价格来源</v>
      </c>
      <c r="V8" s="513" t="str">
        <v>说明</v>
      </c>
    </row>
    <row r="9" ht="36" customHeight="1">
      <c r="C9" s="25" t="n">
        <v>1</v>
      </c>
      <c r="D9" s="25" t="str">
        <v>Native</v>
      </c>
      <c r="E9" s="33" t="str">
        <v>ETH</v>
      </c>
      <c r="F9" s="33" t="str">
        <v>Ether</v>
      </c>
      <c r="G9" s="37" t="str">
        <v>​Native ETH</v>
      </c>
      <c r="H9" s="33" t="n">
        <v>18</v>
      </c>
      <c r="I9" s="34" t="n">
        <v>1.68</v>
      </c>
      <c r="J9" s="34" t="n">
        <v>4.2</v>
      </c>
      <c r="K9" s="29">
        <f>J9/I9</f>
      </c>
      <c r="L9" s="27">
        <f>J9</f>
      </c>
      <c r="M9" s="27">
        <f>1000000000*I9*J9/(I9+J9)^2</f>
      </c>
      <c r="N9" s="27">
        <f>1000000000*I9^2/(I9+J9)^2</f>
      </c>
      <c r="O9" s="31">
        <f>1-N9/1000000000</f>
      </c>
      <c r="P9" s="33" t="str">
        <v>TIME 实币验证</v>
      </c>
      <c r="Q9" s="39" t="str">
        <v>Approved / Native</v>
      </c>
      <c r="R9" s="518" t="str">
        <v>https://www.ponsfamily.com/launchpad/0x177c73569bB399AD42235067172ceB9c5c7fEd49</v>
      </c>
      <c r="S9" s="515">
        <v>2484.6630678668002</v>
      </c>
      <c r="T9" s="516">
        <v>46283.226254189816</v>
      </c>
      <c r="U9" s="517" t="inlineStr">
        <is>
          <t>https://api.coingecko.com/api/v3/simple/price?ids=tether,ethereum,binancecoin&amp;vs_currencies=usd</t>
        </is>
      </c>
      <c r="V9" s="517" t="inlineStr">
        <is>
          <t>每日原生币价格；本地可手动更新</t>
        </is>
      </c>
    </row>
    <row r="10" ht="36" customHeight="1">
      <c r="C10" s="26" t="n">
        <v>2</v>
      </c>
      <c r="D10" s="26" t="str">
        <v>股票 / ETF</v>
      </c>
      <c r="E10" s="35" t="str">
        <v>AAPL</v>
      </c>
      <c r="F10" s="35" t="str">
        <v>Apple</v>
      </c>
      <c r="G10" s="38" t="str">
        <v>​0xaF3D76f1834A1d425780943C99Ea8A608f8a93f9</v>
      </c>
      <c r="H10" s="35" t="n">
        <v>18</v>
      </c>
      <c r="I10" s="36" t="n">
        <v>9.68</v>
      </c>
      <c r="J10" s="36" t="n">
        <v>24.2</v>
      </c>
      <c r="K10" s="30">
        <f>J10/I10</f>
      </c>
      <c r="L10" s="28">
        <f>J10</f>
      </c>
      <c r="M10" s="28">
        <f>1000000000*I10*J10/(I10+J10)^2</f>
      </c>
      <c r="N10" s="28">
        <f>1000000000*I10^2/(I10+J10)^2</f>
      </c>
      <c r="O10" s="32">
        <f>1-N10/1000000000</f>
      </c>
      <c r="P10" s="35" t="n">
        <v>54430299</v>
      </c>
      <c r="Q10" s="40" t="str">
        <v>Approved / Native</v>
      </c>
      <c r="R10" s="519" t="str">
        <v>https://robinhoodchain.blockscout.com/address/0xaF3D76f1834A1d425780943C99Ea8A608f8a93f9</v>
      </c>
      <c r="S10" s="515">
        <v>336.6318996179027</v>
      </c>
      <c r="T10" s="516">
        <v>46283.225953946756</v>
      </c>
      <c r="U10" s="517" t="inlineStr">
        <is>
          <t>https://dexscreener.com/robinhood/0x8bb3514e2204e1cdf3ac149efee7ff04d91b719f</t>
        </is>
      </c>
      <c r="V10" s="517" t="inlineStr">
        <is>
          <t>每日 Quote 代币池价；本地可手动更新</t>
        </is>
      </c>
    </row>
    <row r="11" ht="36" customHeight="1">
      <c r="C11" s="26" t="n">
        <v>3</v>
      </c>
      <c r="D11" s="26" t="str">
        <v>股票 / ETF</v>
      </c>
      <c r="E11" s="35" t="str">
        <v>AMC</v>
      </c>
      <c r="F11" s="35" t="str">
        <v>AMC Entertainment</v>
      </c>
      <c r="G11" s="38" t="str">
        <v>​0x05a3d1cd21d0c88145e82600e62e7e496e0f222b</v>
      </c>
      <c r="H11" s="35" t="n">
        <v>18</v>
      </c>
      <c r="I11" s="36" t="n">
        <v>1536.0258736059484</v>
      </c>
      <c r="J11" s="36" t="n">
        <v>3840.0646840148715</v>
      </c>
      <c r="K11" s="30">
        <f>J11/I11</f>
      </c>
      <c r="L11" s="28">
        <f>J11</f>
      </c>
      <c r="M11" s="28">
        <f>1000000000*I11*J11/(I11+J11)^2</f>
      </c>
      <c r="N11" s="28">
        <f>1000000000*I11^2/(I11+J11)^2</f>
      </c>
      <c r="O11" s="32">
        <f>1-N11/1000000000</f>
      </c>
      <c r="P11" s="35" t="n">
        <v>54430299</v>
      </c>
      <c r="Q11" s="40" t="str">
        <v>Approved / Native</v>
      </c>
      <c r="R11" s="519" t="str">
        <v>https://robinhoodchain.blockscout.com/address/0x05a3d1cd21d0c88145e82600e62e7e496e0f222b</v>
      </c>
      <c r="S11" s="515">
        <v>2.712110021596802</v>
      </c>
      <c r="T11" s="516">
        <v>46283.22595894676</v>
      </c>
      <c r="U11" s="517" t="inlineStr">
        <is>
          <t>https://dexscreener.com/robinhood/0xcf38764ae8c92222af4358a701871a6235cfc7b7</t>
        </is>
      </c>
      <c r="V11" s="517" t="inlineStr">
        <is>
          <t>每日 Quote 代币池价；本地可手动更新</t>
        </is>
      </c>
    </row>
    <row r="12" ht="36" customHeight="1">
      <c r="C12" s="26" t="n">
        <v>4</v>
      </c>
      <c r="D12" s="26" t="str">
        <v>股票 / ETF</v>
      </c>
      <c r="E12" s="35" t="str">
        <v>AMD</v>
      </c>
      <c r="F12" s="35" t="str">
        <v>Advanced Micro Devices</v>
      </c>
      <c r="G12" s="38" t="str">
        <v>​0x86923f96303D656E4aa86D9d42D1e57ad2023fdC</v>
      </c>
      <c r="H12" s="35" t="n">
        <v>18</v>
      </c>
      <c r="I12" s="36" t="n">
        <v>6.66620183638</v>
      </c>
      <c r="J12" s="36" t="n">
        <v>16.66550459095</v>
      </c>
      <c r="K12" s="30">
        <f>J12/I12</f>
      </c>
      <c r="L12" s="28">
        <f>J12</f>
      </c>
      <c r="M12" s="28">
        <f>1000000000*I12*J12/(I12+J12)^2</f>
      </c>
      <c r="N12" s="28">
        <f>1000000000*I12^2/(I12+J12)^2</f>
      </c>
      <c r="O12" s="32">
        <f>1-N12/1000000000</f>
      </c>
      <c r="P12" s="35" t="n">
        <v>54430299</v>
      </c>
      <c r="Q12" s="40" t="str">
        <v>Approved / Native</v>
      </c>
      <c r="R12" s="519" t="str">
        <v>https://robinhoodchain.blockscout.com/address/0x86923f96303D656E4aa86D9d42D1e57ad2023fdC</v>
      </c>
      <c r="S12" s="515" t="inlineStr">
        <is>
          <t/>
        </is>
      </c>
      <c r="T12" s="516">
        <v>46283.22596384259</v>
      </c>
      <c r="U12" s="517" t="inlineStr">
        <is>
          <t/>
        </is>
      </c>
      <c r="V12" s="517" t="inlineStr">
        <is>
          <t>暂无合格池价；可手动输入</t>
        </is>
      </c>
    </row>
    <row r="13" ht="36" customHeight="1">
      <c r="C13" s="26" t="n">
        <v>5</v>
      </c>
      <c r="D13" s="26" t="str">
        <v>股票 / ETF</v>
      </c>
      <c r="E13" s="35" t="str">
        <v>AMZN</v>
      </c>
      <c r="F13" s="35" t="str">
        <v>Amazon</v>
      </c>
      <c r="G13" s="38" t="str">
        <v>​0x12f190a9F9d7D37a250758b26824B97CE941bF54</v>
      </c>
      <c r="H13" s="35" t="n">
        <v>18</v>
      </c>
      <c r="I13" s="36" t="n">
        <v>11.73211643685</v>
      </c>
      <c r="J13" s="36" t="n">
        <v>29.330291092125</v>
      </c>
      <c r="K13" s="30">
        <f>J13/I13</f>
      </c>
      <c r="L13" s="28">
        <f>J13</f>
      </c>
      <c r="M13" s="28">
        <f>1000000000*I13*J13/(I13+J13)^2</f>
      </c>
      <c r="N13" s="28">
        <f>1000000000*I13^2/(I13+J13)^2</f>
      </c>
      <c r="O13" s="32">
        <f>1-N13/1000000000</f>
      </c>
      <c r="P13" s="35" t="n">
        <v>54430299</v>
      </c>
      <c r="Q13" s="40" t="str">
        <v>Approved / Native</v>
      </c>
      <c r="R13" s="519" t="str">
        <v>https://robinhoodchain.blockscout.com/address/0x12f190a9F9d7D37a250758b26824B97CE941bF54</v>
      </c>
      <c r="S13" s="515" t="inlineStr">
        <is>
          <t/>
        </is>
      </c>
      <c r="T13" s="516">
        <v>46283.22596960649</v>
      </c>
      <c r="U13" s="517" t="inlineStr">
        <is>
          <t/>
        </is>
      </c>
      <c r="V13" s="517" t="inlineStr">
        <is>
          <t>暂无合格池价；可手动输入</t>
        </is>
      </c>
    </row>
    <row r="14" ht="36" customHeight="1">
      <c r="C14" s="26" t="n">
        <v>6</v>
      </c>
      <c r="D14" s="26" t="str">
        <v>股票 / ETF</v>
      </c>
      <c r="E14" s="35" t="str">
        <v>BABA</v>
      </c>
      <c r="F14" s="35" t="str">
        <v>Alibaba</v>
      </c>
      <c r="G14" s="38" t="str">
        <v>​0xad25ac6c84d497db898fa1e8387bf6af3532a1c4</v>
      </c>
      <c r="H14" s="35" t="n">
        <v>18</v>
      </c>
      <c r="I14" s="36" t="n">
        <v>36.51387062566278</v>
      </c>
      <c r="J14" s="36" t="n">
        <v>91.28467656415695</v>
      </c>
      <c r="K14" s="30">
        <f>J14/I14</f>
      </c>
      <c r="L14" s="28">
        <f>J14</f>
      </c>
      <c r="M14" s="28">
        <f>1000000000*I14*J14/(I14+J14)^2</f>
      </c>
      <c r="N14" s="28">
        <f>1000000000*I14^2/(I14+J14)^2</f>
      </c>
      <c r="O14" s="32">
        <f>1-N14/1000000000</f>
      </c>
      <c r="P14" s="35" t="n">
        <v>54430299</v>
      </c>
      <c r="Q14" s="40" t="str">
        <v>Approved / Native</v>
      </c>
      <c r="R14" s="519" t="str">
        <v>https://robinhoodchain.blockscout.com/address/0xad25ac6c84d497db898fa1e8387bf6af3532a1c4</v>
      </c>
      <c r="S14" s="515" t="inlineStr">
        <is>
          <t/>
        </is>
      </c>
      <c r="T14" s="516">
        <v>46283.22597613426</v>
      </c>
      <c r="U14" s="517" t="inlineStr">
        <is>
          <t/>
        </is>
      </c>
      <c r="V14" s="517" t="inlineStr">
        <is>
          <t>暂无合格池价；可手动输入</t>
        </is>
      </c>
    </row>
    <row r="15" ht="36" customHeight="1">
      <c r="C15" s="26" t="n">
        <v>7</v>
      </c>
      <c r="D15" s="26" t="str">
        <v>股票 / ETF</v>
      </c>
      <c r="E15" s="35" t="str">
        <v>BB</v>
      </c>
      <c r="F15" s="35" t="str">
        <v>BlackBerry</v>
      </c>
      <c r="G15" s="38" t="str">
        <v>​0x48E39E56aCdbA37b09020C0b734A613C9a2f100A</v>
      </c>
      <c r="H15" s="35" t="n">
        <v>18</v>
      </c>
      <c r="I15" s="36" t="n">
        <v>503.824570024</v>
      </c>
      <c r="J15" s="36" t="n">
        <v>1259.56142506</v>
      </c>
      <c r="K15" s="30">
        <f>J15/I15</f>
      </c>
      <c r="L15" s="28">
        <f>J15</f>
      </c>
      <c r="M15" s="28">
        <f>1000000000*I15*J15/(I15+J15)^2</f>
      </c>
      <c r="N15" s="28">
        <f>1000000000*I15^2/(I15+J15)^2</f>
      </c>
      <c r="O15" s="32">
        <f>1-N15/1000000000</f>
      </c>
      <c r="P15" s="35" t="n">
        <v>54430299</v>
      </c>
      <c r="Q15" s="40" t="str">
        <v>Approved / Native</v>
      </c>
      <c r="R15" s="519" t="str">
        <v>https://robinhoodchain.blockscout.com/address/0x48E39E56aCdbA37b09020C0b734A613C9a2f100A</v>
      </c>
      <c r="S15" s="515" t="inlineStr">
        <is>
          <t/>
        </is>
      </c>
      <c r="T15" s="516">
        <v>46283.225981840274</v>
      </c>
      <c r="U15" s="517" t="inlineStr">
        <is>
          <t/>
        </is>
      </c>
      <c r="V15" s="517" t="inlineStr">
        <is>
          <t>暂无合格池价；可手动输入</t>
        </is>
      </c>
    </row>
    <row r="16" ht="36" customHeight="1">
      <c r="C16" s="26" t="n">
        <v>8</v>
      </c>
      <c r="D16" s="26" t="str">
        <v>股票 / ETF</v>
      </c>
      <c r="E16" s="35" t="str">
        <v>BE</v>
      </c>
      <c r="F16" s="35" t="str">
        <v>Bloom Energy</v>
      </c>
      <c r="G16" s="38" t="str">
        <v>​0x822cc93ffd030293e9842c30bbd678f530701867</v>
      </c>
      <c r="H16" s="35" t="n">
        <v>18</v>
      </c>
      <c r="I16" s="36" t="n">
        <v>16.82031182576837</v>
      </c>
      <c r="J16" s="36" t="n">
        <v>42.05077956442092</v>
      </c>
      <c r="K16" s="30">
        <f>J16/I16</f>
      </c>
      <c r="L16" s="28">
        <f>J16</f>
      </c>
      <c r="M16" s="28">
        <f>1000000000*I16*J16/(I16+J16)^2</f>
      </c>
      <c r="N16" s="28">
        <f>1000000000*I16^2/(I16+J16)^2</f>
      </c>
      <c r="O16" s="32">
        <f>1-N16/1000000000</f>
      </c>
      <c r="P16" s="35" t="n">
        <v>54430299</v>
      </c>
      <c r="Q16" s="40" t="str">
        <v>Approved / Native</v>
      </c>
      <c r="R16" s="519" t="str">
        <v>https://robinhoodchain.blockscout.com/address/0x822cc93ffd030293e9842c30bbd678f530701867</v>
      </c>
      <c r="S16" s="515" t="inlineStr">
        <is>
          <t/>
        </is>
      </c>
      <c r="T16" s="516">
        <v>46283.225988101854</v>
      </c>
      <c r="U16" s="517" t="inlineStr">
        <is>
          <t/>
        </is>
      </c>
      <c r="V16" s="517" t="inlineStr">
        <is>
          <t>暂无合格池价；可手动输入</t>
        </is>
      </c>
    </row>
    <row r="17" ht="36" customHeight="1">
      <c r="C17" s="26" t="n">
        <v>9</v>
      </c>
      <c r="D17" s="26" t="str">
        <v>股票 / ETF</v>
      </c>
      <c r="E17" s="35" t="str">
        <v>BULL</v>
      </c>
      <c r="F17" s="35" t="str">
        <v>Webull</v>
      </c>
      <c r="G17" s="38" t="str">
        <v>​0xcef9027c7d6985b85f0ba431125073529a947a68</v>
      </c>
      <c r="H17" s="35" t="n">
        <v>18</v>
      </c>
      <c r="I17" s="36" t="n">
        <v>421.8386523736601</v>
      </c>
      <c r="J17" s="36" t="n">
        <v>1054.5966309341502</v>
      </c>
      <c r="K17" s="30">
        <f>J17/I17</f>
      </c>
      <c r="L17" s="28">
        <f>J17</f>
      </c>
      <c r="M17" s="28">
        <f>1000000000*I17*J17/(I17+J17)^2</f>
      </c>
      <c r="N17" s="28">
        <f>1000000000*I17^2/(I17+J17)^2</f>
      </c>
      <c r="O17" s="32">
        <f>1-N17/1000000000</f>
      </c>
      <c r="P17" s="35" t="n">
        <v>54430299</v>
      </c>
      <c r="Q17" s="40" t="str">
        <v>Approved / Native</v>
      </c>
      <c r="R17" s="519" t="str">
        <v>https://robinhoodchain.blockscout.com/address/0xcef9027c7d6985b85f0ba431125073529a947a68</v>
      </c>
      <c r="S17" s="515" t="inlineStr">
        <is>
          <t/>
        </is>
      </c>
      <c r="T17" s="516">
        <v>46283.225993611115</v>
      </c>
      <c r="U17" s="517" t="inlineStr">
        <is>
          <t/>
        </is>
      </c>
      <c r="V17" s="517" t="inlineStr">
        <is>
          <t>暂无合格池价；可手动输入</t>
        </is>
      </c>
    </row>
    <row r="18" ht="36" customHeight="1">
      <c r="C18" s="26" t="n">
        <v>10</v>
      </c>
      <c r="D18" s="26" t="str">
        <v>股票 / ETF</v>
      </c>
      <c r="E18" s="35" t="str">
        <v>COIN</v>
      </c>
      <c r="F18" s="35" t="str">
        <v>Coinbase</v>
      </c>
      <c r="G18" s="38" t="str">
        <v>​0x6330D8C3178a418788dF01a47479c0ce7CCF450b</v>
      </c>
      <c r="H18" s="35" t="n">
        <v>18</v>
      </c>
      <c r="I18" s="36" t="n">
        <v>20.98826938136</v>
      </c>
      <c r="J18" s="36" t="n">
        <v>52.4706734534</v>
      </c>
      <c r="K18" s="30">
        <f>J18/I18</f>
      </c>
      <c r="L18" s="28">
        <f>J18</f>
      </c>
      <c r="M18" s="28">
        <f>1000000000*I18*J18/(I18+J18)^2</f>
      </c>
      <c r="N18" s="28">
        <f>1000000000*I18^2/(I18+J18)^2</f>
      </c>
      <c r="O18" s="32">
        <f>1-N18/1000000000</f>
      </c>
      <c r="P18" s="35" t="n">
        <v>54430299</v>
      </c>
      <c r="Q18" s="40" t="str">
        <v>Approved / Native</v>
      </c>
      <c r="R18" s="519" t="str">
        <v>https://robinhoodchain.blockscout.com/address/0x6330D8C3178a418788dF01a47479c0ce7CCF450b</v>
      </c>
      <c r="S18" s="515">
        <v>176.62741612974895</v>
      </c>
      <c r="T18" s="516">
        <v>46283.225998622685</v>
      </c>
      <c r="U18" s="517" t="inlineStr">
        <is>
          <t>https://dexscreener.com/robinhood/0x6707aeac7d0e519b083219d27bb427364363183a</t>
        </is>
      </c>
      <c r="V18" s="517" t="inlineStr">
        <is>
          <t>每日 Quote 代币池价；本地可手动更新</t>
        </is>
      </c>
    </row>
    <row r="19" ht="36" customHeight="1">
      <c r="C19" s="26" t="n">
        <v>11</v>
      </c>
      <c r="D19" s="26" t="str">
        <v>股票 / ETF</v>
      </c>
      <c r="E19" s="35" t="str">
        <v>COST</v>
      </c>
      <c r="F19" s="35" t="str">
        <v>Costco</v>
      </c>
      <c r="G19" s="38" t="str">
        <v>​0x4EA005168D7F09a7A0Ba9D1DEf21a479950E44C2</v>
      </c>
      <c r="H19" s="35" t="n">
        <v>18</v>
      </c>
      <c r="I19" s="36" t="n">
        <v>3.388162372132</v>
      </c>
      <c r="J19" s="36" t="n">
        <v>8.47040593033</v>
      </c>
      <c r="K19" s="30">
        <f>J19/I19</f>
      </c>
      <c r="L19" s="28">
        <f>J19</f>
      </c>
      <c r="M19" s="28">
        <f>1000000000*I19*J19/(I19+J19)^2</f>
      </c>
      <c r="N19" s="28">
        <f>1000000000*I19^2/(I19+J19)^2</f>
      </c>
      <c r="O19" s="32">
        <f>1-N19/1000000000</f>
      </c>
      <c r="P19" s="35" t="n">
        <v>54430299</v>
      </c>
      <c r="Q19" s="40" t="str">
        <v>Approved / Native</v>
      </c>
      <c r="R19" s="519" t="str">
        <v>https://robinhoodchain.blockscout.com/address/0x4EA005168D7F09a7A0Ba9D1DEf21a479950E44C2</v>
      </c>
      <c r="S19" s="515" t="inlineStr">
        <is>
          <t/>
        </is>
      </c>
      <c r="T19" s="516">
        <v>46283.226004375</v>
      </c>
      <c r="U19" s="517" t="inlineStr">
        <is>
          <t/>
        </is>
      </c>
      <c r="V19" s="517" t="inlineStr">
        <is>
          <t>暂无合格池价；可手动输入</t>
        </is>
      </c>
    </row>
    <row r="20" ht="36" customHeight="1">
      <c r="C20" s="26" t="n">
        <v>12</v>
      </c>
      <c r="D20" s="26" t="str">
        <v>股票 / ETF</v>
      </c>
      <c r="E20" s="35" t="str">
        <v>CRCL</v>
      </c>
      <c r="F20" s="35" t="str">
        <v>Circle Internet Group</v>
      </c>
      <c r="G20" s="38" t="str">
        <v>​0xdF0992E440dD0be65BD8439b609d6D4366bf1CB5</v>
      </c>
      <c r="H20" s="35" t="n">
        <v>18</v>
      </c>
      <c r="I20" s="36" t="n">
        <v>47.9606680584</v>
      </c>
      <c r="J20" s="36" t="n">
        <v>119.901670146</v>
      </c>
      <c r="K20" s="30">
        <f>J20/I20</f>
      </c>
      <c r="L20" s="28">
        <f>J20</f>
      </c>
      <c r="M20" s="28">
        <f>1000000000*I20*J20/(I20+J20)^2</f>
      </c>
      <c r="N20" s="28">
        <f>1000000000*I20^2/(I20+J20)^2</f>
      </c>
      <c r="O20" s="32">
        <f>1-N20/1000000000</f>
      </c>
      <c r="P20" s="35" t="n">
        <v>54430299</v>
      </c>
      <c r="Q20" s="40" t="str">
        <v>Approved / Native</v>
      </c>
      <c r="R20" s="519" t="str">
        <v>https://robinhoodchain.blockscout.com/address/0xdF0992E440dD0be65BD8439b609d6D4366bf1CB5</v>
      </c>
      <c r="S20" s="515">
        <v>86.24710024398982</v>
      </c>
      <c r="T20" s="516">
        <v>46283.226011342595</v>
      </c>
      <c r="U20" s="517" t="inlineStr">
        <is>
          <t>https://dexscreener.com/robinhood/0x754ddd4bf8e8635b4301a7f4af2ea7a82ab6cea7</t>
        </is>
      </c>
      <c r="V20" s="517" t="inlineStr">
        <is>
          <t>每日 Quote 代币池价；本地可手动更新</t>
        </is>
      </c>
    </row>
    <row r="21" ht="36" customHeight="1">
      <c r="C21" s="26" t="n">
        <v>13</v>
      </c>
      <c r="D21" s="26" t="str">
        <v>股票 / ETF</v>
      </c>
      <c r="E21" s="35" t="str">
        <v>DELL</v>
      </c>
      <c r="F21" s="35" t="str">
        <v>Dell Technologies</v>
      </c>
      <c r="G21" s="38" t="str">
        <v>​0x941AE714EC6D8130c7B75d67160Ca08f1e7d11Dd</v>
      </c>
      <c r="H21" s="35" t="n">
        <v>18</v>
      </c>
      <c r="I21" s="36" t="n">
        <v>9.52812988236</v>
      </c>
      <c r="J21" s="36" t="n">
        <v>23.8203247059</v>
      </c>
      <c r="K21" s="30">
        <f>J21/I21</f>
      </c>
      <c r="L21" s="28">
        <f>J21</f>
      </c>
      <c r="M21" s="28">
        <f>1000000000*I21*J21/(I21+J21)^2</f>
      </c>
      <c r="N21" s="28">
        <f>1000000000*I21^2/(I21+J21)^2</f>
      </c>
      <c r="O21" s="32">
        <f>1-N21/1000000000</f>
      </c>
      <c r="P21" s="35" t="n">
        <v>54430299</v>
      </c>
      <c r="Q21" s="40" t="str">
        <v>Approved / Native</v>
      </c>
      <c r="R21" s="519" t="str">
        <v>https://robinhoodchain.blockscout.com/address/0x941AE714EC6D8130c7B75d67160Ca08f1e7d11Dd</v>
      </c>
      <c r="S21" s="515" t="inlineStr">
        <is>
          <t/>
        </is>
      </c>
      <c r="T21" s="516">
        <v>46283.22601709491</v>
      </c>
      <c r="U21" s="517" t="inlineStr">
        <is>
          <t/>
        </is>
      </c>
      <c r="V21" s="517" t="inlineStr">
        <is>
          <t>暂无合格池价；可手动输入</t>
        </is>
      </c>
    </row>
    <row r="22" ht="36" customHeight="1">
      <c r="C22" s="26" t="n">
        <v>14</v>
      </c>
      <c r="D22" s="26" t="str">
        <v>股票 / ETF</v>
      </c>
      <c r="E22" s="35" t="str">
        <v>DJT</v>
      </c>
      <c r="F22" s="35" t="str">
        <v>Trump Media &amp; Technology Group</v>
      </c>
      <c r="G22" s="38" t="str">
        <v>​0x1D11f0496982706C5e14A514D4E79F2e6BdE4516</v>
      </c>
      <c r="H22" s="35" t="n">
        <v>18</v>
      </c>
      <c r="I22" s="36" t="n">
        <v>366.8648806576</v>
      </c>
      <c r="J22" s="36" t="n">
        <v>917.162201644</v>
      </c>
      <c r="K22" s="30">
        <f>J22/I22</f>
      </c>
      <c r="L22" s="28">
        <f>J22</f>
      </c>
      <c r="M22" s="28">
        <f>1000000000*I22*J22/(I22+J22)^2</f>
      </c>
      <c r="N22" s="28">
        <f>1000000000*I22^2/(I22+J22)^2</f>
      </c>
      <c r="O22" s="32">
        <f>1-N22/1000000000</f>
      </c>
      <c r="P22" s="35" t="n">
        <v>54430299</v>
      </c>
      <c r="Q22" s="40" t="str">
        <v>Approved / Native</v>
      </c>
      <c r="R22" s="519" t="str">
        <v>https://robinhoodchain.blockscout.com/address/0x1D11f0496982706C5e14A514D4E79F2e6BdE4516</v>
      </c>
      <c r="S22" s="515">
        <v>8.76682058641623</v>
      </c>
      <c r="T22" s="516">
        <v>46283.22602296296</v>
      </c>
      <c r="U22" s="517" t="inlineStr">
        <is>
          <t>https://dexscreener.com/robinhood/0x81b4caac5d313ea0c831c4d16f8c23937602dcf1</t>
        </is>
      </c>
      <c r="V22" s="517" t="inlineStr">
        <is>
          <t>每日 Quote 代币池价；本地可手动更新</t>
        </is>
      </c>
    </row>
    <row r="23" ht="36" customHeight="1">
      <c r="C23" s="26" t="n">
        <v>15</v>
      </c>
      <c r="D23" s="26" t="str">
        <v>股票 / ETF</v>
      </c>
      <c r="E23" s="35" t="str">
        <v>F</v>
      </c>
      <c r="F23" s="35" t="str">
        <v>Ford Motor</v>
      </c>
      <c r="G23" s="38" t="str">
        <v>​0x25c288e6d899b9bc30160965ad9644c67e73be0c</v>
      </c>
      <c r="H23" s="35" t="n">
        <v>18</v>
      </c>
      <c r="I23" s="36" t="n">
        <v>284.56677685950416</v>
      </c>
      <c r="J23" s="36" t="n">
        <v>711.4169421487604</v>
      </c>
      <c r="K23" s="30">
        <f>J23/I23</f>
      </c>
      <c r="L23" s="28">
        <f>J23</f>
      </c>
      <c r="M23" s="28">
        <f>1000000000*I23*J23/(I23+J23)^2</f>
      </c>
      <c r="N23" s="28">
        <f>1000000000*I23^2/(I23+J23)^2</f>
      </c>
      <c r="O23" s="32">
        <f>1-N23/1000000000</f>
      </c>
      <c r="P23" s="35" t="n">
        <v>54430299</v>
      </c>
      <c r="Q23" s="40" t="str">
        <v>Approved / Native</v>
      </c>
      <c r="R23" s="519" t="str">
        <v>https://robinhoodchain.blockscout.com/address/0x25c288e6d899b9bc30160965ad9644c67e73be0c</v>
      </c>
      <c r="S23" s="515" t="inlineStr">
        <is>
          <t/>
        </is>
      </c>
      <c r="T23" s="516">
        <v>46283.22602857639</v>
      </c>
      <c r="U23" s="517" t="inlineStr">
        <is>
          <t/>
        </is>
      </c>
      <c r="V23" s="517" t="inlineStr">
        <is>
          <t>暂无合格池价；可手动输入</t>
        </is>
      </c>
    </row>
    <row r="24" ht="36" customHeight="1">
      <c r="C24" s="26" t="n">
        <v>16</v>
      </c>
      <c r="D24" s="26" t="str">
        <v>股票 / ETF</v>
      </c>
      <c r="E24" s="35" t="str">
        <v>FIG</v>
      </c>
      <c r="F24" s="35" t="str">
        <v>Figma</v>
      </c>
      <c r="G24" s="38" t="str">
        <v>​0x41F4267525a8AFf329540eF24fD83d9044758B33</v>
      </c>
      <c r="H24" s="35" t="n">
        <v>18</v>
      </c>
      <c r="I24" s="36" t="n">
        <v>156.2667703072</v>
      </c>
      <c r="J24" s="36" t="n">
        <v>390.666925768</v>
      </c>
      <c r="K24" s="30">
        <f>J24/I24</f>
      </c>
      <c r="L24" s="28">
        <f>J24</f>
      </c>
      <c r="M24" s="28">
        <f>1000000000*I24*J24/(I24+J24)^2</f>
      </c>
      <c r="N24" s="28">
        <f>1000000000*I24^2/(I24+J24)^2</f>
      </c>
      <c r="O24" s="32">
        <f>1-N24/1000000000</f>
      </c>
      <c r="P24" s="35" t="n">
        <v>54430299</v>
      </c>
      <c r="Q24" s="40" t="str">
        <v>Approved / Native</v>
      </c>
      <c r="R24" s="519" t="str">
        <v>https://robinhoodchain.blockscout.com/address/0x41F4267525a8AFf329540eF24fD83d9044758B33</v>
      </c>
      <c r="S24" s="515" t="inlineStr">
        <is>
          <t/>
        </is>
      </c>
      <c r="T24" s="516">
        <v>46283.226034155094</v>
      </c>
      <c r="U24" s="517" t="inlineStr">
        <is>
          <t/>
        </is>
      </c>
      <c r="V24" s="517" t="inlineStr">
        <is>
          <t>暂无合格池价；可手动输入</t>
        </is>
      </c>
    </row>
    <row r="25" ht="36" customHeight="1">
      <c r="C25" s="26" t="n">
        <v>17</v>
      </c>
      <c r="D25" s="26" t="str">
        <v>股票 / ETF</v>
      </c>
      <c r="E25" s="35" t="str">
        <v>GLD</v>
      </c>
      <c r="F25" s="35" t="str">
        <v>SPDR Gold Shares</v>
      </c>
      <c r="G25" s="38" t="str">
        <v>​0xC9a981FEE1F9DEc688bb123ccDeCc63D0deBFC4e</v>
      </c>
      <c r="H25" s="35" t="n">
        <v>18</v>
      </c>
      <c r="I25" s="36" t="n">
        <v>9.97623877984</v>
      </c>
      <c r="J25" s="36" t="n">
        <v>24.9405969496</v>
      </c>
      <c r="K25" s="30">
        <f>J25/I25</f>
      </c>
      <c r="L25" s="28">
        <f>J25</f>
      </c>
      <c r="M25" s="28">
        <f>1000000000*I25*J25/(I25+J25)^2</f>
      </c>
      <c r="N25" s="28">
        <f>1000000000*I25^2/(I25+J25)^2</f>
      </c>
      <c r="O25" s="32">
        <f>1-N25/1000000000</f>
      </c>
      <c r="P25" s="35" t="n">
        <v>54430299</v>
      </c>
      <c r="Q25" s="40" t="str">
        <v>Approved / Native</v>
      </c>
      <c r="R25" s="519" t="str">
        <v>https://robinhoodchain.blockscout.com/address/0xC9a981FEE1F9DEc688bb123ccDeCc63D0deBFC4e</v>
      </c>
      <c r="S25" s="515">
        <v>402.5131552347726</v>
      </c>
      <c r="T25" s="516">
        <v>46283.226039803245</v>
      </c>
      <c r="U25" s="517" t="inlineStr">
        <is>
          <t>https://dexscreener.com/robinhood/0x98996e833ea35ec17c3645ca7b6dd40d188564c4</t>
        </is>
      </c>
      <c r="V25" s="517" t="inlineStr">
        <is>
          <t>每日 Quote 代币池价；本地可手动更新</t>
        </is>
      </c>
    </row>
    <row r="26" ht="36" customHeight="1">
      <c r="C26" s="26" t="n">
        <v>18</v>
      </c>
      <c r="D26" s="26" t="str">
        <v>股票 / ETF</v>
      </c>
      <c r="E26" s="35" t="str">
        <v>GME</v>
      </c>
      <c r="F26" s="35" t="str">
        <v>GameStop</v>
      </c>
      <c r="G26" s="38" t="str">
        <v>​0x1b0E319c6A659F002271B69dB8A7df2F911c153E</v>
      </c>
      <c r="H26" s="35" t="n">
        <v>18</v>
      </c>
      <c r="I26" s="36" t="n">
        <v>147.6</v>
      </c>
      <c r="J26" s="36" t="n">
        <v>369</v>
      </c>
      <c r="K26" s="30">
        <f>J26/I26</f>
      </c>
      <c r="L26" s="28">
        <f>J26</f>
      </c>
      <c r="M26" s="28">
        <f>1000000000*I26*J26/(I26+J26)^2</f>
      </c>
      <c r="N26" s="28">
        <f>1000000000*I26^2/(I26+J26)^2</f>
      </c>
      <c r="O26" s="32">
        <f>1-N26/1000000000</f>
      </c>
      <c r="P26" s="35" t="n">
        <v>54430299</v>
      </c>
      <c r="Q26" s="40" t="str">
        <v>Approved / Native</v>
      </c>
      <c r="R26" s="519" t="str">
        <v>https://robinhoodchain.blockscout.com/address/0x1b0E319c6A659F002271B69dB8A7df2F911c153E</v>
      </c>
      <c r="S26" s="515" t="inlineStr">
        <is>
          <t/>
        </is>
      </c>
      <c r="T26" s="516">
        <v>46283.22604488426</v>
      </c>
      <c r="U26" s="517" t="inlineStr">
        <is>
          <t/>
        </is>
      </c>
      <c r="V26" s="517" t="inlineStr">
        <is>
          <t>暂无合格池价；可手动输入</t>
        </is>
      </c>
    </row>
    <row r="27" ht="36" customHeight="1">
      <c r="C27" s="26" t="n">
        <v>19</v>
      </c>
      <c r="D27" s="26" t="str">
        <v>股票 / ETF</v>
      </c>
      <c r="E27" s="35" t="str">
        <v>GOOGL</v>
      </c>
      <c r="F27" s="35" t="str">
        <v>Alphabet Class A</v>
      </c>
      <c r="G27" s="38" t="str">
        <v>​0x2e0847E8910a9732eB3fb1bb4b70a580ADAD4FE3</v>
      </c>
      <c r="H27" s="35" t="n">
        <v>18</v>
      </c>
      <c r="I27" s="36" t="n">
        <v>9.68</v>
      </c>
      <c r="J27" s="36" t="n">
        <v>24.2</v>
      </c>
      <c r="K27" s="30">
        <f>J27/I27</f>
      </c>
      <c r="L27" s="28">
        <f>J27</f>
      </c>
      <c r="M27" s="28">
        <f>1000000000*I27*J27/(I27+J27)^2</f>
      </c>
      <c r="N27" s="28">
        <f>1000000000*I27^2/(I27+J27)^2</f>
      </c>
      <c r="O27" s="32">
        <f>1-N27/1000000000</f>
      </c>
      <c r="P27" s="35" t="n">
        <v>54430299</v>
      </c>
      <c r="Q27" s="40" t="str">
        <v>Approved / Native</v>
      </c>
      <c r="R27" s="519" t="str">
        <v>https://robinhoodchain.blockscout.com/address/0x2e0847E8910a9732eB3fb1bb4b70a580ADAD4FE3</v>
      </c>
      <c r="S27" s="515">
        <v>349.1416321898437</v>
      </c>
      <c r="T27" s="516">
        <v>46283.22605157407</v>
      </c>
      <c r="U27" s="517" t="inlineStr">
        <is>
          <t>https://dexscreener.com/robinhood/0x8c2b4303fa0b99d07a5d3e9411497a277e65b673</t>
        </is>
      </c>
      <c r="V27" s="517" t="inlineStr">
        <is>
          <t>每日 Quote 代币池价；本地可手动更新</t>
        </is>
      </c>
    </row>
    <row r="28" ht="36" customHeight="1">
      <c r="C28" s="26" t="n">
        <v>20</v>
      </c>
      <c r="D28" s="26" t="str">
        <v>股票 / ETF</v>
      </c>
      <c r="E28" s="35" t="str">
        <v>HIMS</v>
      </c>
      <c r="F28" s="35" t="str">
        <v>Hims &amp; Hers Health</v>
      </c>
      <c r="G28" s="38" t="str">
        <v>​0xCceE82fE024c36fA15E1005edE3E9e4787e23D09</v>
      </c>
      <c r="H28" s="35" t="n">
        <v>18</v>
      </c>
      <c r="I28" s="36" t="n">
        <v>141.9568016616</v>
      </c>
      <c r="J28" s="36" t="n">
        <v>354.892004154</v>
      </c>
      <c r="K28" s="30">
        <f>J28/I28</f>
      </c>
      <c r="L28" s="28">
        <f>J28</f>
      </c>
      <c r="M28" s="28">
        <f>1000000000*I28*J28/(I28+J28)^2</f>
      </c>
      <c r="N28" s="28">
        <f>1000000000*I28^2/(I28+J28)^2</f>
      </c>
      <c r="O28" s="32">
        <f>1-N28/1000000000</f>
      </c>
      <c r="P28" s="35" t="n">
        <v>54430299</v>
      </c>
      <c r="Q28" s="40" t="str">
        <v>Approved / Native</v>
      </c>
      <c r="R28" s="519" t="str">
        <v>https://robinhoodchain.blockscout.com/address/0xCceE82fE024c36fA15E1005edE3E9e4787e23D09</v>
      </c>
      <c r="S28" s="515">
        <v>28.211948896241275</v>
      </c>
      <c r="T28" s="516">
        <v>46283.226056481486</v>
      </c>
      <c r="U28" s="517" t="inlineStr">
        <is>
          <t>https://dexscreener.com/robinhood/0xd10e6245961d697d975963682ece9979e9917fbc</t>
        </is>
      </c>
      <c r="V28" s="517" t="inlineStr">
        <is>
          <t>每日 Quote 代币池价；本地可手动更新</t>
        </is>
      </c>
    </row>
    <row r="29" ht="36" customHeight="1">
      <c r="C29" s="26" t="n">
        <v>21</v>
      </c>
      <c r="D29" s="26" t="str">
        <v>股票 / ETF</v>
      </c>
      <c r="E29" s="35" t="str">
        <v>IBM</v>
      </c>
      <c r="F29" s="35" t="str">
        <v>IBM</v>
      </c>
      <c r="G29" s="38" t="str">
        <v>​0x980dcf6766fa79f5cf0c4aadb3ab477ff15a9619</v>
      </c>
      <c r="H29" s="35" t="n">
        <v>18</v>
      </c>
      <c r="I29" s="36" t="n">
        <v>17.55644614404079</v>
      </c>
      <c r="J29" s="36" t="n">
        <v>43.89111536010198</v>
      </c>
      <c r="K29" s="30">
        <f>J29/I29</f>
      </c>
      <c r="L29" s="28">
        <f>J29</f>
      </c>
      <c r="M29" s="28">
        <f>1000000000*I29*J29/(I29+J29)^2</f>
      </c>
      <c r="N29" s="28">
        <f>1000000000*I29^2/(I29+J29)^2</f>
      </c>
      <c r="O29" s="32">
        <f>1-N29/1000000000</f>
      </c>
      <c r="P29" s="35" t="n">
        <v>54430299</v>
      </c>
      <c r="Q29" s="40" t="str">
        <v>Approved / Native</v>
      </c>
      <c r="R29" s="519" t="str">
        <v>https://robinhoodchain.blockscout.com/address/0x980dcf6766fa79f5cf0c4aadb3ab477ff15a9619</v>
      </c>
      <c r="S29" s="515" t="inlineStr">
        <is>
          <t/>
        </is>
      </c>
      <c r="T29" s="516">
        <v>46283.226063194445</v>
      </c>
      <c r="U29" s="517" t="inlineStr">
        <is>
          <t/>
        </is>
      </c>
      <c r="V29" s="517" t="inlineStr">
        <is>
          <t>暂无合格池价；可手动输入</t>
        </is>
      </c>
    </row>
    <row r="30" ht="36" customHeight="1">
      <c r="C30" s="26" t="n">
        <v>22</v>
      </c>
      <c r="D30" s="26" t="str">
        <v>股票 / ETF</v>
      </c>
      <c r="E30" s="35" t="str">
        <v>INDA</v>
      </c>
      <c r="F30" s="35" t="str">
        <v>iShares MSCI India ETF</v>
      </c>
      <c r="G30" s="38" t="str">
        <v>​0xacef2e09adb47ad6abebad9ff06689e60615c2b6</v>
      </c>
      <c r="H30" s="35" t="n">
        <v>18</v>
      </c>
      <c r="I30" s="36" t="n">
        <v>82.69607925547884</v>
      </c>
      <c r="J30" s="36" t="n">
        <v>206.7401981386971</v>
      </c>
      <c r="K30" s="30">
        <f>J30/I30</f>
      </c>
      <c r="L30" s="28">
        <f>J30</f>
      </c>
      <c r="M30" s="28">
        <f>1000000000*I30*J30/(I30+J30)^2</f>
      </c>
      <c r="N30" s="28">
        <f>1000000000*I30^2/(I30+J30)^2</f>
      </c>
      <c r="O30" s="32">
        <f>1-N30/1000000000</f>
      </c>
      <c r="P30" s="35" t="n">
        <v>54430299</v>
      </c>
      <c r="Q30" s="40" t="str">
        <v>Approved / Native</v>
      </c>
      <c r="R30" s="519" t="str">
        <v>https://robinhoodchain.blockscout.com/address/0xacef2e09adb47ad6abebad9ff06689e60615c2b6</v>
      </c>
      <c r="S30" s="515" t="inlineStr">
        <is>
          <t/>
        </is>
      </c>
      <c r="T30" s="516">
        <v>46283.22606887731</v>
      </c>
      <c r="U30" s="517" t="inlineStr">
        <is>
          <t/>
        </is>
      </c>
      <c r="V30" s="517" t="inlineStr">
        <is>
          <t>暂无合格池价；可手动输入</t>
        </is>
      </c>
    </row>
    <row r="31" ht="36" customHeight="1">
      <c r="C31" s="26" t="n">
        <v>23</v>
      </c>
      <c r="D31" s="26" t="str">
        <v>股票 / ETF</v>
      </c>
      <c r="E31" s="35" t="str">
        <v>JNJ</v>
      </c>
      <c r="F31" s="35" t="str">
        <v>Johnson &amp; Johnson</v>
      </c>
      <c r="G31" s="38" t="str">
        <v>​0x03DfbBE0AC4E7bCDaFd08eD41A400326B77D8c80</v>
      </c>
      <c r="H31" s="35" t="n">
        <v>18</v>
      </c>
      <c r="I31" s="36" t="n">
        <v>14.60973075108</v>
      </c>
      <c r="J31" s="36" t="n">
        <v>36.5243268777</v>
      </c>
      <c r="K31" s="30">
        <f>J31/I31</f>
      </c>
      <c r="L31" s="28">
        <f>J31</f>
      </c>
      <c r="M31" s="28">
        <f>1000000000*I31*J31/(I31+J31)^2</f>
      </c>
      <c r="N31" s="28">
        <f>1000000000*I31^2/(I31+J31)^2</f>
      </c>
      <c r="O31" s="32">
        <f>1-N31/1000000000</f>
      </c>
      <c r="P31" s="35" t="n">
        <v>54430299</v>
      </c>
      <c r="Q31" s="40" t="str">
        <v>Approved / Native</v>
      </c>
      <c r="R31" s="519" t="str">
        <v>https://robinhoodchain.blockscout.com/address/0x03DfbBE0AC4E7bCDaFd08eD41A400326B77D8c80</v>
      </c>
      <c r="S31" s="515" t="inlineStr">
        <is>
          <t/>
        </is>
      </c>
      <c r="T31" s="516">
        <v>46283.22607498843</v>
      </c>
      <c r="U31" s="517" t="inlineStr">
        <is>
          <t/>
        </is>
      </c>
      <c r="V31" s="517" t="inlineStr">
        <is>
          <t>暂无合格池价；可手动输入</t>
        </is>
      </c>
    </row>
    <row r="32" ht="36" customHeight="1">
      <c r="C32" s="26" t="n">
        <v>24</v>
      </c>
      <c r="D32" s="26" t="str">
        <v>股票 / ETF</v>
      </c>
      <c r="E32" s="35" t="str">
        <v>LLY</v>
      </c>
      <c r="F32" s="35" t="str">
        <v>Eli Lilly</v>
      </c>
      <c r="G32" s="38" t="str">
        <v>​0x8005d266423c7ea827372c9c864491e5786600ea</v>
      </c>
      <c r="H32" s="35" t="n">
        <v>18</v>
      </c>
      <c r="I32" s="36" t="n">
        <v>3.490909655172</v>
      </c>
      <c r="J32" s="36" t="n">
        <v>8.72727413793</v>
      </c>
      <c r="K32" s="30">
        <f>J32/I32</f>
      </c>
      <c r="L32" s="28">
        <f>J32</f>
      </c>
      <c r="M32" s="28">
        <f>1000000000*I32*J32/(I32+J32)^2</f>
      </c>
      <c r="N32" s="28">
        <f>1000000000*I32^2/(I32+J32)^2</f>
      </c>
      <c r="O32" s="32">
        <f>1-N32/1000000000</f>
      </c>
      <c r="P32" s="35" t="n">
        <v>54430299</v>
      </c>
      <c r="Q32" s="40" t="str">
        <v>Approved / Native</v>
      </c>
      <c r="R32" s="519" t="str">
        <v>https://robinhoodchain.blockscout.com/address/0x8005d266423c7ea827372c9c864491e5786600ea</v>
      </c>
      <c r="S32" s="515">
        <v>1157.4905276304964</v>
      </c>
      <c r="T32" s="516">
        <v>46283.22607966435</v>
      </c>
      <c r="U32" s="517" t="inlineStr">
        <is>
          <t>https://dexscreener.com/robinhood/0x666ba98ab094793e276215448f2485fd8e3c3ce5</t>
        </is>
      </c>
      <c r="V32" s="517" t="inlineStr">
        <is>
          <t>每日 Quote 代币池价；本地可手动更新</t>
        </is>
      </c>
    </row>
    <row r="33" ht="36" customHeight="1">
      <c r="C33" s="26" t="n">
        <v>25</v>
      </c>
      <c r="D33" s="26" t="str">
        <v>股票 / ETF</v>
      </c>
      <c r="E33" s="35" t="str">
        <v>LULU</v>
      </c>
      <c r="F33" s="35" t="str">
        <v>Lululemon Athletica</v>
      </c>
      <c r="G33" s="38" t="str">
        <v>​0x4e62068525Ab11FE768e29dfD00ef909B9803016</v>
      </c>
      <c r="H33" s="35" t="n">
        <v>18</v>
      </c>
      <c r="I33" s="36" t="n">
        <v>33.48666611144</v>
      </c>
      <c r="J33" s="36" t="n">
        <v>83.7166652786</v>
      </c>
      <c r="K33" s="30">
        <f>J33/I33</f>
      </c>
      <c r="L33" s="28">
        <f>J33</f>
      </c>
      <c r="M33" s="28">
        <f>1000000000*I33*J33/(I33+J33)^2</f>
      </c>
      <c r="N33" s="28">
        <f>1000000000*I33^2/(I33+J33)^2</f>
      </c>
      <c r="O33" s="32">
        <f>1-N33/1000000000</f>
      </c>
      <c r="P33" s="35" t="n">
        <v>54430299</v>
      </c>
      <c r="Q33" s="40" t="str">
        <v>Approved / Native</v>
      </c>
      <c r="R33" s="519" t="str">
        <v>https://robinhoodchain.blockscout.com/address/0x4e62068525Ab11FE768e29dfD00ef909B9803016</v>
      </c>
      <c r="S33" s="515" t="inlineStr">
        <is>
          <t/>
        </is>
      </c>
      <c r="T33" s="516">
        <v>46283.22608563657</v>
      </c>
      <c r="U33" s="517" t="inlineStr">
        <is>
          <t/>
        </is>
      </c>
      <c r="V33" s="517" t="inlineStr">
        <is>
          <t>暂无合格池价；可手动输入</t>
        </is>
      </c>
    </row>
    <row r="34" ht="36" customHeight="1">
      <c r="C34" s="26" t="n">
        <v>26</v>
      </c>
      <c r="D34" s="26" t="str">
        <v>股票 / ETF</v>
      </c>
      <c r="E34" s="35" t="str">
        <v>META</v>
      </c>
      <c r="F34" s="35" t="str">
        <v>Meta Platforms</v>
      </c>
      <c r="G34" s="38" t="str">
        <v>​0xc0D6457C16Cc70d6790Dd43521C899C87ce02f35</v>
      </c>
      <c r="H34" s="35" t="n">
        <v>18</v>
      </c>
      <c r="I34" s="36" t="n">
        <v>5.42715804396</v>
      </c>
      <c r="J34" s="36" t="n">
        <v>13.5678951099</v>
      </c>
      <c r="K34" s="30">
        <f>J34/I34</f>
      </c>
      <c r="L34" s="28">
        <f>J34</f>
      </c>
      <c r="M34" s="28">
        <f>1000000000*I34*J34/(I34+J34)^2</f>
      </c>
      <c r="N34" s="28">
        <f>1000000000*I34^2/(I34+J34)^2</f>
      </c>
      <c r="O34" s="32">
        <f>1-N34/1000000000</f>
      </c>
      <c r="P34" s="35" t="n">
        <v>54430299</v>
      </c>
      <c r="Q34" s="40" t="str">
        <v>Approved / Native</v>
      </c>
      <c r="R34" s="519" t="str">
        <v>https://robinhoodchain.blockscout.com/address/0xc0D6457C16Cc70d6790Dd43521C899C87ce02f35</v>
      </c>
      <c r="S34" s="515">
        <v>684.6196340753105</v>
      </c>
      <c r="T34" s="516">
        <v>46283.22609211806</v>
      </c>
      <c r="U34" s="517" t="inlineStr">
        <is>
          <t>https://dexscreener.com/robinhood/0xa4bdb396a69617eb7f70e2cc1ef526f7340b1b0d</t>
        </is>
      </c>
      <c r="V34" s="517" t="inlineStr">
        <is>
          <t>每日 Quote 代币池价；本地可手动更新</t>
        </is>
      </c>
    </row>
    <row r="35" ht="36" customHeight="1">
      <c r="C35" s="26" t="n">
        <v>27</v>
      </c>
      <c r="D35" s="26" t="str">
        <v>股票 / ETF</v>
      </c>
      <c r="E35" s="35" t="str">
        <v>MRNA</v>
      </c>
      <c r="F35" s="35" t="str">
        <v>Moderna</v>
      </c>
      <c r="G35" s="38" t="str">
        <v>​0x43B07D15cE533bEc5476d70C22a78a1B2B662155</v>
      </c>
      <c r="H35" s="35" t="n">
        <v>18</v>
      </c>
      <c r="I35" s="36" t="n">
        <v>26.66099065048</v>
      </c>
      <c r="J35" s="36" t="n">
        <v>66.6524766262</v>
      </c>
      <c r="K35" s="30">
        <f>J35/I35</f>
      </c>
      <c r="L35" s="28">
        <f>J35</f>
      </c>
      <c r="M35" s="28">
        <f>1000000000*I35*J35/(I35+J35)^2</f>
      </c>
      <c r="N35" s="28">
        <f>1000000000*I35^2/(I35+J35)^2</f>
      </c>
      <c r="O35" s="32">
        <f>1-N35/1000000000</f>
      </c>
      <c r="P35" s="35" t="n">
        <v>54430299</v>
      </c>
      <c r="Q35" s="40" t="str">
        <v>Approved / Native</v>
      </c>
      <c r="R35" s="519" t="str">
        <v>https://robinhoodchain.blockscout.com/address/0x43B07D15cE533bEc5476d70C22a78a1B2B662155</v>
      </c>
      <c r="S35" s="515" t="inlineStr">
        <is>
          <t/>
        </is>
      </c>
      <c r="T35" s="516">
        <v>46283.22609819444</v>
      </c>
      <c r="U35" s="517" t="inlineStr">
        <is>
          <t/>
        </is>
      </c>
      <c r="V35" s="517" t="inlineStr">
        <is>
          <t>暂无合格池价；可手动输入</t>
        </is>
      </c>
    </row>
    <row r="36" ht="36" customHeight="1">
      <c r="C36" s="26" t="n">
        <v>28</v>
      </c>
      <c r="D36" s="26" t="str">
        <v>股票 / ETF</v>
      </c>
      <c r="E36" s="35" t="str">
        <v>MRVL</v>
      </c>
      <c r="F36" s="35" t="str">
        <v>Marvell Technology</v>
      </c>
      <c r="G36" s="38" t="str">
        <v>​0x62fd0668e10D8B72339BE2DCF7643001688ff13B</v>
      </c>
      <c r="H36" s="35" t="n">
        <v>18</v>
      </c>
      <c r="I36" s="36" t="n">
        <v>19.47280123984</v>
      </c>
      <c r="J36" s="36" t="n">
        <v>48.6820030996</v>
      </c>
      <c r="K36" s="30">
        <f>J36/I36</f>
      </c>
      <c r="L36" s="28">
        <f>J36</f>
      </c>
      <c r="M36" s="28">
        <f>1000000000*I36*J36/(I36+J36)^2</f>
      </c>
      <c r="N36" s="28">
        <f>1000000000*I36^2/(I36+J36)^2</f>
      </c>
      <c r="O36" s="32">
        <f>1-N36/1000000000</f>
      </c>
      <c r="P36" s="35" t="n">
        <v>54430299</v>
      </c>
      <c r="Q36" s="40" t="str">
        <v>Approved / Native</v>
      </c>
      <c r="R36" s="519" t="str">
        <v>https://robinhoodchain.blockscout.com/address/0x62fd0668e10D8B72339BE2DCF7643001688ff13B</v>
      </c>
      <c r="S36" s="515" t="inlineStr">
        <is>
          <t/>
        </is>
      </c>
      <c r="T36" s="516">
        <v>46283.226103472225</v>
      </c>
      <c r="U36" s="517" t="inlineStr">
        <is>
          <t/>
        </is>
      </c>
      <c r="V36" s="517" t="inlineStr">
        <is>
          <t>暂无合格池价；可手动输入</t>
        </is>
      </c>
    </row>
    <row r="37" ht="36" customHeight="1">
      <c r="C37" s="26" t="n">
        <v>29</v>
      </c>
      <c r="D37" s="26" t="str">
        <v>股票 / ETF</v>
      </c>
      <c r="E37" s="35" t="str">
        <v>MSFT</v>
      </c>
      <c r="F37" s="35" t="str">
        <v>Microsoft</v>
      </c>
      <c r="G37" s="38" t="str">
        <v>​0xe93237C50D904957Cf27E7B1133b510C669c2e74</v>
      </c>
      <c r="H37" s="35" t="n">
        <v>18</v>
      </c>
      <c r="I37" s="36" t="n">
        <v>6.43145576708</v>
      </c>
      <c r="J37" s="36" t="n">
        <v>16.0786394177</v>
      </c>
      <c r="K37" s="30">
        <f>J37/I37</f>
      </c>
      <c r="L37" s="28">
        <f>J37</f>
      </c>
      <c r="M37" s="28">
        <f>1000000000*I37*J37/(I37+J37)^2</f>
      </c>
      <c r="N37" s="28">
        <f>1000000000*I37^2/(I37+J37)^2</f>
      </c>
      <c r="O37" s="32">
        <f>1-N37/1000000000</f>
      </c>
      <c r="P37" s="35" t="n">
        <v>54430299</v>
      </c>
      <c r="Q37" s="40" t="str">
        <v>Approved / Native</v>
      </c>
      <c r="R37" s="519" t="str">
        <v>https://robinhoodchain.blockscout.com/address/0xe93237C50D904957Cf27E7B1133b510C669c2e74</v>
      </c>
      <c r="S37" s="515" t="inlineStr">
        <is>
          <t/>
        </is>
      </c>
      <c r="T37" s="516">
        <v>46283.226108842595</v>
      </c>
      <c r="U37" s="517" t="inlineStr">
        <is>
          <t/>
        </is>
      </c>
      <c r="V37" s="517" t="inlineStr">
        <is>
          <t>暂无合格池价；可手动输入</t>
        </is>
      </c>
    </row>
    <row r="38" ht="36" customHeight="1">
      <c r="C38" s="26" t="n">
        <v>30</v>
      </c>
      <c r="D38" s="26" t="str">
        <v>股票 / ETF</v>
      </c>
      <c r="E38" s="35" t="str">
        <v>MSTR</v>
      </c>
      <c r="F38" s="35" t="str">
        <v>Strategy</v>
      </c>
      <c r="G38" s="38" t="str">
        <v>​0xec262a75e413fAfD0dF80480274532C79D42da09</v>
      </c>
      <c r="H38" s="35" t="n">
        <v>18</v>
      </c>
      <c r="I38" s="36" t="n">
        <v>31.99209095404</v>
      </c>
      <c r="J38" s="36" t="n">
        <v>79.9802273851</v>
      </c>
      <c r="K38" s="30">
        <f>J38/I38</f>
      </c>
      <c r="L38" s="28">
        <f>J38</f>
      </c>
      <c r="M38" s="28">
        <f>1000000000*I38*J38/(I38+J38)^2</f>
      </c>
      <c r="N38" s="28">
        <f>1000000000*I38^2/(I38+J38)^2</f>
      </c>
      <c r="O38" s="32">
        <f>1-N38/1000000000</f>
      </c>
      <c r="P38" s="35" t="n">
        <v>54430299</v>
      </c>
      <c r="Q38" s="40" t="str">
        <v>Approved / Native</v>
      </c>
      <c r="R38" s="519" t="str">
        <v>https://robinhoodchain.blockscout.com/address/0xec262a75e413fAfD0dF80480274532C79D42da09</v>
      </c>
      <c r="S38" s="515">
        <v>134.8048781952359</v>
      </c>
      <c r="T38" s="516">
        <v>46283.22611443287</v>
      </c>
      <c r="U38" s="517" t="inlineStr">
        <is>
          <t>https://dexscreener.com/robinhood/0x70504a6fafdbfb75fe971faa4dd716e79ac5624c</t>
        </is>
      </c>
      <c r="V38" s="517" t="inlineStr">
        <is>
          <t>每日 Quote 代币池价；本地可手动更新</t>
        </is>
      </c>
    </row>
    <row r="39" ht="36" customHeight="1">
      <c r="C39" s="26" t="n">
        <v>31</v>
      </c>
      <c r="D39" s="26" t="str">
        <v>股票 / ETF</v>
      </c>
      <c r="E39" s="35" t="str">
        <v>MU</v>
      </c>
      <c r="F39" s="35" t="str">
        <v>Micron Technology</v>
      </c>
      <c r="G39" s="38" t="str">
        <v>​0xfF080c8ce2E5feadaCa0Da81314Ae59D232d4afD</v>
      </c>
      <c r="H39" s="35" t="n">
        <v>18</v>
      </c>
      <c r="I39" s="36" t="n">
        <v>3.671383856716</v>
      </c>
      <c r="J39" s="36" t="n">
        <v>9.17845964179</v>
      </c>
      <c r="K39" s="30">
        <f>J39/I39</f>
      </c>
      <c r="L39" s="28">
        <f>J39</f>
      </c>
      <c r="M39" s="28">
        <f>1000000000*I39*J39/(I39+J39)^2</f>
      </c>
      <c r="N39" s="28">
        <f>1000000000*I39^2/(I39+J39)^2</f>
      </c>
      <c r="O39" s="32">
        <f>1-N39/1000000000</f>
      </c>
      <c r="P39" s="35" t="n">
        <v>54430299</v>
      </c>
      <c r="Q39" s="40" t="str">
        <v>Approved / Native</v>
      </c>
      <c r="R39" s="519" t="str">
        <v>https://robinhoodchain.blockscout.com/address/0xfF080c8ce2E5feadaCa0Da81314Ae59D232d4afD</v>
      </c>
      <c r="S39" s="515">
        <v>995.5145102890048</v>
      </c>
      <c r="T39" s="516">
        <v>46283.22612101852</v>
      </c>
      <c r="U39" s="517" t="inlineStr">
        <is>
          <t>https://dexscreener.com/robinhood/0x301f48ec369bb3bfa0bc04d44a79037aa0ee2340</t>
        </is>
      </c>
      <c r="V39" s="517" t="inlineStr">
        <is>
          <t>每日 Quote 代币池价；本地可手动更新</t>
        </is>
      </c>
    </row>
    <row r="40" ht="36" customHeight="1">
      <c r="C40" s="26" t="n">
        <v>32</v>
      </c>
      <c r="D40" s="26" t="str">
        <v>股票 / ETF</v>
      </c>
      <c r="E40" s="35" t="str">
        <v>NFLX</v>
      </c>
      <c r="F40" s="35" t="str">
        <v>Netflix</v>
      </c>
      <c r="G40" s="38" t="str">
        <v>​0xe0444ef8bf4ed74f74fd73686e2ddf4c1c5591e8</v>
      </c>
      <c r="H40" s="35" t="n">
        <v>18</v>
      </c>
      <c r="I40" s="36" t="n">
        <v>52.12121854304636</v>
      </c>
      <c r="J40" s="36" t="n">
        <v>130.3030463576159</v>
      </c>
      <c r="K40" s="30">
        <f>J40/I40</f>
      </c>
      <c r="L40" s="28">
        <f>J40</f>
      </c>
      <c r="M40" s="28">
        <f>1000000000*I40*J40/(I40+J40)^2</f>
      </c>
      <c r="N40" s="28">
        <f>1000000000*I40^2/(I40+J40)^2</f>
      </c>
      <c r="O40" s="32">
        <f>1-N40/1000000000</f>
      </c>
      <c r="P40" s="35" t="n">
        <v>54430299</v>
      </c>
      <c r="Q40" s="40" t="str">
        <v>Approved / Native</v>
      </c>
      <c r="R40" s="519" t="str">
        <v>https://robinhoodchain.blockscout.com/address/0xe0444ef8bf4ed74f74fd73686e2ddf4c1c5591e8</v>
      </c>
      <c r="S40" s="515" t="inlineStr">
        <is>
          <t/>
        </is>
      </c>
      <c r="T40" s="516">
        <v>46283.22613256945</v>
      </c>
      <c r="U40" s="517" t="inlineStr">
        <is>
          <t/>
        </is>
      </c>
      <c r="V40" s="517" t="inlineStr">
        <is>
          <t>暂无合格池价；可手动输入</t>
        </is>
      </c>
    </row>
    <row r="41" ht="36" customHeight="1">
      <c r="C41" s="26" t="n">
        <v>33</v>
      </c>
      <c r="D41" s="26" t="str">
        <v>股票 / ETF</v>
      </c>
      <c r="E41" s="35" t="str">
        <v>NU</v>
      </c>
      <c r="F41" s="35" t="str">
        <v>Nu</v>
      </c>
      <c r="G41" s="38" t="str">
        <v>​0x408c14038a04f7bd235329e26d2bf569ee20e250</v>
      </c>
      <c r="H41" s="35" t="n">
        <v>18</v>
      </c>
      <c r="I41" s="36" t="n">
        <v>267.0054668820678</v>
      </c>
      <c r="J41" s="36" t="n">
        <v>667.5136672051697</v>
      </c>
      <c r="K41" s="30">
        <f>J41/I41</f>
      </c>
      <c r="L41" s="28">
        <f>J41</f>
      </c>
      <c r="M41" s="28">
        <f>1000000000*I41*J41/(I41+J41)^2</f>
      </c>
      <c r="N41" s="28">
        <f>1000000000*I41^2/(I41+J41)^2</f>
      </c>
      <c r="O41" s="32">
        <f>1-N41/1000000000</f>
      </c>
      <c r="P41" s="35" t="n">
        <v>54430299</v>
      </c>
      <c r="Q41" s="40" t="str">
        <v>Approved / Native</v>
      </c>
      <c r="R41" s="519" t="str">
        <v>https://robinhoodchain.blockscout.com/address/0x408c14038a04f7bd235329e26d2bf569ee20e250</v>
      </c>
      <c r="S41" s="515" t="inlineStr">
        <is>
          <t/>
        </is>
      </c>
      <c r="T41" s="516">
        <v>46283.22613861111</v>
      </c>
      <c r="U41" s="517" t="inlineStr">
        <is>
          <t/>
        </is>
      </c>
      <c r="V41" s="517" t="inlineStr">
        <is>
          <t>暂无合格池价；可手动输入</t>
        </is>
      </c>
    </row>
    <row r="42" ht="36" customHeight="1">
      <c r="C42" s="26" t="n">
        <v>34</v>
      </c>
      <c r="D42" s="26" t="str">
        <v>股票 / ETF</v>
      </c>
      <c r="E42" s="35" t="str">
        <v>NVDA</v>
      </c>
      <c r="F42" s="35" t="str">
        <v>NVIDIA</v>
      </c>
      <c r="G42" s="38" t="str">
        <v>​0xd0601CE157Db5bdC3162BbaC2a2C8aF5320D9EEC</v>
      </c>
      <c r="H42" s="35" t="n">
        <v>18</v>
      </c>
      <c r="I42" s="36" t="n">
        <v>16.64</v>
      </c>
      <c r="J42" s="36" t="n">
        <v>41.6</v>
      </c>
      <c r="K42" s="30">
        <f>J42/I42</f>
      </c>
      <c r="L42" s="28">
        <f>J42</f>
      </c>
      <c r="M42" s="28">
        <f>1000000000*I42*J42/(I42+J42)^2</f>
      </c>
      <c r="N42" s="28">
        <f>1000000000*I42^2/(I42+J42)^2</f>
      </c>
      <c r="O42" s="32">
        <f>1-N42/1000000000</f>
      </c>
      <c r="P42" s="35" t="n">
        <v>54430299</v>
      </c>
      <c r="Q42" s="40" t="str">
        <v>Approved / Native</v>
      </c>
      <c r="R42" s="519" t="str">
        <v>https://robinhoodchain.blockscout.com/address/0xd0601CE157Db5bdC3162BbaC2a2C8aF5320D9EEC</v>
      </c>
      <c r="S42" s="515">
        <v>221.12203294162856</v>
      </c>
      <c r="T42" s="516">
        <v>46283.226125960646</v>
      </c>
      <c r="U42" s="517" t="inlineStr">
        <is>
          <t>https://dexscreener.com/robinhood/0x62ab521f71431f78ac374cdbadc6cda3c8916b6c</t>
        </is>
      </c>
      <c r="V42" s="517" t="inlineStr">
        <is>
          <t>每日 Quote 代币池价；本地可手动更新</t>
        </is>
      </c>
    </row>
    <row r="43" ht="36" customHeight="1">
      <c r="C43" s="26" t="n">
        <v>35</v>
      </c>
      <c r="D43" s="26" t="str">
        <v>股票 / ETF</v>
      </c>
      <c r="E43" s="35" t="str">
        <v>PFE</v>
      </c>
      <c r="F43" s="35" t="str">
        <v>Pfizer</v>
      </c>
      <c r="G43" s="38" t="str">
        <v>​0x7066A64c24e4206CD62E83bf198c1E7EB361F51e</v>
      </c>
      <c r="H43" s="35" t="n">
        <v>18</v>
      </c>
      <c r="I43" s="36" t="n">
        <v>138.5507925568</v>
      </c>
      <c r="J43" s="36" t="n">
        <v>346.376981392</v>
      </c>
      <c r="K43" s="30">
        <f>J43/I43</f>
      </c>
      <c r="L43" s="28">
        <f>J43</f>
      </c>
      <c r="M43" s="28">
        <f>1000000000*I43*J43/(I43+J43)^2</f>
      </c>
      <c r="N43" s="28">
        <f>1000000000*I43^2/(I43+J43)^2</f>
      </c>
      <c r="O43" s="32">
        <f>1-N43/1000000000</f>
      </c>
      <c r="P43" s="35" t="n">
        <v>54430299</v>
      </c>
      <c r="Q43" s="40" t="str">
        <v>Approved / Native</v>
      </c>
      <c r="R43" s="519" t="str">
        <v>https://robinhoodchain.blockscout.com/address/0x7066A64c24e4206CD62E83bf198c1E7EB361F51e</v>
      </c>
      <c r="S43" s="515" t="inlineStr">
        <is>
          <t/>
        </is>
      </c>
      <c r="T43" s="516">
        <v>46283.226143368054</v>
      </c>
      <c r="U43" s="517" t="inlineStr">
        <is>
          <t/>
        </is>
      </c>
      <c r="V43" s="517" t="inlineStr">
        <is>
          <t>暂无合格池价；可手动输入</t>
        </is>
      </c>
    </row>
    <row r="44" ht="36" customHeight="1">
      <c r="C44" s="26" t="n">
        <v>36</v>
      </c>
      <c r="D44" s="26" t="str">
        <v>股票 / ETF</v>
      </c>
      <c r="E44" s="35" t="str">
        <v>PLTR</v>
      </c>
      <c r="F44" s="35" t="str">
        <v>Palantir Technologies</v>
      </c>
      <c r="G44" s="38" t="str">
        <v>​0x894E1EC2D74FFE5AEF8Dc8A9e84686acCB964F2A</v>
      </c>
      <c r="H44" s="35" t="n">
        <v>18</v>
      </c>
      <c r="I44" s="36" t="n">
        <v>18.82605010536</v>
      </c>
      <c r="J44" s="36" t="n">
        <v>47.0651252634</v>
      </c>
      <c r="K44" s="30">
        <f>J44/I44</f>
      </c>
      <c r="L44" s="28">
        <f>J44</f>
      </c>
      <c r="M44" s="28">
        <f>1000000000*I44*J44/(I44+J44)^2</f>
      </c>
      <c r="N44" s="28">
        <f>1000000000*I44^2/(I44+J44)^2</f>
      </c>
      <c r="O44" s="32">
        <f>1-N44/1000000000</f>
      </c>
      <c r="P44" s="35" t="n">
        <v>54430299</v>
      </c>
      <c r="Q44" s="40" t="str">
        <v>Approved / Native</v>
      </c>
      <c r="R44" s="519" t="str">
        <v>https://robinhoodchain.blockscout.com/address/0x894E1EC2D74FFE5AEF8Dc8A9e84686acCB964F2A</v>
      </c>
      <c r="S44" s="515" t="inlineStr">
        <is>
          <t/>
        </is>
      </c>
      <c r="T44" s="516">
        <v>46283.22615027778</v>
      </c>
      <c r="U44" s="517" t="inlineStr">
        <is>
          <t/>
        </is>
      </c>
      <c r="V44" s="517" t="inlineStr">
        <is>
          <t>暂无合格池价；可手动输入</t>
        </is>
      </c>
    </row>
    <row r="45" ht="36" customHeight="1">
      <c r="C45" s="26" t="n">
        <v>37</v>
      </c>
      <c r="D45" s="26" t="str">
        <v>股票 / ETF</v>
      </c>
      <c r="E45" s="35" t="str">
        <v>QQQ</v>
      </c>
      <c r="F45" s="35" t="str">
        <v>Invesco QQQ</v>
      </c>
      <c r="G45" s="38" t="str">
        <v>​0xD5f3879160bc7c32ebb4dC785F8a4F505888de68</v>
      </c>
      <c r="H45" s="35" t="n">
        <v>18</v>
      </c>
      <c r="I45" s="36" t="n">
        <v>4.45858995028</v>
      </c>
      <c r="J45" s="36" t="n">
        <v>11.1464748757</v>
      </c>
      <c r="K45" s="30">
        <f>J45/I45</f>
      </c>
      <c r="L45" s="28">
        <f>J45</f>
      </c>
      <c r="M45" s="28">
        <f>1000000000*I45*J45/(I45+J45)^2</f>
      </c>
      <c r="N45" s="28">
        <f>1000000000*I45^2/(I45+J45)^2</f>
      </c>
      <c r="O45" s="32">
        <f>1-N45/1000000000</f>
      </c>
      <c r="P45" s="35" t="n">
        <v>54430299</v>
      </c>
      <c r="Q45" s="40" t="str">
        <v>Approved / Native</v>
      </c>
      <c r="R45" s="519" t="str">
        <v>https://robinhoodchain.blockscout.com/address/0xD5f3879160bc7c32ebb4dC785F8a4F505888de68</v>
      </c>
      <c r="S45" s="515">
        <v>717.2780423169226</v>
      </c>
      <c r="T45" s="516">
        <v>46283.22615565972</v>
      </c>
      <c r="U45" s="517" t="inlineStr">
        <is>
          <t>https://dexscreener.com/robinhood/0xa40d00a55d43ba2d188039dcf88bd68f4f133e78</t>
        </is>
      </c>
      <c r="V45" s="517" t="inlineStr">
        <is>
          <t>每日 Quote 代币池价；本地可手动更新</t>
        </is>
      </c>
    </row>
    <row r="46" ht="36" customHeight="1">
      <c r="C46" s="26" t="n">
        <v>38</v>
      </c>
      <c r="D46" s="26" t="str">
        <v>股票 / ETF</v>
      </c>
      <c r="E46" s="35" t="str">
        <v>RBLX</v>
      </c>
      <c r="F46" s="35" t="str">
        <v>Roblox</v>
      </c>
      <c r="G46" s="38" t="str">
        <v>​0xF0C4BF4C582cb3836e98394b1d4e7B7281101bE8</v>
      </c>
      <c r="H46" s="35" t="n">
        <v>18</v>
      </c>
      <c r="I46" s="36" t="n">
        <v>99.568605852</v>
      </c>
      <c r="J46" s="36" t="n">
        <v>248.92151463</v>
      </c>
      <c r="K46" s="30">
        <f>J46/I46</f>
      </c>
      <c r="L46" s="28">
        <f>J46</f>
      </c>
      <c r="M46" s="28">
        <f>1000000000*I46*J46/(I46+J46)^2</f>
      </c>
      <c r="N46" s="28">
        <f>1000000000*I46^2/(I46+J46)^2</f>
      </c>
      <c r="O46" s="32">
        <f>1-N46/1000000000</f>
      </c>
      <c r="P46" s="35" t="n">
        <v>54430299</v>
      </c>
      <c r="Q46" s="40" t="str">
        <v>Approved / Native</v>
      </c>
      <c r="R46" s="519" t="str">
        <v>https://robinhoodchain.blockscout.com/address/0xF0C4BF4C582cb3836e98394b1d4e7B7281101bE8</v>
      </c>
      <c r="S46" s="515">
        <v>47.88725628539003</v>
      </c>
      <c r="T46" s="516">
        <v>46283.226160694445</v>
      </c>
      <c r="U46" s="517" t="inlineStr">
        <is>
          <t>https://dexscreener.com/robinhood/0x6d25417718a8d6c529130a8ccc4bfbf0a18219d3</t>
        </is>
      </c>
      <c r="V46" s="517" t="inlineStr">
        <is>
          <t>每日 Quote 代币池价；本地可手动更新</t>
        </is>
      </c>
    </row>
    <row r="47" ht="36" customHeight="1">
      <c r="C47" s="26" t="n">
        <v>39</v>
      </c>
      <c r="D47" s="26" t="str">
        <v>股票 / ETF</v>
      </c>
      <c r="E47" s="35" t="str">
        <v>RDDT</v>
      </c>
      <c r="F47" s="35" t="str">
        <v>Reddit</v>
      </c>
      <c r="G47" s="38" t="str">
        <v>​0x05b37Fb53A299a1b874A619e1c4C404D52C36F4C</v>
      </c>
      <c r="H47" s="35" t="n">
        <v>18</v>
      </c>
      <c r="I47" s="36" t="n">
        <v>16.93886097152</v>
      </c>
      <c r="J47" s="36" t="n">
        <v>42.3471524288</v>
      </c>
      <c r="K47" s="30">
        <f>J47/I47</f>
      </c>
      <c r="L47" s="28">
        <f>J47</f>
      </c>
      <c r="M47" s="28">
        <f>1000000000*I47*J47/(I47+J47)^2</f>
      </c>
      <c r="N47" s="28">
        <f>1000000000*I47^2/(I47+J47)^2</f>
      </c>
      <c r="O47" s="32">
        <f>1-N47/1000000000</f>
      </c>
      <c r="P47" s="35" t="n">
        <v>54430299</v>
      </c>
      <c r="Q47" s="40" t="str">
        <v>Approved / Native</v>
      </c>
      <c r="R47" s="519" t="str">
        <v>https://robinhoodchain.blockscout.com/address/0x05b37Fb53A299a1b874A619e1c4C404D52C36F4C</v>
      </c>
      <c r="S47" s="515">
        <v>154.69034909159325</v>
      </c>
      <c r="T47" s="516">
        <v>46283.226167175926</v>
      </c>
      <c r="U47" s="517" t="inlineStr">
        <is>
          <t>https://dexscreener.com/robinhood/0xa541143f20d7b0643123064abf25f423e375b531</t>
        </is>
      </c>
      <c r="V47" s="517" t="inlineStr">
        <is>
          <t>每日 Quote 代币池价；本地可手动更新</t>
        </is>
      </c>
    </row>
    <row r="48" ht="36" customHeight="1">
      <c r="C48" s="26" t="n">
        <v>40</v>
      </c>
      <c r="D48" s="26" t="str">
        <v>股票 / ETF</v>
      </c>
      <c r="E48" s="35" t="str">
        <v>RIVN</v>
      </c>
      <c r="F48" s="35" t="str">
        <v>Rivian Automotive</v>
      </c>
      <c r="G48" s="38" t="str">
        <v>​0xB1BF26c1D20ff267A4f93550d1E0d06ac40a114B</v>
      </c>
      <c r="H48" s="35" t="n">
        <v>18</v>
      </c>
      <c r="I48" s="36" t="n">
        <v>257.5748878924</v>
      </c>
      <c r="J48" s="36" t="n">
        <v>643.937219731</v>
      </c>
      <c r="K48" s="30">
        <f>J48/I48</f>
      </c>
      <c r="L48" s="28">
        <f>J48</f>
      </c>
      <c r="M48" s="28">
        <f>1000000000*I48*J48/(I48+J48)^2</f>
      </c>
      <c r="N48" s="28">
        <f>1000000000*I48^2/(I48+J48)^2</f>
      </c>
      <c r="O48" s="32">
        <f>1-N48/1000000000</f>
      </c>
      <c r="P48" s="35" t="n">
        <v>54430299</v>
      </c>
      <c r="Q48" s="40" t="str">
        <v>Approved / Native</v>
      </c>
      <c r="R48" s="519" t="str">
        <v>https://robinhoodchain.blockscout.com/address/0xB1BF26c1D20ff267A4f93550d1E0d06ac40a114B</v>
      </c>
      <c r="S48" s="515" t="inlineStr">
        <is>
          <t/>
        </is>
      </c>
      <c r="T48" s="516">
        <v>46283.22617317129</v>
      </c>
      <c r="U48" s="517" t="inlineStr">
        <is>
          <t/>
        </is>
      </c>
      <c r="V48" s="517" t="inlineStr">
        <is>
          <t>暂无合格池价；可手动输入</t>
        </is>
      </c>
    </row>
    <row r="49" ht="36" customHeight="1">
      <c r="C49" s="26" t="n">
        <v>41</v>
      </c>
      <c r="D49" s="26" t="str">
        <v>股票 / ETF</v>
      </c>
      <c r="E49" s="35" t="str">
        <v>SGOV</v>
      </c>
      <c r="F49" s="35" t="str">
        <v>iShares 0-3 Month Treasury Bond</v>
      </c>
      <c r="G49" s="38" t="str">
        <v>​0x92fd66527192e3e61d4ddd13322aa222de86f9b5</v>
      </c>
      <c r="H49" s="35" t="n">
        <v>18</v>
      </c>
      <c r="I49" s="36" t="n">
        <v>41.12662340247641</v>
      </c>
      <c r="J49" s="36" t="n">
        <v>102.81655850619103</v>
      </c>
      <c r="K49" s="30">
        <f>J49/I49</f>
      </c>
      <c r="L49" s="28">
        <f>J49</f>
      </c>
      <c r="M49" s="28">
        <f>1000000000*I49*J49/(I49+J49)^2</f>
      </c>
      <c r="N49" s="28">
        <f>1000000000*I49^2/(I49+J49)^2</f>
      </c>
      <c r="O49" s="32">
        <f>1-N49/1000000000</f>
      </c>
      <c r="P49" s="35" t="n">
        <v>54430299</v>
      </c>
      <c r="Q49" s="40" t="str">
        <v>Approved / Native</v>
      </c>
      <c r="R49" s="519" t="str">
        <v>https://robinhoodchain.blockscout.com/address/0x92fd66527192e3e61d4ddd13322aa222de86f9b5</v>
      </c>
      <c r="S49" s="515">
        <v>101.59904405627577</v>
      </c>
      <c r="T49" s="516">
        <v>46283.22617835648</v>
      </c>
      <c r="U49" s="517" t="inlineStr">
        <is>
          <t>https://dexscreener.com/robinhood/0x7f310e3d05e575bd449e4484ef5da15863ea43b1</t>
        </is>
      </c>
      <c r="V49" s="517" t="inlineStr">
        <is>
          <t>每日 Quote 代币池价；本地可手动更新</t>
        </is>
      </c>
    </row>
    <row r="50" ht="36" customHeight="1">
      <c r="C50" s="26" t="n">
        <v>42</v>
      </c>
      <c r="D50" s="26" t="str">
        <v>股票 / ETF</v>
      </c>
      <c r="E50" s="35" t="str">
        <v>SHOP</v>
      </c>
      <c r="F50" s="35" t="str">
        <v>Shopify</v>
      </c>
      <c r="G50" s="38" t="str">
        <v>​0xf53f66751b1eff985311b693531e3290f600c410</v>
      </c>
      <c r="H50" s="35" t="n">
        <v>18</v>
      </c>
      <c r="I50" s="36" t="n">
        <v>28.03575519066359</v>
      </c>
      <c r="J50" s="36" t="n">
        <v>70.08938797665897</v>
      </c>
      <c r="K50" s="30">
        <f>J50/I50</f>
      </c>
      <c r="L50" s="28">
        <f>J50</f>
      </c>
      <c r="M50" s="28">
        <f>1000000000*I50*J50/(I50+J50)^2</f>
      </c>
      <c r="N50" s="28">
        <f>1000000000*I50^2/(I50+J50)^2</f>
      </c>
      <c r="O50" s="32">
        <f>1-N50/1000000000</f>
      </c>
      <c r="P50" s="35" t="n">
        <v>54430299</v>
      </c>
      <c r="Q50" s="40" t="str">
        <v>Approved / Native</v>
      </c>
      <c r="R50" s="519" t="str">
        <v>https://robinhoodchain.blockscout.com/address/0xf53f66751b1eff985311b693531e3290f600c410</v>
      </c>
      <c r="S50" s="515" t="inlineStr">
        <is>
          <t/>
        </is>
      </c>
      <c r="T50" s="516">
        <v>46283.22618491898</v>
      </c>
      <c r="U50" s="517" t="inlineStr">
        <is>
          <t/>
        </is>
      </c>
      <c r="V50" s="517" t="inlineStr">
        <is>
          <t>暂无合格池价；可手动输入</t>
        </is>
      </c>
    </row>
    <row r="51" ht="36" customHeight="1">
      <c r="C51" s="26" t="n">
        <v>43</v>
      </c>
      <c r="D51" s="26" t="str">
        <v>股票 / ETF</v>
      </c>
      <c r="E51" s="35" t="str">
        <v>SKHY</v>
      </c>
      <c r="F51" s="35" t="str">
        <v>SK hynix</v>
      </c>
      <c r="G51" s="38" t="str">
        <v>​0x84CAb63bc87912E71ad199ff14A0bA45de68FeF8</v>
      </c>
      <c r="H51" s="35" t="n">
        <v>18</v>
      </c>
      <c r="I51" s="36" t="n">
        <v>25.18631173032</v>
      </c>
      <c r="J51" s="36" t="n">
        <v>62.9657793258</v>
      </c>
      <c r="K51" s="30">
        <f>J51/I51</f>
      </c>
      <c r="L51" s="28">
        <f>J51</f>
      </c>
      <c r="M51" s="28">
        <f>1000000000*I51*J51/(I51+J51)^2</f>
      </c>
      <c r="N51" s="28">
        <f>1000000000*I51^2/(I51+J51)^2</f>
      </c>
      <c r="O51" s="32">
        <f>1-N51/1000000000</f>
      </c>
      <c r="P51" s="35" t="n">
        <v>54430299</v>
      </c>
      <c r="Q51" s="40" t="str">
        <v>Approved / Native</v>
      </c>
      <c r="R51" s="519" t="str">
        <v>https://robinhoodchain.blockscout.com/address/0x84CAb63bc87912E71ad199ff14A0bA45de68FeF8</v>
      </c>
      <c r="S51" s="515" t="inlineStr">
        <is>
          <t/>
        </is>
      </c>
      <c r="T51" s="516">
        <v>46283.226190243055</v>
      </c>
      <c r="U51" s="517" t="inlineStr">
        <is>
          <t/>
        </is>
      </c>
      <c r="V51" s="517" t="inlineStr">
        <is>
          <t>暂无合格池价；可手动输入</t>
        </is>
      </c>
    </row>
    <row r="52" ht="36" customHeight="1">
      <c r="C52" s="26" t="n">
        <v>44</v>
      </c>
      <c r="D52" s="26" t="str">
        <v>股票 / ETF</v>
      </c>
      <c r="E52" s="35" t="str">
        <v>SLV</v>
      </c>
      <c r="F52" s="35" t="str">
        <v>iShares Silver Trust</v>
      </c>
      <c r="G52" s="38" t="str">
        <v>​0x411efb0e7f985935daec3d4c3ebaea0d0ad7d89f</v>
      </c>
      <c r="H52" s="35" t="n">
        <v>18</v>
      </c>
      <c r="I52" s="36" t="n">
        <v>69.11859484777517</v>
      </c>
      <c r="J52" s="36" t="n">
        <v>172.79648711943796</v>
      </c>
      <c r="K52" s="30">
        <f>J52/I52</f>
      </c>
      <c r="L52" s="28">
        <f>J52</f>
      </c>
      <c r="M52" s="28">
        <f>1000000000*I52*J52/(I52+J52)^2</f>
      </c>
      <c r="N52" s="28">
        <f>1000000000*I52^2/(I52+J52)^2</f>
      </c>
      <c r="O52" s="32">
        <f>1-N52/1000000000</f>
      </c>
      <c r="P52" s="35" t="n">
        <v>54430299</v>
      </c>
      <c r="Q52" s="40" t="str">
        <v>Approved / Native</v>
      </c>
      <c r="R52" s="519" t="str">
        <v>https://robinhoodchain.blockscout.com/address/0x411efb0e7f985935daec3d4c3ebaea0d0ad7d89f</v>
      </c>
      <c r="S52" s="515" t="inlineStr">
        <is>
          <t/>
        </is>
      </c>
      <c r="T52" s="516">
        <v>46283.226196261574</v>
      </c>
      <c r="U52" s="517" t="inlineStr">
        <is>
          <t/>
        </is>
      </c>
      <c r="V52" s="517" t="inlineStr">
        <is>
          <t>暂无合格池价；可手动输入</t>
        </is>
      </c>
    </row>
    <row r="53" ht="36" customHeight="1">
      <c r="C53" s="26" t="n">
        <v>45</v>
      </c>
      <c r="D53" s="26" t="str">
        <v>股票 / ETF</v>
      </c>
      <c r="E53" s="35" t="str">
        <v>SNAP</v>
      </c>
      <c r="F53" s="35" t="str">
        <v>Snap</v>
      </c>
      <c r="G53" s="38" t="str">
        <v>​0xF6589F11Bc40b669e584073F428B05562F568733</v>
      </c>
      <c r="H53" s="35" t="n">
        <v>18</v>
      </c>
      <c r="I53" s="36" t="n">
        <v>719.274418604</v>
      </c>
      <c r="J53" s="36" t="n">
        <v>1798.18604651</v>
      </c>
      <c r="K53" s="30">
        <f>J53/I53</f>
      </c>
      <c r="L53" s="28">
        <f>J53</f>
      </c>
      <c r="M53" s="28">
        <f>1000000000*I53*J53/(I53+J53)^2</f>
      </c>
      <c r="N53" s="28">
        <f>1000000000*I53^2/(I53+J53)^2</f>
      </c>
      <c r="O53" s="32">
        <f>1-N53/1000000000</f>
      </c>
      <c r="P53" s="35" t="n">
        <v>54430299</v>
      </c>
      <c r="Q53" s="40" t="str">
        <v>Approved / Native</v>
      </c>
      <c r="R53" s="519" t="str">
        <v>https://robinhoodchain.blockscout.com/address/0xF6589F11Bc40b669e584073F428B05562F568733</v>
      </c>
      <c r="S53" s="515" t="inlineStr">
        <is>
          <t/>
        </is>
      </c>
      <c r="T53" s="516">
        <v>46283.22620135417</v>
      </c>
      <c r="U53" s="517" t="inlineStr">
        <is>
          <t/>
        </is>
      </c>
      <c r="V53" s="517" t="inlineStr">
        <is>
          <t>暂无合格池价；可手动输入</t>
        </is>
      </c>
    </row>
    <row r="54" ht="36" customHeight="1">
      <c r="C54" s="26" t="n">
        <v>46</v>
      </c>
      <c r="D54" s="26" t="str">
        <v>股票 / ETF</v>
      </c>
      <c r="E54" s="35" t="str">
        <v>SNDK</v>
      </c>
      <c r="F54" s="35" t="str">
        <v>SanDisk</v>
      </c>
      <c r="G54" s="38" t="str">
        <v>​0xB90A19fF0Af67f7779afF50A882A9CfF42446400</v>
      </c>
      <c r="H54" s="35" t="n">
        <v>18</v>
      </c>
      <c r="I54" s="36" t="n">
        <v>2.652177326252</v>
      </c>
      <c r="J54" s="36" t="n">
        <v>6.63044331563</v>
      </c>
      <c r="K54" s="30">
        <f>J54/I54</f>
      </c>
      <c r="L54" s="28">
        <f>J54</f>
      </c>
      <c r="M54" s="28">
        <f>1000000000*I54*J54/(I54+J54)^2</f>
      </c>
      <c r="N54" s="28">
        <f>1000000000*I54^2/(I54+J54)^2</f>
      </c>
      <c r="O54" s="32">
        <f>1-N54/1000000000</f>
      </c>
      <c r="P54" s="35" t="n">
        <v>54430299</v>
      </c>
      <c r="Q54" s="40" t="str">
        <v>Approved / Native</v>
      </c>
      <c r="R54" s="519" t="str">
        <v>https://robinhoodchain.blockscout.com/address/0xB90A19fF0Af67f7779afF50A882A9CfF42446400</v>
      </c>
      <c r="S54" s="515" t="inlineStr">
        <is>
          <t/>
        </is>
      </c>
      <c r="T54" s="516">
        <v>46283.226208078704</v>
      </c>
      <c r="U54" s="517" t="inlineStr">
        <is>
          <t/>
        </is>
      </c>
      <c r="V54" s="517" t="inlineStr">
        <is>
          <t>暂无合格池价；可手动输入</t>
        </is>
      </c>
    </row>
    <row r="55" ht="36" customHeight="1">
      <c r="C55" s="26" t="n">
        <v>47</v>
      </c>
      <c r="D55" s="26" t="str">
        <v>股票 / ETF</v>
      </c>
      <c r="E55" s="35" t="str">
        <v>SPCX</v>
      </c>
      <c r="F55" s="35" t="str">
        <v>SpaceX Class A</v>
      </c>
      <c r="G55" s="38" t="str">
        <v>​0x4a0E65A3EcceC6dBe60AE065F2e7bb85Fae35eEa</v>
      </c>
      <c r="H55" s="35" t="n">
        <v>18</v>
      </c>
      <c r="I55" s="36" t="n">
        <v>28.88</v>
      </c>
      <c r="J55" s="36" t="n">
        <v>72.2</v>
      </c>
      <c r="K55" s="30">
        <f>J55/I55</f>
      </c>
      <c r="L55" s="28">
        <f>J55</f>
      </c>
      <c r="M55" s="28">
        <f>1000000000*I55*J55/(I55+J55)^2</f>
      </c>
      <c r="N55" s="28">
        <f>1000000000*I55^2/(I55+J55)^2</f>
      </c>
      <c r="O55" s="32">
        <f>1-N55/1000000000</f>
      </c>
      <c r="P55" s="35" t="n">
        <v>54430299</v>
      </c>
      <c r="Q55" s="40" t="str">
        <v>Approved / Native</v>
      </c>
      <c r="R55" s="519" t="str">
        <v>https://robinhoodchain.blockscout.com/address/0x4a0E65A3EcceC6dBe60AE065F2e7bb85Fae35eEa</v>
      </c>
      <c r="S55" s="515">
        <v>155.3808863295644</v>
      </c>
      <c r="T55" s="516">
        <v>46283.22621375</v>
      </c>
      <c r="U55" s="517" t="inlineStr">
        <is>
          <t>https://dexscreener.com/robinhood/0xc3c9f0171490ef0f4536fe493f3b0ebb5ee0cb5e</t>
        </is>
      </c>
      <c r="V55" s="517" t="inlineStr">
        <is>
          <t>每日 Quote 代币池价；本地可手动更新</t>
        </is>
      </c>
    </row>
    <row r="56" ht="36" customHeight="1">
      <c r="C56" s="26" t="n">
        <v>48</v>
      </c>
      <c r="D56" s="26" t="str">
        <v>股票 / ETF</v>
      </c>
      <c r="E56" s="35" t="str">
        <v>SPY</v>
      </c>
      <c r="F56" s="35" t="str">
        <v>SPDR S&amp;P 500 ETF</v>
      </c>
      <c r="G56" s="38" t="str">
        <v>​0x117cc2133c37B721F49dE2A7a74833232B3B4C0C</v>
      </c>
      <c r="H56" s="35" t="n">
        <v>18</v>
      </c>
      <c r="I56" s="36" t="n">
        <v>4.36</v>
      </c>
      <c r="J56" s="36" t="n">
        <v>10.9</v>
      </c>
      <c r="K56" s="30">
        <f>J56/I56</f>
      </c>
      <c r="L56" s="28">
        <f>J56</f>
      </c>
      <c r="M56" s="28">
        <f>1000000000*I56*J56/(I56+J56)^2</f>
      </c>
      <c r="N56" s="28">
        <f>1000000000*I56^2/(I56+J56)^2</f>
      </c>
      <c r="O56" s="32">
        <f>1-N56/1000000000</f>
      </c>
      <c r="P56" s="35" t="n">
        <v>54430299</v>
      </c>
      <c r="Q56" s="40" t="str">
        <v>Approved / Native</v>
      </c>
      <c r="R56" s="519" t="str">
        <v>https://robinhoodchain.blockscout.com/address/0x117cc2133c37B721F49dE2A7a74833232B3B4C0C</v>
      </c>
      <c r="S56" s="515">
        <v>764.885080592701</v>
      </c>
      <c r="T56" s="516">
        <v>46283.226219421296</v>
      </c>
      <c r="U56" s="517" t="inlineStr">
        <is>
          <t>https://dexscreener.com/robinhood/0xddcbba3666f578e3f09516f21ff85bfee859ab5e</t>
        </is>
      </c>
      <c r="V56" s="517" t="inlineStr">
        <is>
          <t>每日 Quote 代币池价；本地可手动更新</t>
        </is>
      </c>
    </row>
    <row r="57" ht="36" customHeight="1">
      <c r="C57" s="26" t="n">
        <v>49</v>
      </c>
      <c r="D57" s="26" t="str">
        <v>股票 / ETF</v>
      </c>
      <c r="E57" s="35" t="str">
        <v>TSLA</v>
      </c>
      <c r="F57" s="35" t="str">
        <v>Tesla</v>
      </c>
      <c r="G57" s="38" t="str">
        <v>​0x322F0929c4625eD5bAd873c95208D54E1c003b2d</v>
      </c>
      <c r="H57" s="35" t="n">
        <v>18</v>
      </c>
      <c r="I57" s="36" t="n">
        <v>10.4</v>
      </c>
      <c r="J57" s="36" t="n">
        <v>26</v>
      </c>
      <c r="K57" s="30">
        <f>J57/I57</f>
      </c>
      <c r="L57" s="28">
        <f>J57</f>
      </c>
      <c r="M57" s="28">
        <f>1000000000*I57*J57/(I57+J57)^2</f>
      </c>
      <c r="N57" s="28">
        <f>1000000000*I57^2/(I57+J57)^2</f>
      </c>
      <c r="O57" s="32">
        <f>1-N57/1000000000</f>
      </c>
      <c r="P57" s="35" t="n">
        <v>54430299</v>
      </c>
      <c r="Q57" s="40" t="str">
        <v>Approved / Native</v>
      </c>
      <c r="R57" s="519" t="str">
        <v>https://robinhoodchain.blockscout.com/address/0x322F0929c4625eD5bAd873c95208D54E1c003b2d</v>
      </c>
      <c r="S57" s="515">
        <v>368.17644127130905</v>
      </c>
      <c r="T57" s="516">
        <v>46283.226225300925</v>
      </c>
      <c r="U57" s="517" t="inlineStr">
        <is>
          <t>https://dexscreener.com/robinhood/0xa953ca88ff430e9487c60ca34d757414f4efda07</t>
        </is>
      </c>
      <c r="V57" s="517" t="inlineStr">
        <is>
          <t>每日 Quote 代币池价；本地可手动更新</t>
        </is>
      </c>
    </row>
    <row r="58" ht="36" customHeight="1">
      <c r="C58" s="26" t="n">
        <v>50</v>
      </c>
      <c r="D58" s="26" t="str">
        <v>股票 / ETF</v>
      </c>
      <c r="E58" s="35" t="str">
        <v>TSM</v>
      </c>
      <c r="F58" s="35" t="str">
        <v>Taiwan Semiconductor Manufacturing</v>
      </c>
      <c r="G58" s="38" t="str">
        <v>​0x58FfE4a942d3885bAa22D7520691F611EF09e7AA</v>
      </c>
      <c r="H58" s="35" t="n">
        <v>18</v>
      </c>
      <c r="I58" s="36" t="n">
        <v>9.78129275364</v>
      </c>
      <c r="J58" s="36" t="n">
        <v>24.4532318841</v>
      </c>
      <c r="K58" s="30">
        <f>J58/I58</f>
      </c>
      <c r="L58" s="28">
        <f>J58</f>
      </c>
      <c r="M58" s="28">
        <f>1000000000*I58*J58/(I58+J58)^2</f>
      </c>
      <c r="N58" s="28">
        <f>1000000000*I58^2/(I58+J58)^2</f>
      </c>
      <c r="O58" s="32">
        <f>1-N58/1000000000</f>
      </c>
      <c r="P58" s="35" t="n">
        <v>54430299</v>
      </c>
      <c r="Q58" s="40" t="str">
        <v>Approved / Native</v>
      </c>
      <c r="R58" s="519" t="str">
        <v>https://robinhoodchain.blockscout.com/address/0x58FfE4a942d3885bAa22D7520691F611EF09e7AA</v>
      </c>
      <c r="S58" s="515" t="inlineStr">
        <is>
          <t/>
        </is>
      </c>
      <c r="T58" s="516">
        <v>46283.22623158565</v>
      </c>
      <c r="U58" s="517" t="inlineStr">
        <is>
          <t/>
        </is>
      </c>
      <c r="V58" s="517" t="inlineStr">
        <is>
          <t>暂无合格池价；可手动输入</t>
        </is>
      </c>
    </row>
    <row r="59" ht="36" customHeight="1">
      <c r="C59" s="26" t="n">
        <v>51</v>
      </c>
      <c r="D59" s="26" t="str">
        <v>股票 / ETF</v>
      </c>
      <c r="E59" s="35" t="str">
        <v>TTWO</v>
      </c>
      <c r="F59" s="35" t="str">
        <v>Take-Two Interactive</v>
      </c>
      <c r="G59" s="38" t="str">
        <v>​0x5e81213613b6B86EaB4c6c50d718d34359459786</v>
      </c>
      <c r="H59" s="35" t="n">
        <v>18</v>
      </c>
      <c r="I59" s="36" t="n">
        <v>10.6556027528</v>
      </c>
      <c r="J59" s="36" t="n">
        <v>26.639006882</v>
      </c>
      <c r="K59" s="30">
        <f>J59/I59</f>
      </c>
      <c r="L59" s="28">
        <f>J59</f>
      </c>
      <c r="M59" s="28">
        <f>1000000000*I59*J59/(I59+J59)^2</f>
      </c>
      <c r="N59" s="28">
        <f>1000000000*I59^2/(I59+J59)^2</f>
      </c>
      <c r="O59" s="32">
        <f>1-N59/1000000000</f>
      </c>
      <c r="P59" s="35" t="n">
        <v>54430299</v>
      </c>
      <c r="Q59" s="40" t="str">
        <v>Approved / Native</v>
      </c>
      <c r="R59" s="519" t="str">
        <v>https://robinhoodchain.blockscout.com/address/0x5e81213613b6B86EaB4c6c50d718d34359459786</v>
      </c>
      <c r="S59" s="515" t="inlineStr">
        <is>
          <t/>
        </is>
      </c>
      <c r="T59" s="516">
        <v>46283.22623645833</v>
      </c>
      <c r="U59" s="517" t="inlineStr">
        <is>
          <t/>
        </is>
      </c>
      <c r="V59" s="517" t="inlineStr">
        <is>
          <t>暂无合格池价；可手动输入</t>
        </is>
      </c>
    </row>
    <row r="60" ht="36" customHeight="1">
      <c r="C60" s="26" t="n">
        <v>52</v>
      </c>
      <c r="D60" s="26" t="str">
        <v>股票 / ETF</v>
      </c>
      <c r="E60" s="35" t="str">
        <v>UPS</v>
      </c>
      <c r="F60" s="35" t="str">
        <v>UPS</v>
      </c>
      <c r="G60" s="38" t="str">
        <v>​0xf23250dac154d05bb671cb0d0ebef3c635c79ce2</v>
      </c>
      <c r="H60" s="35" t="n">
        <v>18</v>
      </c>
      <c r="I60" s="36" t="n">
        <v>40.12341813944455</v>
      </c>
      <c r="J60" s="36" t="n">
        <v>100.30854534861137</v>
      </c>
      <c r="K60" s="30">
        <f>J60/I60</f>
      </c>
      <c r="L60" s="28">
        <f>J60</f>
      </c>
      <c r="M60" s="28">
        <f>1000000000*I60*J60/(I60+J60)^2</f>
      </c>
      <c r="N60" s="28">
        <f>1000000000*I60^2/(I60+J60)^2</f>
      </c>
      <c r="O60" s="32">
        <f>1-N60/1000000000</f>
      </c>
      <c r="P60" s="35" t="n">
        <v>54430299</v>
      </c>
      <c r="Q60" s="40" t="str">
        <v>Approved / Native</v>
      </c>
      <c r="R60" s="519" t="str">
        <v>https://robinhoodchain.blockscout.com/address/0xf23250dac154d05bb671cb0d0ebef3c635c79ce2</v>
      </c>
      <c r="S60" s="515" t="inlineStr">
        <is>
          <t/>
        </is>
      </c>
      <c r="T60" s="516">
        <v>46283.22624185185</v>
      </c>
      <c r="U60" s="517" t="inlineStr">
        <is>
          <t/>
        </is>
      </c>
      <c r="V60" s="517" t="inlineStr">
        <is>
          <t>暂无合格池价；可手动输入</t>
        </is>
      </c>
    </row>
    <row r="61" ht="36" customHeight="1">
      <c r="C61" s="26" t="n">
        <v>53</v>
      </c>
      <c r="D61" s="26" t="str">
        <v>股票 / ETF</v>
      </c>
      <c r="E61" s="35" t="str">
        <v>USO</v>
      </c>
      <c r="F61" s="35" t="str">
        <v>United States Oil Fund</v>
      </c>
      <c r="G61" s="38" t="str">
        <v>​0xa30FA36Db767ad9eD3f7a60fC79526fB4d56D344</v>
      </c>
      <c r="H61" s="35" t="n">
        <v>18</v>
      </c>
      <c r="I61" s="36" t="n">
        <v>28.71954042552</v>
      </c>
      <c r="J61" s="36" t="n">
        <v>71.7988510638</v>
      </c>
      <c r="K61" s="30">
        <f>J61/I61</f>
      </c>
      <c r="L61" s="28">
        <f>J61</f>
      </c>
      <c r="M61" s="28">
        <f>1000000000*I61*J61/(I61+J61)^2</f>
      </c>
      <c r="N61" s="28">
        <f>1000000000*I61^2/(I61+J61)^2</f>
      </c>
      <c r="O61" s="32">
        <f>1-N61/1000000000</f>
      </c>
      <c r="P61" s="35" t="n">
        <v>54430299</v>
      </c>
      <c r="Q61" s="40" t="str">
        <v>Approved / Native</v>
      </c>
      <c r="R61" s="519" t="str">
        <v>https://robinhoodchain.blockscout.com/address/0xa30FA36Db767ad9eD3f7a60fC79526fB4d56D344</v>
      </c>
      <c r="S61" s="515" t="inlineStr">
        <is>
          <t/>
        </is>
      </c>
      <c r="T61" s="516">
        <v>46283.22624802083</v>
      </c>
      <c r="U61" s="517" t="inlineStr">
        <is>
          <t/>
        </is>
      </c>
      <c r="V61" s="517" t="inlineStr">
        <is>
          <t>暂无合格池价；可手动输入</t>
        </is>
      </c>
    </row>
    <row r="62" ht="36" customHeight="1">
      <c r="C62" s="26" t="n">
        <v>54</v>
      </c>
      <c r="D62" s="26" t="str">
        <v>股票 / ETF</v>
      </c>
      <c r="E62" s="35" t="str">
        <v>WYFI</v>
      </c>
      <c r="F62" s="35" t="str">
        <v>WhiteFiber</v>
      </c>
      <c r="G62" s="38" t="str">
        <v>​0x9e7ABD3C9139D14E4c86DcE0e455AAB7A0C2FB3E</v>
      </c>
      <c r="H62" s="35" t="n">
        <v>18</v>
      </c>
      <c r="I62" s="36" t="n">
        <v>231.39744</v>
      </c>
      <c r="J62" s="36" t="n">
        <v>578.4936</v>
      </c>
      <c r="K62" s="30">
        <f>J62/I62</f>
      </c>
      <c r="L62" s="28">
        <f>J62</f>
      </c>
      <c r="M62" s="28">
        <f>1000000000*I62*J62/(I62+J62)^2</f>
      </c>
      <c r="N62" s="28">
        <f>1000000000*I62^2/(I62+J62)^2</f>
      </c>
      <c r="O62" s="32">
        <f>1-N62/1000000000</f>
      </c>
      <c r="P62" s="35" t="n">
        <v>54430299</v>
      </c>
      <c r="Q62" s="40" t="str">
        <v>Approved / Native</v>
      </c>
      <c r="R62" s="519" t="str">
        <v>https://robinhoodchain.blockscout.com/address/0x9e7ABD3C9139D14E4c86DcE0e455AAB7A0C2FB3E</v>
      </c>
      <c r="S62" s="515" t="inlineStr">
        <is>
          <t/>
        </is>
      </c>
      <c r="T62" s="516">
        <v>46283.226254189816</v>
      </c>
      <c r="U62" s="517" t="inlineStr">
        <is>
          <t/>
        </is>
      </c>
      <c r="V62" s="517" t="inlineStr">
        <is>
          <t>暂无合格池价；可手动输入</t>
        </is>
      </c>
    </row>
  </sheetData>
  <pageMargins left="0.7" right="0.7" top="0.75" bottom="0.75" header="0.3" footer="0.3"/>
</worksheet>
</file>