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06c40a04ec4ee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1503447c5fe24ac7"/>
    <sheet name="Quote参数" sheetId="2" r:id="R121b487aa5444b30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0c2d9fe5394b28" /><Relationship Type="http://schemas.openxmlformats.org/officeDocument/2006/relationships/theme" Target="/xl/theme/theme1.xml" Id="R21ea20f7e1a24713" /><Relationship Type="http://schemas.openxmlformats.org/officeDocument/2006/relationships/sharedStrings" Target="/xl/sharedStrings.xml" Id="R91df3f6768c54c34" /><Relationship Type="http://schemas.openxmlformats.org/officeDocument/2006/relationships/worksheet" Target="/xl/worksheets/sheet1.xml" Id="R1503447c5fe24ac7" /><Relationship Type="http://schemas.openxmlformats.org/officeDocument/2006/relationships/worksheet" Target="/xl/worksheets/sheet2.xml" Id="R121b487aa5444b3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ETH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IF(ISNUMBER($D$26),(IF(LEFT($D$51,2)&lt;&gt;"可达","",IF($D$22="","",SUM($D$22,$D$23,$D$24,$D$25))))+$D$26,"")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IF($D$7="ETH",$D$55,IF(VLOOKUP("ETH",'Quote参数'!$E$9:$S$62,15,FALSE)&gt;0,VLOOKUP("ETH",'Quote参数'!$E$9:$S$62,15,FALSE),""))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ht="20" customHeight="1">
      <c r="A24" s="2"/>
      <c r="B24" s="2"/>
      <c r="C24" s="107" t="str">
        <v>洗筹损耗</v>
      </c>
      <c r="D24" s="122">
        <f>IF(LEFT($D$51,2)&lt;&gt;"可达","",IF($J$46="","",$J$46*($G$42+$J$7)*2))</f>
      </c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IF(LEFT($D$51,2)&lt;&gt;"可达","",IF(AND($J$55&gt;0,$J$56&gt;0),MAX(0,$G$50/$J$55-$G$50/$J$56),""))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补回目标控筹率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Pons 外盘买入时 Hook fee 与 Creator Tax 从输出 Meme 扣除，卖出时从输出 Quote 扣除。洗筹后 Meme 持仓会按买入侧费率减少；补回按洗后 TOKEN 缺口与现有 V4 曲线差额估算，不重复计入洗筹损耗。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VLOOKUP($D$7,'Quote参数'!$E$9:$J$62,2,FALSE)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VLOOKUP($D$7,'Quote参数'!$E$9:$J$62,3,FALSE)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VLOOKUP($D$7,'Quote参数'!$E$9:$J$62,4,FALSE)</f>
      </c>
      <c r="E44" s="107"/>
      <c r="F44" s="107" t="str">
        <v>毕业真实 Quote</v>
      </c>
      <c r="G44" s="108">
        <f>VLOOKUP($D$7,'Quote参数'!$E$9:$J$62,6,FALSE)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IF($J$42="","",$G$50/($G$48-MAX(0,($D$52-$G$43)*$D$45)/(1-$G$42-$J$7))-$G$44)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VLOOKUP($D$7,'Quote参数'!$E$9:$P$62,12,FALSE)</f>
      </c>
      <c r="E46" s="107"/>
      <c r="F46" s="107" t="str">
        <v>phantom Quote</v>
      </c>
      <c r="G46" s="108">
        <f>VLOOKUP($D$7,'Quote参数'!$E$9:$J$62,5,FALSE)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MIN(1-$G$51/$D$45,$G$43+(1-$G$42-$J$7)*$G$48/$D$45)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MAX(0,1-$G$42-$J$7)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IF($D$9&lt;&gt;"",IF(AND(ISNUMBER($D$9),$D$9&gt;0),$D$9,""),IF(VLOOKUP($D$7,'Quote参数'!$E$9:$S$62,15,FALSE)&gt;0,VLOOKUP($D$7,'Quote参数'!$E$9:$S$62,15,FALSE),""))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$G$48-MAX(0,($D$8-$G$43)*$D$45)/MAX(0.000000001,1-$G$42-$J$7)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IF(VLOOKUP($D$7,'Quote参数'!$E$9:$T$62,16,FALSE)=0,"",VLOOKUP($D$7,'Quote参数'!$E$9:$T$62,16,FALSE))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$G$48-MAX(0,($D$27-$G$43)*$D$45)/MAX(0.000000001,1-$G$42-$J$7)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IF(D73="","",$G$50/($G$48-MAX(0,(C73-$G$43)*$D$45)/(1-$G$42-$J$7))-$G$44)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IF(D74="","",$G$50/($G$48-MAX(0,(C74-$G$43)*$D$45)/(1-$G$42-$J$7))-$G$44)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IF(D75="","",$G$50/($G$48-MAX(0,(C75-$G$43)*$D$45)/(1-$G$42-$J$7))-$G$44)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IF(D76="","",$G$50/($G$48-MAX(0,(C76-$G$43)*$D$45)/(1-$G$42-$J$7))-$G$44)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IF(D77="","",$G$50/($G$48-MAX(0,(C77-$G$43)*$D$45)/(1-$G$42-$J$7))-$G$44)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IF(D78="","",$G$50/($G$48-MAX(0,(C78-$G$43)*$D$45)/(1-$G$42-$J$7))-$G$44)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IF(D79="","",$G$50/($G$48-MAX(0,(C79-$G$43)*$D$45)/(1-$G$42-$J$7))-$G$44)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IF(D80="","",$G$50/($G$48-MAX(0,(C80-$G$43)*$D$45)/(1-$G$42-$J$7))-$G$44)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IF(D81="","",$G$50/($G$48-MAX(0,(C81-$G$43)*$D$45)/(1-$G$42-$J$7))-$G$44)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IF(D82="","",$G$50/($G$48-MAX(0,(C82-$G$43)*$D$45)/(1-$G$42-$J$7))-$G$44)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IF(D83="","",$G$50/($G$48-MAX(0,(C83-$G$43)*$D$45)/(1-$G$42-$J$7))-$G$44)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IF(D84="","",$G$50/($G$48-MAX(0,(C84-$G$43)*$D$45)/(1-$G$42-$J$7))-$G$44)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IF(D85="","",$G$50/($G$48-MAX(0,(C85-$G$43)*$D$45)/(1-$G$42-$J$7))-$G$44)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'Quote参数'!$E$9:$E$62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 + 53 个股票 / ETF Quote。股票类参数为 Robinhood Chain 区块 54,430,299 快照；Factory owner 后续可更新新 Launch 参数。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V4 Hook 按交易方向从输出币收取；买入输出为 Meme，卖出输出为 Quote。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Snipe 窗口</v>
      </c>
      <c r="I7" s="35"/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2580.0817123580937</v>
      </c>
      <c r="T9" s="29">
        <v>46285.27349457176</v>
      </c>
      <c r="U9" s="32" t="inlineStr">
        <is>
          <t>https://api.coingecko.com/api/v3/simple/price?ids=tether,ethereum,binancecoin,solana,hyperliquid,aster-2&amp;vs_currencies=usd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334.9426372843646</v>
      </c>
      <c r="T10" s="30">
        <v>46285.27318768518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>
        <v>2.6810617004333714</v>
      </c>
      <c r="T11" s="30">
        <v>46285.27319353009</v>
      </c>
      <c r="U11" s="33" t="inlineStr">
        <is>
          <t>https://dexscreener.com/robinhood/0xcf38764ae8c92222af4358a701871a6235cfc7b7</t>
        </is>
      </c>
      <c r="V11" s="33" t="inlineStr">
        <is>
          <t>每日 Quote 代币池价；本地可手动更新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46285.27319930556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46285.273205115736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46285.27321087963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46285.27321663194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46285.27322246528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46285.273228252314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192.1700993593463</v>
      </c>
      <c r="T18" s="30">
        <v>46285.273234050925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46285.27323954861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>
        <v>90.91600273708387</v>
      </c>
      <c r="T20" s="30">
        <v>46285.273245625</v>
      </c>
      <c r="U20" s="33" t="inlineStr">
        <is>
          <t>https://dexscreener.com/robinhood/0x754ddd4bf8e8635b4301a7f4af2ea7a82ab6cea7</t>
        </is>
      </c>
      <c r="V20" s="33" t="inlineStr">
        <is>
          <t>每日 Quote 代币池价；本地可手动更新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46285.27325148148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8.843502026802613</v>
      </c>
      <c r="T22" s="30">
        <v>46285.27325719907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46285.27326297454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46285.27326883102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400.1284508665432</v>
      </c>
      <c r="T25" s="30">
        <v>46285.27327459491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46285.273280092595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349.5884370210603</v>
      </c>
      <c r="T27" s="30">
        <v>46285.273286157404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27.690965622386464</v>
      </c>
      <c r="T28" s="30">
        <v>46285.273291631944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46285.273297430555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46285.27330356481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46285.273309027776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>
        <v>1149.547220699397</v>
      </c>
      <c r="T32" s="30">
        <v>46285.27331482639</v>
      </c>
      <c r="U32" s="33" t="inlineStr">
        <is>
          <t>https://dexscreener.com/robinhood/0x666ba98ab094793e276215448f2485fd8e3c3ce5</t>
        </is>
      </c>
      <c r="V32" s="33" t="inlineStr">
        <is>
          <t>每日 Quote 代币池价；本地可手动更新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46285.273321134264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669.7652270299038</v>
      </c>
      <c r="T34" s="30">
        <v>46285.273326724535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46285.2733328588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46285.27333861111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46285.273344155095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154.7412775459082</v>
      </c>
      <c r="T38" s="30">
        <v>46285.27334990741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998.9555864122192</v>
      </c>
      <c r="T39" s="30">
        <v>46285.27335563657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46285.27336726852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46285.27337311342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221.1215641393992</v>
      </c>
      <c r="T42" s="30">
        <v>46285.27336118056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46285.27337888889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46285.27338466435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720.4953161451934</v>
      </c>
      <c r="T45" s="30">
        <v>46285.2733905787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47.33874614347281</v>
      </c>
      <c r="T46" s="30">
        <v>46285.27339596065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150.76970480310203</v>
      </c>
      <c r="T47" s="30">
        <v>46285.273402025465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46285.27340775463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100.73989299762705</v>
      </c>
      <c r="T49" s="30">
        <v>46285.273413599534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46285.273419351855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46285.273425127314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46285.2734309375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46285.27343675926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46285.27344251158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152.61043373175778</v>
      </c>
      <c r="T55" s="30">
        <v>46285.27344795139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764.0325568925294</v>
      </c>
      <c r="T56" s="30">
        <v>46285.27345454861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362.95372967695204</v>
      </c>
      <c r="T57" s="30">
        <v>46285.27345984954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46285.27346563658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46285.273471423614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46285.273477222225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46285.27348305556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46285.27348880787</v>
      </c>
      <c r="U62" s="34" t="inlineStr">
        <is>
          <t/>
        </is>
      </c>
      <c r="V62" s="34" t="inlineStr">
        <is>
          <t>暂无合格池价；可手动输入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