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5b8ee078c14c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9628a35141504f93"/>
    <x:sheet xmlns:r="http://schemas.openxmlformats.org/officeDocument/2006/relationships" name="Quote参数" sheetId="2" r:id="R3db615e523e949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a4d8c99f9643ba" /><Relationship Type="http://schemas.openxmlformats.org/officeDocument/2006/relationships/theme" Target="/xl/theme/theme1.xml" Id="R82590fe29e5b4e1f" /><Relationship Type="http://schemas.openxmlformats.org/officeDocument/2006/relationships/sharedStrings" Target="/xl/sharedStrings.xml" Id="R41de670035c74c21" /><Relationship Type="http://schemas.openxmlformats.org/officeDocument/2006/relationships/worksheet" Target="/xl/worksheets/sheet1.xml" Id="R9628a35141504f93" /><Relationship Type="http://schemas.openxmlformats.org/officeDocument/2006/relationships/worksheet" Target="/xl/worksheets/sheet2.xml" Id="R3db615e523e949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 t="n">
        <f>VLOOKUP($D$7,'Quote参数'!$C$14:$AL$23,25,FALSE)</f>
        <v>0</v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 t="n">
        <f>VLOOKUP($D$7,'Quote参数'!$C$14:$AL$23,26,FALSE)</f>
        <v>0</v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 t="n">
        <f>VLOOKUP($D$7,'Quote参数'!$C$14:$AL$23,27,FALSE)</f>
        <v>0</v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 t="n">
        <f>1%</f>
        <v>0.01</v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 t="n">
        <f>VLOOKUP($D$7,'Quote参数'!$C$14:$AL$23,33,FALSE)</f>
        <v>0.005</v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 t="n">
        <f>IF(AND(ISNUMBER($D$55),$D$55&gt;0),ROUNDUP($G$56/$D$55,0),"")</f>
        <v>9997</v>
      </c>
      <c r="H12" s="49"/>
      <c r="I12" s="49" t="str">
        <v>洗筹基础费率</v>
      </c>
      <c r="J12" s="55" t="n">
        <f>VLOOKUP($D$7,'Quote参数'!$C$14:$AL$23,20,FALSE)</f>
        <v>0.01</v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 t="n">
        <f>IF(AND($D$51="可达",ISNUMBER($D$26)),SUM(D22:D26),"")</f>
        <v>52441.86394281925</v>
      </c>
      <c r="E18" s="48" t="str">
        <f>VLOOKUP($D$7,'Quote参数'!$C$14:$AL$23,3,FALSE)</f>
        <v>USDG</v>
      </c>
      <c r="F18" s="3" t="str">
        <v>原生币 Gas 储备</v>
      </c>
      <c r="G18" s="53" t="n">
        <f>D53*MAX(0,G11)</f>
        <v>1.1</v>
      </c>
      <c r="H18" s="48" t="str">
        <f>VLOOKUP($D$7,'Quote参数'!$C$14:$AL$23,4,FALSE)</f>
        <v>ETH</v>
      </c>
      <c r="I18" s="3" t="str">
        <v>总折算 / USDT</v>
      </c>
      <c r="J18" s="62" t="n">
        <f>IF(AND(ISNUMBER(D19),ISNUMBER(G19)),SUM(D19,G19),"")</f>
        <v>55300.72903151572</v>
      </c>
      <c r="K18" s="48" t="str">
        <v>USDT</v>
      </c>
      <c r="L18" s="48"/>
    </row>
    <row r="19" ht="20" customHeight="1">
      <c r="C19" s="3" t="str">
        <v>Quote 折算 / USDT</v>
      </c>
      <c r="D19" s="63" t="n">
        <f>IF(ISNUMBER(D18),IF(D18=0,0,IF(D55&gt;0,D18*D55,"")),"")</f>
        <v>52462.63914792182</v>
      </c>
      <c r="E19" s="3" t="str">
        <v>USDT</v>
      </c>
      <c r="F19" s="3" t="str">
        <v>Gas 折算 / USDT</v>
      </c>
      <c r="G19" s="63" t="n">
        <f>IF(G18=0,0,IF(AND(ISNUMBER(J44),J44&gt;0),G18*J44,""))</f>
        <v>2838.0898835939033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 t="str">
        <f>"预算 "&amp;TEXT($D$52,"0%")&amp;" 理论资金"</f>
        <v>预算 91% 理论资金</v>
      </c>
      <c r="D22" s="65" t="n">
        <f>IF($D$51&lt;&gt;"可达","",$J$41+IF($G$40="pons",($G$50/$J$51-$G$49)/(1-$G$42-$J$48),IF($G$40="four-stock",($G$50/$J$50-$G$49)/(1-$G$42),($G$50/$J$50-$G$49)*(1+$G$42))))</f>
        <v>12456.88593249569</v>
      </c>
      <c r="E22" s="3" t="str">
        <f>VLOOKUP($D$7,'Quote参数'!$C$14:$AL$23,3,FALSE)</f>
        <v>USDG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 t="n">
        <f>IF($D$51="可达",$J$41*MAX(0,$G$7-1),"")</f>
        <v>510.7323232323232</v>
      </c>
      <c r="E23" s="3" t="str">
        <f>VLOOKUP($D$7,'Quote参数'!$C$14:$AL$23,3,FALSE)</f>
        <v>USDG</v>
      </c>
      <c r="F23" s="3"/>
      <c r="G23" s="3"/>
      <c r="H23" s="3"/>
      <c r="I23" s="3" t="str">
        <v>基础手续费</v>
      </c>
      <c r="J23" s="57" t="n">
        <f>G41</f>
        <v>0.01</v>
      </c>
      <c r="K23" s="3"/>
      <c r="L23" s="3"/>
    </row>
    <row r="24" ht="20" customHeight="1">
      <c r="C24" s="3" t="str">
        <v>洗筹损耗</v>
      </c>
      <c r="D24" s="65" t="n">
        <f>IF($D$51="可达",$J$52*$D$29,"")</f>
        <v>29477.245687091236</v>
      </c>
      <c r="E24" s="3" t="str">
        <f>VLOOKUP($D$7,'Quote参数'!$C$14:$AL$23,3,FALSE)</f>
        <v>USDG</v>
      </c>
      <c r="F24" s="3"/>
      <c r="G24" s="3"/>
      <c r="H24" s="3"/>
      <c r="I24" s="3" t="str">
        <v>买入含税费率</v>
      </c>
      <c r="J24" s="57" t="n">
        <f>G41+J46+J48</f>
        <v>0.01</v>
      </c>
      <c r="K24" s="3"/>
      <c r="L24" s="3"/>
    </row>
    <row r="25" ht="20" customHeight="1">
      <c r="C25" s="3" t="str">
        <v>资金预留</v>
      </c>
      <c r="D25" s="65" t="n">
        <f>IF($D$51="可达",$G$12,"")</f>
        <v>9997</v>
      </c>
      <c r="E25" s="3" t="str">
        <f>VLOOKUP($D$7,'Quote参数'!$C$14:$AL$23,3,FALSE)</f>
        <v>USDG</v>
      </c>
      <c r="F25" s="3"/>
      <c r="G25" s="3"/>
      <c r="H25" s="3"/>
      <c r="I25" s="3" t="str">
        <v>卖出含税费率</v>
      </c>
      <c r="J25" s="57" t="n">
        <f>G41+J47+J48</f>
        <v>0.01</v>
      </c>
      <c r="K25" s="3"/>
      <c r="L25" s="3"/>
    </row>
    <row r="26" ht="28" customHeight="1">
      <c r="C26" s="49" t="str">
        <v>恢复目标控筹预留</v>
      </c>
      <c r="D26" s="65" t="n">
        <f>IF($D$51&lt;&gt;"可达","",IF(VLOOKUP($D$7,'Quote参数'!$C$14:$AL$23,34,FALSE)="quote",0,IF(AND($J$55&gt;0,$J$56&gt;0),MAX(0,($G$50/$J$55-$G$50/$J$56)*IF($G$40="pons",1,IF($G$40="four-stock",1/(1-$G$42),1+$G$42))),"")))</f>
        <v>0</v>
      </c>
      <c r="E26" s="3" t="str">
        <f>VLOOKUP($D$7,'Quote参数'!$C$14:$AL$23,3,FALSE)</f>
        <v>USDG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 t="n">
        <f>D8*J54</f>
        <v>0.9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 t="n">
        <f>D8</f>
        <v>0.9</v>
      </c>
      <c r="E28" s="3"/>
      <c r="F28" s="3"/>
      <c r="G28" s="3"/>
      <c r="H28" s="3"/>
      <c r="I28" s="3" t="str">
        <v>基础手续费</v>
      </c>
      <c r="J28" s="57" t="n">
        <f>G42</f>
        <v>0.01</v>
      </c>
      <c r="K28" s="3"/>
      <c r="L28" s="3"/>
    </row>
    <row r="29" ht="20" customHeight="1">
      <c r="C29" s="3" t="str">
        <v>洗筹双边总费率</v>
      </c>
      <c r="D29" s="57" t="n">
        <f>MAX(0,$J$12)*2+$J$46+$J$47+$J$48*2</f>
        <v>0.02</v>
      </c>
      <c r="E29" s="3"/>
      <c r="F29" s="3"/>
      <c r="G29" s="3"/>
      <c r="H29" s="3"/>
      <c r="I29" s="3" t="str">
        <v>买入含税费率</v>
      </c>
      <c r="J29" s="57" t="n">
        <f>G42+J46+J48</f>
        <v>0.01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 t="n">
        <f>G42+J47+J48</f>
        <v>0.01</v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外盘手续费只在扣 Base/TOKEN 时降低控筹率；只扣 Quote 时补回为 0。补回按 Base/TOKEN 缺口及现有外盘曲线差额估算，损耗仍按目标加缓冲 FDV；非逐笔模拟。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 t="n">
        <f>IF($G$40="four-stock",E126,VLOOKUP($D$7,'Quote参数'!$C$14:$AL$23,23,FALSE))</f>
        <v>112.36111111111111</v>
      </c>
      <c r="H37" s="3" t="str">
        <f>VLOOKUP($D$7,'Quote参数'!$C$14:$AL$23,3,FALSE)</f>
        <v>USDG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 t="str">
        <f>VLOOKUP($D$7,'Quote参数'!$C$14:$AL$23,10,FALSE)</f>
        <v>pons</v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 t="n">
        <f>VLOOKUP($D$7,'Quote参数'!$C$14:$AL$23,19,FALSE)</f>
        <v>0.01</v>
      </c>
      <c r="H41" s="49"/>
      <c r="I41" s="49" t="str">
        <v>一套内盘打满</v>
      </c>
      <c r="J41" s="49" t="n">
        <f>IF($G$40="pons",$G$49/(1-$G$41-$J$48),IF(OR($G$40="flap",$G$40="four-stock"),$G$53*(1+$G$41+$J$46),$G$52))</f>
        <v>510.7323232323232</v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 t="n">
        <f>VLOOKUP($D$7,'Quote参数'!$C$14:$AL$23,20,FALSE)</f>
        <v>0.01</v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 t="n">
        <f>VLOOKUP($D$7,'Quote参数'!$C$14:$AL$23,15,FALSE)</f>
        <v>0.7142857142857143</v>
      </c>
      <c r="H43" s="49"/>
      <c r="I43" s="49" t="str">
        <v>模型键</v>
      </c>
      <c r="J43" s="49" t="str">
        <f>VLOOKUP($D$7,'Quote参数'!$C$14:$AL$23,2,FALSE)</f>
        <v>ponsv2-usdg</v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 t="n">
        <f>VLOOKUP($D$7,'Quote参数'!$C$14:$AL$23,12,FALSE)</f>
        <v>1000000000</v>
      </c>
      <c r="H44" s="49"/>
      <c r="I44" s="49" t="str">
        <v>原生币价格 / USDT</v>
      </c>
      <c r="J44" s="49" t="n">
        <f>IF(VLOOKUP($D$7,'Quote参数'!$C$14:$AL$23,3,FALSE)=VLOOKUP($D$7,'Quote参数'!$C$14:$AL$23,4,FALSE),$D$55,VLOOKUP($D$7,'Quote参数'!$C$14:$AL$23,7,FALSE))</f>
        <v>2580.0817123580937</v>
      </c>
      <c r="K44" s="49"/>
      <c r="L44" s="49"/>
    </row>
    <row r="45" ht="30" hidden="1" customHeight="1" outlineLevel="1">
      <c r="C45" s="49" t="str">
        <v>总供应量</v>
      </c>
      <c r="D45" s="49" t="n">
        <f>VLOOKUP($D$7,'Quote参数'!$C$14:$AL$23,11,FALSE)</f>
        <v>1000000000</v>
      </c>
      <c r="E45" s="49"/>
      <c r="F45" s="49" t="str">
        <v>内盘初始 Quote</v>
      </c>
      <c r="G45" s="49" t="n">
        <f>VLOOKUP($D$7,'Quote参数'!$C$14:$AL$23,13,FALSE)</f>
        <v>202.25</v>
      </c>
      <c r="H45" s="49"/>
      <c r="I45" s="49" t="str">
        <v>税率上限</v>
      </c>
      <c r="J45" s="49" t="n">
        <f>VLOOKUP($D$7,'Quote参数'!$C$14:$AL$23,32,FALSE)</f>
        <v>0.1</v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 t="n">
        <f>VLOOKUP($D$7,'Quote参数'!$C$14:$AL$23,14,FALSE)</f>
        <v>202250000000</v>
      </c>
      <c r="H46" s="49"/>
      <c r="I46" s="49" t="str">
        <v>使用买入税</v>
      </c>
      <c r="J46" s="58" t="n">
        <f>IF(OR($G$40="flap",$G$40="four-stock"),MIN($J$45,MAX(0,$J$7)),0)</f>
        <v>0</v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 t="n">
        <f>IF(OR($G$40="flap",$G$40="four-stock"),MIN($J$45,MAX(0,$J$8)),0)</f>
        <v>0</v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 t="n">
        <f>VLOOKUP($D$7,'Quote参数'!$C$14:$AL$23,16,FALSE)</f>
        <v>204081632.65306124</v>
      </c>
      <c r="H48" s="49"/>
      <c r="I48" s="49" t="str">
        <v>使用 Creator Tax</v>
      </c>
      <c r="J48" s="58" t="n">
        <f>IF($G$40="pons",MIN($J$45,MAX(0,$J$9)),0)</f>
        <v>0</v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 t="n">
        <f>VLOOKUP($D$7,'Quote参数'!$C$14:$AL$23,17,FALSE)</f>
        <v>505.625</v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 t="n">
        <f>VLOOKUP($D$7,'Quote参数'!$C$14:$AL$23,18,FALSE)</f>
        <v>103188775510.20409</v>
      </c>
      <c r="H50" s="49"/>
      <c r="I50" s="49" t="str">
        <v>预算外盘 TOKEN</v>
      </c>
      <c r="J50" s="49" t="n">
        <f>IF(OR($G$40="flap",$G$40="four-stock"),$G$48-($D$52-$G$43)*$D$45/(1-$J$46),IF($G$40="pons",$D$45*(1-$D$52)-$G$51,IF(ABS($D$52-$G$43)&lt;0.000001,$G$48,$D$45*(1-$D$52))))</f>
        <v>8367346.93877548</v>
      </c>
      <c r="K50" s="49"/>
      <c r="L50" s="49"/>
    </row>
    <row r="51" ht="30" hidden="1" customHeight="1" outlineLevel="1">
      <c r="C51" s="49" t="str">
        <v>目标是否可达</v>
      </c>
      <c r="D51" s="49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49"/>
      <c r="F51" s="49" t="str">
        <v>永久锁仓 TOKEN</v>
      </c>
      <c r="G51" s="49" t="n">
        <f>VLOOKUP($D$7,'Quote参数'!$C$14:$AL$23,22,FALSE)</f>
        <v>81632653.06122449</v>
      </c>
      <c r="H51" s="49"/>
      <c r="I51" s="49" t="str">
        <v>预算交换 TOKEN</v>
      </c>
      <c r="J51" s="49" t="n">
        <f>$G$48-MAX(0,($D$52-$G$43)*$D$45)</f>
        <v>8367346.93877551</v>
      </c>
      <c r="K51" s="49"/>
      <c r="L51" s="49"/>
    </row>
    <row r="52" ht="30" hidden="1" customHeight="1" outlineLevel="1">
      <c r="C52" s="49" t="str">
        <v>预算控筹率</v>
      </c>
      <c r="D52" s="58" t="n">
        <f>IF($G$40="four-stock",$D$8+MAX(0,$J$10),$D$8+1%)</f>
        <v>0.91</v>
      </c>
      <c r="E52" s="49"/>
      <c r="F52" s="49" t="str">
        <v>一套内盘原值</v>
      </c>
      <c r="G52" s="49" t="n">
        <f>VLOOKUP($D$7,'Quote参数'!$C$14:$AL$23,21,FALSE)</f>
        <v>510.7323232323232</v>
      </c>
      <c r="H52" s="49"/>
      <c r="I52" s="49" t="str">
        <v>预算 FDV / Quote</v>
      </c>
      <c r="J52" s="49" t="n">
        <f>IF($D$51="可达",$G$50/$J$50^2*$D$45,"")</f>
        <v>1473862.2843545617</v>
      </c>
      <c r="K52" s="49"/>
      <c r="L52" s="49"/>
    </row>
    <row r="53" ht="30" hidden="1" customHeight="1" outlineLevel="1">
      <c r="C53" s="49" t="str">
        <v>地址总数</v>
      </c>
      <c r="D53" s="49" t="n">
        <f>MAX(0,$G$7)*MAX(0,$G$8)+MAX(0,$G$9)+MAX(0,$G$10)</f>
        <v>220</v>
      </c>
      <c r="E53" s="49"/>
      <c r="F53" s="49" t="str">
        <v>内盘募集 Quote</v>
      </c>
      <c r="G53" s="49" t="n">
        <f>VLOOKUP($D$7,'Quote参数'!$C$14:$AL$23,24,FALSE)</f>
        <v>505.625</v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 t="n">
        <f>IF($G$40="pons",1-$G$51/$D$45,IF(OR($G$40="flap",$G$40="four-stock"),$G$43+(1-$J$46)*$G$48/$D$45,1))</f>
        <v>0.9183673469387755</v>
      </c>
      <c r="E54" s="49"/>
      <c r="F54" s="49" t="str">
        <v>价格采用方式</v>
      </c>
      <c r="G54" s="49" t="str">
        <f>IF(AND(ISNUMBER($D$9),$D$9&gt;0),"手动覆盖","每日行情")</f>
        <v>每日行情</v>
      </c>
      <c r="H54" s="49"/>
      <c r="I54" s="49" t="str">
        <v>洗后持仓保留比例</v>
      </c>
      <c r="J54" s="58" t="n">
        <f>IF(VLOOKUP($D$7,'Quote参数'!$C$14:$AL$23,34,FALSE)="quote",1,IF($G$40="pons",MAX(0,1-MAX(0,$J$12)-$J$48),(1-$J$46)*(1-$J$47)*(1-MAX(0,$J$12))))</f>
        <v>1</v>
      </c>
      <c r="K54" s="49"/>
      <c r="L54" s="49"/>
    </row>
    <row r="55" ht="30" hidden="1" customHeight="1" outlineLevel="1">
      <c r="C55" s="49" t="str">
        <v>有效价格 / USDT</v>
      </c>
      <c r="D55" s="60" t="n">
        <f>IF(AND(ISNUMBER($D$9),$D$9&gt;0),$D$9,IF(AND(ISNUMBER(VLOOKUP($D$7,'Quote参数'!$C$14:$AL$23,6,FALSE)),VLOOKUP($D$7,'Quote参数'!$C$14:$AL$23,6,FALSE)&gt;0),VLOOKUP($D$7,'Quote参数'!$C$14:$AL$23,6,FALSE),""))</f>
        <v>1.0003961568781237</v>
      </c>
      <c r="E55" s="49"/>
      <c r="F55" s="49" t="str">
        <v>价格来源</v>
      </c>
      <c r="G55" s="49" t="str">
        <f>VLOOKUP($D$7,'Quote参数'!$C$14:$AL$23,9,FALSE)</f>
        <v>USDG 按 1 USD 估算；https://www.coingecko.com/en/coins/global-dollar</v>
      </c>
      <c r="H55" s="49"/>
      <c r="I55" s="49" t="str">
        <v>目标外盘 TOKEN</v>
      </c>
      <c r="J55" s="49" t="n">
        <f>IF($G$40="pons",$G$48-MAX(0,($D$8-$G$43)*$D$45)/MAX(0.000000001,1-$G$42-$J$48),IF(OR($G$40="flap",$G$40="four-stock"),$G$48-($D$8-$G$43)*$D$45/(1-$J$46),IF($G$40="pons",$D$45*(1-$D$8)-$G$51,IF(ABS($D$8-$G$43)&lt;0.000001,$G$48,$D$45*(1-$D$8)))))</f>
        <v>16491445.062873632</v>
      </c>
      <c r="K55" s="49"/>
      <c r="L55" s="49"/>
    </row>
    <row r="56" ht="30" hidden="1" customHeight="1" outlineLevel="1">
      <c r="C56" s="49" t="str">
        <v>价格时间 / UTC</v>
      </c>
      <c r="D56" s="61" t="n">
        <f>VLOOKUP($D$7,'Quote参数'!$C$14:$AL$23,8,FALSE)</f>
        <v>46285.27349457176</v>
      </c>
      <c r="E56" s="49"/>
      <c r="F56" s="49" t="str">
        <v>预留预算 / USDT</v>
      </c>
      <c r="G56" s="49" t="n">
        <f>'Quote参数'!$D$10</f>
        <v>10000</v>
      </c>
      <c r="H56" s="49"/>
      <c r="I56" s="49" t="str">
        <v>洗后外盘 TOKEN</v>
      </c>
      <c r="J56" s="49" t="n">
        <f>IF($G$40="pons",$G$48-MAX(0,($D$27-$G$43)*$D$45)/MAX(0.000000001,1-$G$42-$J$48),IF(OR($G$40="flap",$G$40="four-stock"),$G$48-($D$27-$G$43)*$D$45/(1-$J$46),IF($G$40="pons",$D$45*(1-$D$27)-$G$51,IF(ABS($D$27-$G$43)&lt;0.000001,$G$48,$D$45*(1-$D$27)))))</f>
        <v>16491445.062873632</v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 t="n">
        <f>0</f>
        <v>0</v>
      </c>
      <c r="D59" s="75" t="n">
        <f>$G$44-C59*$D$45</f>
        <v>1000000000</v>
      </c>
      <c r="E59" s="81" t="n">
        <f>$G$46/D59</f>
        <v>202.25</v>
      </c>
      <c r="F59" s="78" t="n">
        <f>IF(AND(ISNUMBER(D59),D59&gt;0,ISNUMBER(E59)),E59/D59,"")</f>
        <v>2.0225e-7</v>
      </c>
      <c r="G59" s="78" t="n">
        <f>IF(AND(ISNUMBER(F59),ISNUMBER($D$55)),F59*$D$55,"")</f>
        <v>2.0233012272860051e-7</v>
      </c>
      <c r="H59" s="81" t="n">
        <f>IF(ISNUMBER(F59),F59*$D$45,"")</f>
        <v>202.25</v>
      </c>
      <c r="I59" s="75" t="n">
        <f>IF(AND(ISNUMBER(H59),ISNUMBER($D$55)),H59*$D$55,"")</f>
        <v>202.33012272860051</v>
      </c>
      <c r="J59" s="81" t="n">
        <f>0</f>
        <v>0</v>
      </c>
      <c r="K59" s="81" t="n">
        <f>IF($G$40="pons",J59/(1-$G$41-$J$48),J59*(1+$G$41+IF($G$40="four-stock",$J$46,0)))</f>
        <v>0</v>
      </c>
      <c r="L59" s="87" t="n">
        <f>SUM($K$59:K59)</f>
        <v>0</v>
      </c>
    </row>
    <row r="60" ht="20" customHeight="1">
      <c r="C60" s="73" t="n">
        <f>0.1</f>
        <v>0.1</v>
      </c>
      <c r="D60" s="76" t="n">
        <f>$G$44-C60*$D$45</f>
        <v>900000000</v>
      </c>
      <c r="E60" s="82" t="n">
        <f>$G$46/D60</f>
        <v>224.72222222222223</v>
      </c>
      <c r="F60" s="79" t="n">
        <f>IF(AND(ISNUMBER(D60),D60&gt;0,ISNUMBER(E60)),E60/D60,"")</f>
        <v>2.496913580246914e-7</v>
      </c>
      <c r="G60" s="79" t="n">
        <f>IF(AND(ISNUMBER(F60),ISNUMBER($D$55)),F60*$D$55,"")</f>
        <v>2.497902749735809e-7</v>
      </c>
      <c r="H60" s="82" t="n">
        <f>IF(ISNUMBER(F60),F60*$D$45,"")</f>
        <v>249.6913580246914</v>
      </c>
      <c r="I60" s="76" t="n">
        <f>IF(AND(ISNUMBER(H60),ISNUMBER($D$55)),H60*$D$55,"")</f>
        <v>249.79027497358092</v>
      </c>
      <c r="J60" s="82" t="n">
        <f>E60-E59</f>
        <v>22.47222222222223</v>
      </c>
      <c r="K60" s="82" t="n">
        <f>IF($G$40="pons",J60/(1-$G$41-$J$48),J60*(1+$G$41+IF($G$40="four-stock",$J$46,0)))</f>
        <v>22.69921436588104</v>
      </c>
      <c r="L60" s="88" t="n">
        <f>SUM($K$59:K60)</f>
        <v>22.69921436588104</v>
      </c>
    </row>
    <row r="61" ht="20" customHeight="1">
      <c r="C61" s="73" t="n">
        <f>0.2</f>
        <v>0.2</v>
      </c>
      <c r="D61" s="76" t="n">
        <f>$G$44-C61*$D$45</f>
        <v>800000000</v>
      </c>
      <c r="E61" s="82" t="n">
        <f>$G$46/D61</f>
        <v>252.8125</v>
      </c>
      <c r="F61" s="79" t="n">
        <f>IF(AND(ISNUMBER(D61),D61&gt;0,ISNUMBER(E61)),E61/D61,"")</f>
        <v>3.16015625e-7</v>
      </c>
      <c r="G61" s="79" t="n">
        <f>IF(AND(ISNUMBER(F61),ISNUMBER($D$55)),F61*$D$55,"")</f>
        <v>3.161408167634383e-7</v>
      </c>
      <c r="H61" s="82" t="n">
        <f>IF(ISNUMBER(F61),F61*$D$45,"")</f>
        <v>316.015625</v>
      </c>
      <c r="I61" s="76" t="n">
        <f>IF(AND(ISNUMBER(H61),ISNUMBER($D$55)),H61*$D$55,"")</f>
        <v>316.1408167634383</v>
      </c>
      <c r="J61" s="82" t="n">
        <f>E61-E60</f>
        <v>28.09027777777777</v>
      </c>
      <c r="K61" s="82" t="n">
        <f>IF($G$40="pons",J61/(1-$G$41-$J$48),J61*(1+$G$41+IF($G$40="four-stock",$J$46,0)))</f>
        <v>28.374017957351285</v>
      </c>
      <c r="L61" s="88" t="n">
        <f>SUM($K$59:K61)</f>
        <v>51.073232323232325</v>
      </c>
    </row>
    <row r="62" ht="20" customHeight="1">
      <c r="C62" s="73" t="n">
        <f>0.3</f>
        <v>0.3</v>
      </c>
      <c r="D62" s="76" t="n">
        <f>$G$44-C62*$D$45</f>
        <v>700000000</v>
      </c>
      <c r="E62" s="82" t="n">
        <f>$G$46/D62</f>
        <v>288.92857142857144</v>
      </c>
      <c r="F62" s="79" t="n">
        <f>IF(AND(ISNUMBER(D62),D62&gt;0,ISNUMBER(E62)),E62/D62,"")</f>
        <v>4.1275510204081637e-7</v>
      </c>
      <c r="G62" s="79" t="n">
        <f>IF(AND(ISNUMBER(F62),ISNUMBER($D$55)),F62*$D$55,"")</f>
        <v>4.1291861781347046e-7</v>
      </c>
      <c r="H62" s="82" t="n">
        <f>IF(ISNUMBER(F62),F62*$D$45,"")</f>
        <v>412.7551020408164</v>
      </c>
      <c r="I62" s="76" t="n">
        <f>IF(AND(ISNUMBER(H62),ISNUMBER($D$55)),H62*$D$55,"")</f>
        <v>412.91861781347046</v>
      </c>
      <c r="J62" s="82" t="n">
        <f>E62-E61</f>
        <v>36.116071428571445</v>
      </c>
      <c r="K62" s="82" t="n">
        <f>IF($G$40="pons",J62/(1-$G$41-$J$48),J62*(1+$G$41+IF($G$40="four-stock",$J$46,0)))</f>
        <v>36.480880230880246</v>
      </c>
      <c r="L62" s="88" t="n">
        <f>SUM($K$59:K62)</f>
        <v>87.55411255411258</v>
      </c>
    </row>
    <row r="63" ht="20" customHeight="1">
      <c r="C63" s="73" t="n">
        <f>0.4</f>
        <v>0.4</v>
      </c>
      <c r="D63" s="76" t="n">
        <f>$G$44-C63*$D$45</f>
        <v>600000000</v>
      </c>
      <c r="E63" s="82" t="n">
        <f>$G$46/D63</f>
        <v>337.0833333333333</v>
      </c>
      <c r="F63" s="79" t="n">
        <f>IF(AND(ISNUMBER(D63),D63&gt;0,ISNUMBER(E63)),E63/D63,"")</f>
        <v>5.618055555555556e-7</v>
      </c>
      <c r="G63" s="79" t="n">
        <f>IF(AND(ISNUMBER(F63),ISNUMBER($D$55)),F63*$D$55,"")</f>
        <v>5.62028118690557e-7</v>
      </c>
      <c r="H63" s="82" t="n">
        <f>IF(ISNUMBER(F63),F63*$D$45,"")</f>
        <v>561.8055555555555</v>
      </c>
      <c r="I63" s="76" t="n">
        <f>IF(AND(ISNUMBER(H63),ISNUMBER($D$55)),H63*$D$55,"")</f>
        <v>562.028118690557</v>
      </c>
      <c r="J63" s="82" t="n">
        <f>E63-E62</f>
        <v>48.15476190476187</v>
      </c>
      <c r="K63" s="82" t="n">
        <f>IF($G$40="pons",J63/(1-$G$41-$J$48),J63*(1+$G$41+IF($G$40="four-stock",$J$46,0)))</f>
        <v>48.64117364117361</v>
      </c>
      <c r="L63" s="88" t="n">
        <f>SUM($K$59:K63)</f>
        <v>136.1952861952862</v>
      </c>
    </row>
    <row r="64" ht="20" customHeight="1">
      <c r="C64" s="73" t="n">
        <f>0.5</f>
        <v>0.5</v>
      </c>
      <c r="D64" s="76" t="n">
        <f>$G$44-C64*$D$45</f>
        <v>500000000</v>
      </c>
      <c r="E64" s="82" t="n">
        <f>$G$46/D64</f>
        <v>404.5</v>
      </c>
      <c r="F64" s="79" t="n">
        <f>IF(AND(ISNUMBER(D64),D64&gt;0,ISNUMBER(E64)),E64/D64,"")</f>
        <v>8.09e-7</v>
      </c>
      <c r="G64" s="79" t="n">
        <f>IF(AND(ISNUMBER(F64),ISNUMBER($D$55)),F64*$D$55,"")</f>
        <v>8.093204909144021e-7</v>
      </c>
      <c r="H64" s="82" t="n">
        <f>IF(ISNUMBER(F64),F64*$D$45,"")</f>
        <v>809</v>
      </c>
      <c r="I64" s="76" t="n">
        <f>IF(AND(ISNUMBER(H64),ISNUMBER($D$55)),H64*$D$55,"")</f>
        <v>809.3204909144021</v>
      </c>
      <c r="J64" s="82" t="n">
        <f>E64-E63</f>
        <v>67.41666666666669</v>
      </c>
      <c r="K64" s="82" t="n">
        <f>IF($G$40="pons",J64/(1-$G$41-$J$48),J64*(1+$G$41+IF($G$40="four-stock",$J$46,0)))</f>
        <v>68.09764309764311</v>
      </c>
      <c r="L64" s="88" t="n">
        <f>SUM($K$59:K64)</f>
        <v>204.29292929292933</v>
      </c>
    </row>
    <row r="65" ht="20" customHeight="1">
      <c r="C65" s="73" t="n">
        <f>0.6</f>
        <v>0.6</v>
      </c>
      <c r="D65" s="76" t="n">
        <f>$G$44-C65*$D$45</f>
        <v>400000000</v>
      </c>
      <c r="E65" s="82" t="n">
        <f>$G$46/D65</f>
        <v>505.625</v>
      </c>
      <c r="F65" s="79" t="n">
        <f>IF(AND(ISNUMBER(D65),D65&gt;0,ISNUMBER(E65)),E65/D65,"")</f>
        <v>0.0000012640625</v>
      </c>
      <c r="G65" s="79" t="n">
        <f>IF(AND(ISNUMBER(F65),ISNUMBER($D$55)),F65*$D$55,"")</f>
        <v>0.0000012645632670537531</v>
      </c>
      <c r="H65" s="82" t="n">
        <f>IF(ISNUMBER(F65),F65*$D$45,"")</f>
        <v>1264.0625</v>
      </c>
      <c r="I65" s="76" t="n">
        <f>IF(AND(ISNUMBER(H65),ISNUMBER($D$55)),H65*$D$55,"")</f>
        <v>1264.5632670537532</v>
      </c>
      <c r="J65" s="82" t="n">
        <f>E65-E64</f>
        <v>101.125</v>
      </c>
      <c r="K65" s="82" t="n">
        <f>IF($G$40="pons",J65/(1-$G$41-$J$48),J65*(1+$G$41+IF($G$40="four-stock",$J$46,0)))</f>
        <v>102.14646464646465</v>
      </c>
      <c r="L65" s="88" t="n">
        <f>SUM($K$59:K65)</f>
        <v>306.439393939394</v>
      </c>
    </row>
    <row r="66" ht="20" customHeight="1">
      <c r="C66" s="73" t="n">
        <f>0.7</f>
        <v>0.7</v>
      </c>
      <c r="D66" s="76" t="n">
        <f>$G$44-C66*$D$45</f>
        <v>300000000</v>
      </c>
      <c r="E66" s="82" t="n">
        <f>$G$46/D66</f>
        <v>674.1666666666666</v>
      </c>
      <c r="F66" s="79" t="n">
        <f>IF(AND(ISNUMBER(D66),D66&gt;0,ISNUMBER(E66)),E66/D66,"")</f>
        <v>0.0000022472222222222223</v>
      </c>
      <c r="G66" s="79" t="n">
        <f>IF(AND(ISNUMBER(F66),ISNUMBER($D$55)),F66*$D$55,"")</f>
        <v>0.000002248112474762228</v>
      </c>
      <c r="H66" s="82" t="n">
        <f>IF(ISNUMBER(F66),F66*$D$45,"")</f>
        <v>2247.222222222222</v>
      </c>
      <c r="I66" s="76" t="n">
        <f>IF(AND(ISNUMBER(H66),ISNUMBER($D$55)),H66*$D$55,"")</f>
        <v>2248.112474762228</v>
      </c>
      <c r="J66" s="82" t="n">
        <f>E66-E65</f>
        <v>168.54166666666663</v>
      </c>
      <c r="K66" s="82" t="n">
        <f>IF($G$40="pons",J66/(1-$G$41-$J$48),J66*(1+$G$41+IF($G$40="four-stock",$J$46,0)))</f>
        <v>170.2441077441077</v>
      </c>
      <c r="L66" s="88" t="n">
        <f>SUM($K$59:K66)</f>
        <v>476.68350168350173</v>
      </c>
    </row>
    <row r="67" ht="20" customHeight="1">
      <c r="C67" s="74" t="n">
        <f>$G$43</f>
        <v>0.7142857142857143</v>
      </c>
      <c r="D67" s="77" t="n">
        <f>$G$44-C67*$D$45</f>
        <v>285714285.71428573</v>
      </c>
      <c r="E67" s="83" t="n">
        <f>$G$46/D67</f>
        <v>707.875</v>
      </c>
      <c r="F67" s="80" t="n">
        <f>IF(AND(ISNUMBER(D67),D67&gt;0,ISNUMBER(E67)),E67/D67,"")</f>
        <v>0.0000024775624999999997</v>
      </c>
      <c r="G67" s="80" t="n">
        <f>IF(AND(ISNUMBER(F67),ISNUMBER($D$55)),F67*$D$55,"")</f>
        <v>0.000002478544003425356</v>
      </c>
      <c r="H67" s="83" t="n">
        <f>IF(ISNUMBER(F67),F67*$D$45,"")</f>
        <v>2477.5624999999995</v>
      </c>
      <c r="I67" s="77" t="n">
        <f>IF(AND(ISNUMBER(H67),ISNUMBER($D$55)),H67*$D$55,"")</f>
        <v>2478.5440034253556</v>
      </c>
      <c r="J67" s="83" t="n">
        <f>E67-E66</f>
        <v>33.70833333333337</v>
      </c>
      <c r="K67" s="83" t="n">
        <f>IF($G$40="pons",J67/(1-$G$41-$J$48),J67*(1+$G$41+IF($G$40="four-stock",$J$46,0)))</f>
        <v>34.048821548821586</v>
      </c>
      <c r="L67" s="89" t="n">
        <f>$J$41</f>
        <v>510.7323232323232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 t="n">
        <f>IF($G$40="pons",$G$43,80%)</f>
        <v>0.7142857142857143</v>
      </c>
      <c r="D72" s="75" t="n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  <v>204081632.65306118</v>
      </c>
      <c r="E72" s="81" t="n">
        <f>IF(D72="","",IF(ABS(C72-$G$43)&lt;0.000001,$G$49,$G$50/D72))</f>
        <v>505.625</v>
      </c>
      <c r="F72" s="78" t="n">
        <f>IF(AND(ISNUMBER(D72),D72&gt;0,ISNUMBER(E72)),E72/D72,"")</f>
        <v>0.0000024775625000000006</v>
      </c>
      <c r="G72" s="78" t="n">
        <f>IF(AND(ISNUMBER(F72),ISNUMBER($D$55)),F72*$D$55,"")</f>
        <v>0.0000024785440034253568</v>
      </c>
      <c r="H72" s="81" t="n">
        <f>IF(ISNUMBER(F72),F72*$D$45,"")</f>
        <v>2477.5625000000005</v>
      </c>
      <c r="I72" s="75" t="n">
        <f>IF(AND(ISNUMBER(H72),ISNUMBER($D$55)),H72*$D$55,"")</f>
        <v>2478.5440034253565</v>
      </c>
      <c r="J72" s="81" t="n">
        <f>IF(OR(OR($G$40="flap",$G$40="four-stock"),$G$40="pons"),0,E72-$G$49)</f>
        <v>0</v>
      </c>
      <c r="K72" s="81" t="n">
        <f>IF(OR(OR($G$40="flap",$G$40="four-stock"),$G$40="pons"),0,J72*(1+$G$42))</f>
        <v>0</v>
      </c>
      <c r="L72" s="87" t="n">
        <f>IF(D72="","",$J$41+IF($G$40="pons",($G$50/($G$48-MAX(0,(C72-$G$43)*$D$45))-$G$49)/(1-$G$42-$J$48),IF($G$40="four-stock",(E72-$G$49)/(1-$G$42),(E72-$G$49)*(1+$G$42))))</f>
        <v>510.7323232323232</v>
      </c>
    </row>
    <row r="73" ht="20" customHeight="1">
      <c r="C73" s="73" t="n">
        <f>IF($G$40="pons",80%+0*0.5%,IF(80.5%+0*0.5%&lt;=100%,80.5%+0*0.5%,""))</f>
        <v>0.8</v>
      </c>
      <c r="D73" s="76" t="n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  <v>118367346.93877548</v>
      </c>
      <c r="E73" s="82" t="n">
        <f>IF(D73="","",IF(ABS(C73-$G$43)&lt;0.000001,$G$49,$G$50/D73))</f>
        <v>871.7672413793106</v>
      </c>
      <c r="F73" s="79" t="n">
        <f>IF(AND(ISNUMBER(D73),D73&gt;0,ISNUMBER(E73)),E73/D73,"")</f>
        <v>0.000007364930142687281</v>
      </c>
      <c r="G73" s="79" t="n">
        <f>IF(AND(ISNUMBER(F73),ISNUMBER($D$55)),F73*$D$55,"")</f>
        <v>0.000007367847810420207</v>
      </c>
      <c r="H73" s="82" t="n">
        <f>IF(ISNUMBER(F73),F73*$D$45,"")</f>
        <v>7364.930142687281</v>
      </c>
      <c r="I73" s="76" t="n">
        <f>IF(AND(ISNUMBER(H73),ISNUMBER($D$55)),H73*$D$55,"")</f>
        <v>7367.847810420207</v>
      </c>
      <c r="J73" s="82" t="n">
        <f>IF(D73="","",E73-E72)</f>
        <v>366.1422413793106</v>
      </c>
      <c r="K73" s="82" t="n">
        <f>IF(D73="","",IF(OR(OR($G$40="flap",$G$40="four-stock"),$G$40="pons"),L73-L72,J73*(1+$G$42)))</f>
        <v>369.8406478578894</v>
      </c>
      <c r="L73" s="88" t="n">
        <f>IF(D73="","",$J$41+IF($G$40="pons",($G$50/($G$48-MAX(0,(C73-$G$43)*$D$45))-$G$49)/(1-$G$42-$J$48),IF($G$40="four-stock",(E73-$G$49)/(1-$G$42),(E73-$G$49)*(1+$G$42))))</f>
        <v>880.5729710902126</v>
      </c>
    </row>
    <row r="74" ht="20" customHeight="1">
      <c r="C74" s="73" t="n">
        <f>IF($G$40="pons",80%+1*0.5%,IF(80.5%+1*0.5%&lt;=100%,80.5%+1*0.5%,""))</f>
        <v>0.805</v>
      </c>
      <c r="D74" s="76" t="n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  <v>113367346.93877545</v>
      </c>
      <c r="E74" s="82" t="n">
        <f>IF(D74="","",IF(ABS(C74-$G$43)&lt;0.000001,$G$49,$G$50/D74))</f>
        <v>910.2160216021607</v>
      </c>
      <c r="F74" s="79" t="n">
        <f>IF(AND(ISNUMBER(D74),D74&gt;0,ISNUMBER(E74)),E74/D74,"")</f>
        <v>0.000008028908201351198</v>
      </c>
      <c r="G74" s="79" t="n">
        <f>IF(AND(ISNUMBER(F74),ISNUMBER($D$55)),F74*$D$55,"")</f>
        <v>0.000008032088908558986</v>
      </c>
      <c r="H74" s="82" t="n">
        <f>IF(ISNUMBER(F74),F74*$D$45,"")</f>
        <v>8028.908201351198</v>
      </c>
      <c r="I74" s="76" t="n">
        <f>IF(AND(ISNUMBER(H74),ISNUMBER($D$55)),H74*$D$55,"")</f>
        <v>8032.088908558987</v>
      </c>
      <c r="J74" s="82" t="n">
        <f>IF(D74="","",E74-E73)</f>
        <v>38.44878022285013</v>
      </c>
      <c r="K74" s="82" t="n">
        <f>IF(D74="","",IF(OR(OR($G$40="flap",$G$40="four-stock"),$G$40="pons"),L74-L73,J74*(1+$G$42)))</f>
        <v>38.837151740252466</v>
      </c>
      <c r="L74" s="88" t="n">
        <f>IF(D74="","",$J$41+IF($G$40="pons",($G$50/($G$48-MAX(0,(C74-$G$43)*$D$45))-$G$49)/(1-$G$42-$J$48),IF($G$40="four-stock",(E74-$G$49)/(1-$G$42),(E74-$G$49)*(1+$G$42))))</f>
        <v>919.4101228304651</v>
      </c>
    </row>
    <row r="75" ht="20" customHeight="1">
      <c r="C75" s="73" t="n">
        <f>IF($G$40="pons",80%+2*0.5%,IF(80.5%+2*0.5%&lt;=100%,80.5%+2*0.5%,""))</f>
        <v>0.81</v>
      </c>
      <c r="D75" s="76" t="n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  <v>108367346.93877545</v>
      </c>
      <c r="E75" s="82" t="n">
        <f>IF(D75="","",IF(ABS(C75-$G$43)&lt;0.000001,$G$49,$G$50/D75))</f>
        <v>952.2128060263659</v>
      </c>
      <c r="F75" s="79" t="n">
        <f>IF(AND(ISNUMBER(D75),D75&gt;0,ISNUMBER(E75)),E75/D75,"")</f>
        <v>0.000008786897833388316</v>
      </c>
      <c r="G75" s="79" t="n">
        <f>IF(AND(ISNUMBER(F75),ISNUMBER($D$55)),F75*$D$55,"")</f>
        <v>0.000008790378823402383</v>
      </c>
      <c r="H75" s="82" t="n">
        <f>IF(ISNUMBER(F75),F75*$D$45,"")</f>
        <v>8786.897833388317</v>
      </c>
      <c r="I75" s="76" t="n">
        <f>IF(AND(ISNUMBER(H75),ISNUMBER($D$55)),H75*$D$55,"")</f>
        <v>8790.378823402383</v>
      </c>
      <c r="J75" s="82" t="n">
        <f>IF(D75="","",E75-E74)</f>
        <v>41.9967844242052</v>
      </c>
      <c r="K75" s="82" t="n">
        <f>IF(D75="","",IF(OR(OR($G$40="flap",$G$40="four-stock"),$G$40="pons"),L75-L74,J75*(1+$G$42)))</f>
        <v>42.420994367883964</v>
      </c>
      <c r="L75" s="88" t="n">
        <f>IF(D75="","",$J$41+IF($G$40="pons",($G$50/($G$48-MAX(0,(C75-$G$43)*$D$45))-$G$49)/(1-$G$42-$J$48),IF($G$40="four-stock",(E75-$G$49)/(1-$G$42),(E75-$G$49)*(1+$G$42))))</f>
        <v>961.831117198349</v>
      </c>
    </row>
    <row r="76" ht="20" customHeight="1">
      <c r="C76" s="73" t="n">
        <f>IF($G$40="pons",80%+3*0.5%,IF(80.5%+3*0.5%&lt;=100%,80.5%+3*0.5%,""))</f>
        <v>0.8150000000000001</v>
      </c>
      <c r="D76" s="76" t="n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  <v>103367346.93877545</v>
      </c>
      <c r="E76" s="82" t="n">
        <f>IF(D76="","",IF(ABS(C76-$G$43)&lt;0.000001,$G$49,$G$50/D76))</f>
        <v>998.2724580454103</v>
      </c>
      <c r="F76" s="79" t="n">
        <f>IF(AND(ISNUMBER(D76),D76&gt;0,ISNUMBER(E76)),E76/D76,"")</f>
        <v>0.000009657522298958565</v>
      </c>
      <c r="G76" s="79" t="n">
        <f>IF(AND(ISNUMBER(F76),ISNUMBER($D$55)),F76*$D$55,"")</f>
        <v>0.00000966134819284293</v>
      </c>
      <c r="H76" s="82" t="n">
        <f>IF(ISNUMBER(F76),F76*$D$45,"")</f>
        <v>9657.522298958565</v>
      </c>
      <c r="I76" s="76" t="n">
        <f>IF(AND(ISNUMBER(H76),ISNUMBER($D$55)),H76*$D$55,"")</f>
        <v>9661.34819284293</v>
      </c>
      <c r="J76" s="82" t="n">
        <f>IF(D76="","",E76-E75)</f>
        <v>46.05965201904439</v>
      </c>
      <c r="K76" s="82" t="n">
        <f>IF(D76="","",IF(OR(OR($G$40="flap",$G$40="four-stock"),$G$40="pons"),L76-L75,J76*(1+$G$42)))</f>
        <v>46.5249010293378</v>
      </c>
      <c r="L76" s="88" t="n">
        <f>IF(D76="","",$J$41+IF($G$40="pons",($G$50/($G$48-MAX(0,(C76-$G$43)*$D$45))-$G$49)/(1-$G$42-$J$48),IF($G$40="four-stock",(E76-$G$49)/(1-$G$42),(E76-$G$49)*(1+$G$42))))</f>
        <v>1008.3560182276868</v>
      </c>
    </row>
    <row r="77" ht="20" customHeight="1">
      <c r="C77" s="73" t="n">
        <f>IF($G$40="pons",80%+4*0.5%,IF(80.5%+4*0.5%&lt;=100%,80.5%+4*0.5%,""))</f>
        <v>0.8200000000000001</v>
      </c>
      <c r="D77" s="76" t="n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  <v>98367346.93877545</v>
      </c>
      <c r="E77" s="82" t="n">
        <f>IF(D77="","",IF(ABS(C77-$G$43)&lt;0.000001,$G$49,$G$50/D77))</f>
        <v>1049.0145228215774</v>
      </c>
      <c r="F77" s="79" t="n">
        <f>IF(AND(ISNUMBER(D77),D77&gt;0,ISNUMBER(E77)),E77/D77,"")</f>
        <v>0.000010664255522460026</v>
      </c>
      <c r="G77" s="79" t="n">
        <f>IF(AND(ISNUMBER(F77),ISNUMBER($D$55)),F77*$D$55,"")</f>
        <v>0.000010668480240635316</v>
      </c>
      <c r="H77" s="82" t="n">
        <f>IF(ISNUMBER(F77),F77*$D$45,"")</f>
        <v>10664.255522460026</v>
      </c>
      <c r="I77" s="76" t="n">
        <f>IF(AND(ISNUMBER(H77),ISNUMBER($D$55)),H77*$D$55,"")</f>
        <v>10668.480240635316</v>
      </c>
      <c r="J77" s="82" t="n">
        <f>IF(D77="","",E77-E76)</f>
        <v>50.742064776167126</v>
      </c>
      <c r="K77" s="82" t="n">
        <f>IF(D77="","",IF(OR(OR($G$40="flap",$G$40="four-stock"),$G$40="pons"),L77-L76,J77*(1+$G$42)))</f>
        <v>51.25461088501754</v>
      </c>
      <c r="L77" s="88" t="n">
        <f>IF(D77="","",$J$41+IF($G$40="pons",($G$50/($G$48-MAX(0,(C77-$G$43)*$D$45))-$G$49)/(1-$G$42-$J$48),IF($G$40="four-stock",(E77-$G$49)/(1-$G$42),(E77-$G$49)*(1+$G$42))))</f>
        <v>1059.6106291127044</v>
      </c>
    </row>
    <row r="78" ht="20" customHeight="1">
      <c r="C78" s="73" t="n">
        <f>IF($G$40="pons",80%+5*0.5%,IF(80.5%+5*0.5%&lt;=100%,80.5%+5*0.5%,""))</f>
        <v>0.8250000000000001</v>
      </c>
      <c r="D78" s="76" t="n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  <v>93367346.93877545</v>
      </c>
      <c r="E78" s="82" t="n">
        <f>IF(D78="","",IF(ABS(C78-$G$43)&lt;0.000001,$G$49,$G$50/D78))</f>
        <v>1105.1912568306018</v>
      </c>
      <c r="F78" s="79" t="n">
        <f>IF(AND(ISNUMBER(D78),D78&gt;0,ISNUMBER(E78)),E78/D78,"")</f>
        <v>0.000011837021111409731</v>
      </c>
      <c r="G78" s="79" t="n">
        <f>IF(AND(ISNUMBER(F78),ISNUMBER($D$55)),F78*$D$55,"")</f>
        <v>0.000011841710428739512</v>
      </c>
      <c r="H78" s="82" t="n">
        <f>IF(ISNUMBER(F78),F78*$D$45,"")</f>
        <v>11837.021111409731</v>
      </c>
      <c r="I78" s="76" t="n">
        <f>IF(AND(ISNUMBER(H78),ISNUMBER($D$55)),H78*$D$55,"")</f>
        <v>11841.71042873951</v>
      </c>
      <c r="J78" s="82" t="n">
        <f>IF(D78="","",E78-E77)</f>
        <v>56.17673400902436</v>
      </c>
      <c r="K78" s="82" t="n">
        <f>IF(D78="","",IF(OR(OR($G$40="flap",$G$40="four-stock"),$G$40="pons"),L78-L77,J78*(1+$G$42)))</f>
        <v>56.744175766691114</v>
      </c>
      <c r="L78" s="88" t="n">
        <f>IF(D78="","",$J$41+IF($G$40="pons",($G$50/($G$48-MAX(0,(C78-$G$43)*$D$45))-$G$49)/(1-$G$42-$J$48),IF($G$40="four-stock",(E78-$G$49)/(1-$G$42),(E78-$G$49)*(1+$G$42))))</f>
        <v>1116.3548048793955</v>
      </c>
    </row>
    <row r="79" ht="20" customHeight="1">
      <c r="C79" s="73" t="n">
        <f>IF($G$40="pons",80%+6*0.5%,IF(80.5%+6*0.5%&lt;=100%,80.5%+6*0.5%,""))</f>
        <v>0.8300000000000001</v>
      </c>
      <c r="D79" s="76" t="n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  <v>88367346.93877545</v>
      </c>
      <c r="E79" s="82" t="n">
        <f>IF(D79="","",IF(ABS(C79-$G$43)&lt;0.000001,$G$49,$G$50/D79))</f>
        <v>1167.7251732101624</v>
      </c>
      <c r="F79" s="79" t="n">
        <f>IF(AND(ISNUMBER(D79),D79&gt;0,ISNUMBER(E79)),E79/D79,"")</f>
        <v>0.000013214441913925635</v>
      </c>
      <c r="G79" s="79" t="n">
        <f>IF(AND(ISNUMBER(F79),ISNUMBER($D$55)),F79*$D$55,"")</f>
        <v>0.000013219676905980402</v>
      </c>
      <c r="H79" s="82" t="n">
        <f>IF(ISNUMBER(F79),F79*$D$45,"")</f>
        <v>13214.441913925635</v>
      </c>
      <c r="I79" s="76" t="n">
        <f>IF(AND(ISNUMBER(H79),ISNUMBER($D$55)),H79*$D$55,"")</f>
        <v>13219.676905980403</v>
      </c>
      <c r="J79" s="82" t="n">
        <f>IF(D79="","",E79-E78)</f>
        <v>62.53391637956065</v>
      </c>
      <c r="K79" s="82" t="n">
        <f>IF(D79="","",IF(OR(OR($G$40="flap",$G$40="four-stock"),$G$40="pons"),L79-L78,J79*(1+$G$42)))</f>
        <v>63.16557210056635</v>
      </c>
      <c r="L79" s="88" t="n">
        <f>IF(D79="","",$J$41+IF($G$40="pons",($G$50/($G$48-MAX(0,(C79-$G$43)*$D$45))-$G$49)/(1-$G$42-$J$48),IF($G$40="four-stock",(E79-$G$49)/(1-$G$42),(E79-$G$49)*(1+$G$42))))</f>
        <v>1179.5203769799618</v>
      </c>
    </row>
    <row r="80" ht="20" customHeight="1">
      <c r="C80" s="73" t="n">
        <f>IF($G$40="pons",80%+7*0.5%,IF(80.5%+7*0.5%&lt;=100%,80.5%+7*0.5%,""))</f>
        <v>0.8350000000000001</v>
      </c>
      <c r="D80" s="76" t="n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  <v>83367346.93877542</v>
      </c>
      <c r="E80" s="82" t="n">
        <f>IF(D80="","",IF(ABS(C80-$G$43)&lt;0.000001,$G$49,$G$50/D80))</f>
        <v>1237.760097919218</v>
      </c>
      <c r="F80" s="79" t="n">
        <f>IF(AND(ISNUMBER(D80),D80&gt;0,ISNUMBER(E80)),E80/D80,"")</f>
        <v>0.000014847061150071418</v>
      </c>
      <c r="G80" s="79" t="n">
        <f>IF(AND(ISNUMBER(F80),ISNUMBER($D$55)),F80*$D$55,"")</f>
        <v>0.000014852942915465941</v>
      </c>
      <c r="H80" s="82" t="n">
        <f>IF(ISNUMBER(F80),F80*$D$45,"")</f>
        <v>14847.061150071419</v>
      </c>
      <c r="I80" s="76" t="n">
        <f>IF(AND(ISNUMBER(H80),ISNUMBER($D$55)),H80*$D$55,"")</f>
        <v>14852.942915465943</v>
      </c>
      <c r="J80" s="82" t="n">
        <f>IF(D80="","",E80-E79)</f>
        <v>70.03492470905553</v>
      </c>
      <c r="K80" s="82" t="n">
        <f>IF(D80="","",IF(OR(OR($G$40="flap",$G$40="four-stock"),$G$40="pons"),L80-L79,J80*(1+$G$42)))</f>
        <v>70.74234819096455</v>
      </c>
      <c r="L80" s="88" t="n">
        <f>IF(D80="","",$J$41+IF($G$40="pons",($G$50/($G$48-MAX(0,(C80-$G$43)*$D$45))-$G$49)/(1-$G$42-$J$48),IF($G$40="four-stock",(E80-$G$49)/(1-$G$42),(E80-$G$49)*(1+$G$42))))</f>
        <v>1250.2627251709264</v>
      </c>
    </row>
    <row r="81" ht="20" customHeight="1">
      <c r="C81" s="73" t="n">
        <f>IF($G$40="pons",80%+8*0.5%,IF(80.5%+8*0.5%&lt;=100%,80.5%+8*0.5%,""))</f>
        <v>0.8400000000000001</v>
      </c>
      <c r="D81" s="76" t="n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  <v>78367346.93877542</v>
      </c>
      <c r="E81" s="82" t="n">
        <f>IF(D81="","",IF(ABS(C81-$G$43)&lt;0.000001,$G$49,$G$50/D81))</f>
        <v>1316.7317708333348</v>
      </c>
      <c r="F81" s="79" t="n">
        <f>IF(AND(ISNUMBER(D81),D81&gt;0,ISNUMBER(E81)),E81/D81,"")</f>
        <v>0.000016802046034071218</v>
      </c>
      <c r="G81" s="79" t="n">
        <f>IF(AND(ISNUMBER(F81),ISNUMBER($D$55)),F81*$D$55,"")</f>
        <v>0.000016808702280174165</v>
      </c>
      <c r="H81" s="82" t="n">
        <f>IF(ISNUMBER(F81),F81*$D$45,"")</f>
        <v>16802.046034071216</v>
      </c>
      <c r="I81" s="76" t="n">
        <f>IF(AND(ISNUMBER(H81),ISNUMBER($D$55)),H81*$D$55,"")</f>
        <v>16808.702280174162</v>
      </c>
      <c r="J81" s="82" t="n">
        <f>IF(D81="","",E81-E80)</f>
        <v>78.97167291411688</v>
      </c>
      <c r="K81" s="82" t="n">
        <f>IF(D81="","",IF(OR(OR($G$40="flap",$G$40="four-stock"),$G$40="pons"),L81-L80,J81*(1+$G$42)))</f>
        <v>79.7693665799161</v>
      </c>
      <c r="L81" s="88" t="n">
        <f>IF(D81="","",$J$41+IF($G$40="pons",($G$50/($G$48-MAX(0,(C81-$G$43)*$D$45))-$G$49)/(1-$G$42-$J$48),IF($G$40="four-stock",(E81-$G$49)/(1-$G$42),(E81-$G$49)*(1+$G$42))))</f>
        <v>1330.0320917508425</v>
      </c>
    </row>
    <row r="82" ht="20" customHeight="1">
      <c r="C82" s="73" t="n">
        <f>IF($G$40="pons",80%+9*0.5%,IF(80.5%+9*0.5%&lt;=100%,80.5%+9*0.5%,""))</f>
        <v>0.8450000000000001</v>
      </c>
      <c r="D82" s="76" t="n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  <v>73367346.93877542</v>
      </c>
      <c r="E82" s="82" t="n">
        <f>IF(D82="","",IF(ABS(C82-$G$43)&lt;0.000001,$G$49,$G$50/D82))</f>
        <v>1406.4673157162745</v>
      </c>
      <c r="F82" s="79" t="n">
        <f>IF(AND(ISNUMBER(D82),D82&gt;0,ISNUMBER(E82)),E82/D82,"")</f>
        <v>0.000019170208197523652</v>
      </c>
      <c r="G82" s="79" t="n">
        <f>IF(AND(ISNUMBER(F82),ISNUMBER($D$55)),F82*$D$55,"")</f>
        <v>0.000019177802607356162</v>
      </c>
      <c r="H82" s="82" t="n">
        <f>IF(ISNUMBER(F82),F82*$D$45,"")</f>
        <v>19170.20819752365</v>
      </c>
      <c r="I82" s="76" t="n">
        <f>IF(AND(ISNUMBER(H82),ISNUMBER($D$55)),H82*$D$55,"")</f>
        <v>19177.802607356163</v>
      </c>
      <c r="J82" s="82" t="n">
        <f>IF(D82="","",E82-E81)</f>
        <v>89.73554488293962</v>
      </c>
      <c r="K82" s="82" t="n">
        <f>IF(D82="","",IF(OR(OR($G$40="flap",$G$40="four-stock"),$G$40="pons"),L82-L81,J82*(1+$G$42)))</f>
        <v>90.6419645282217</v>
      </c>
      <c r="L82" s="88" t="n">
        <f>IF(D82="","",$J$41+IF($G$40="pons",($G$50/($G$48-MAX(0,(C82-$G$43)*$D$45))-$G$49)/(1-$G$42-$J$48),IF($G$40="four-stock",(E82-$G$49)/(1-$G$42),(E82-$G$49)*(1+$G$42))))</f>
        <v>1420.6740562790642</v>
      </c>
    </row>
    <row r="83" ht="20" customHeight="1">
      <c r="C83" s="73" t="n">
        <f>IF($G$40="pons",80%+10*0.5%,IF(80.5%+10*0.5%&lt;=100%,80.5%+10*0.5%,""))</f>
        <v>0.8500000000000001</v>
      </c>
      <c r="D83" s="76" t="n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  <v>68367346.93877542</v>
      </c>
      <c r="E83" s="82" t="n">
        <f>IF(D83="","",IF(ABS(C83-$G$43)&lt;0.000001,$G$49,$G$50/D83))</f>
        <v>1509.3283582089573</v>
      </c>
      <c r="F83" s="79" t="n">
        <f>IF(AND(ISNUMBER(D83),D83&gt;0,ISNUMBER(E83)),E83/D83,"")</f>
        <v>0.00002207674314992209</v>
      </c>
      <c r="G83" s="79" t="n">
        <f>IF(AND(ISNUMBER(F83),ISNUMBER($D$55)),F83*$D$55,"")</f>
        <v>0.0000220854890035675</v>
      </c>
      <c r="H83" s="82" t="n">
        <f>IF(ISNUMBER(F83),F83*$D$45,"")</f>
        <v>22076.74314992209</v>
      </c>
      <c r="I83" s="76" t="n">
        <f>IF(AND(ISNUMBER(H83),ISNUMBER($D$55)),H83*$D$55,"")</f>
        <v>22085.4890035675</v>
      </c>
      <c r="J83" s="82" t="n">
        <f>IF(D83="","",E83-E82)</f>
        <v>102.86104249268283</v>
      </c>
      <c r="K83" s="82" t="n">
        <f>IF(D83="","",IF(OR(OR($G$40="flap",$G$40="four-stock"),$G$40="pons"),L83-L82,J83*(1+$G$42)))</f>
        <v>103.90004292190224</v>
      </c>
      <c r="L83" s="88" t="n">
        <f>IF(D83="","",$J$41+IF($G$40="pons",($G$50/($G$48-MAX(0,(C83-$G$43)*$D$45))-$G$49)/(1-$G$42-$J$48),IF($G$40="four-stock",(E83-$G$49)/(1-$G$42),(E83-$G$49)*(1+$G$42))))</f>
        <v>1524.5740992009664</v>
      </c>
    </row>
    <row r="84" ht="20" customHeight="1">
      <c r="C84" s="73" t="n">
        <f>IF($G$40="pons",80%+11*0.5%,IF(80.5%+11*0.5%&lt;=100%,80.5%+11*0.5%,""))</f>
        <v>0.8550000000000001</v>
      </c>
      <c r="D84" s="76" t="n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  <v>63367346.93877542</v>
      </c>
      <c r="E84" s="82" t="n">
        <f>IF(D84="","",IF(ABS(C84-$G$43)&lt;0.000001,$G$49,$G$50/D84))</f>
        <v>1628.421900161033</v>
      </c>
      <c r="F84" s="79" t="n">
        <f>IF(AND(ISNUMBER(D84),D84&gt;0,ISNUMBER(E84)),E84/D84,"")</f>
        <v>0.000025698123384183808</v>
      </c>
      <c r="G84" s="79" t="n">
        <f>IF(AND(ISNUMBER(F84),ISNUMBER($D$55)),F84*$D$55,"")</f>
        <v>0.000025708303872517323</v>
      </c>
      <c r="H84" s="82" t="n">
        <f>IF(ISNUMBER(F84),F84*$D$45,"")</f>
        <v>25698.123384183808</v>
      </c>
      <c r="I84" s="76" t="n">
        <f>IF(AND(ISNUMBER(H84),ISNUMBER($D$55)),H84*$D$55,"")</f>
        <v>25708.30387251732</v>
      </c>
      <c r="J84" s="82" t="n">
        <f>IF(D84="","",E84-E83)</f>
        <v>119.09354195207561</v>
      </c>
      <c r="K84" s="82" t="n">
        <f>IF(D84="","",IF(OR(OR($G$40="flap",$G$40="four-stock"),$G$40="pons"),L84-L83,J84*(1+$G$42)))</f>
        <v>120.29650702229856</v>
      </c>
      <c r="L84" s="88" t="n">
        <f>IF(D84="","",$J$41+IF($G$40="pons",($G$50/($G$48-MAX(0,(C84-$G$43)*$D$45))-$G$49)/(1-$G$42-$J$48),IF($G$40="four-stock",(E84-$G$49)/(1-$G$42),(E84-$G$49)*(1+$G$42))))</f>
        <v>1644.870606223265</v>
      </c>
    </row>
    <row r="85" ht="20" customHeight="1">
      <c r="C85" s="73" t="n">
        <f>IF($G$40="pons",80%+12*0.5%,IF(80.5%+12*0.5%&lt;=100%,80.5%+12*0.5%,""))</f>
        <v>0.8600000000000001</v>
      </c>
      <c r="D85" s="76" t="n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  <v>58367346.93877542</v>
      </c>
      <c r="E85" s="82" t="n">
        <f>IF(D85="","",IF(ABS(C85-$G$43)&lt;0.000001,$G$49,$G$50/D85))</f>
        <v>1767.9195804195833</v>
      </c>
      <c r="F85" s="79" t="n">
        <f>IF(AND(ISNUMBER(D85),D85&gt;0,ISNUMBER(E85)),E85/D85,"")</f>
        <v>0.000030289531272922977</v>
      </c>
      <c r="G85" s="79" t="n">
        <f>IF(AND(ISNUMBER(F85),ISNUMBER($D$55)),F85*$D$55,"")</f>
        <v>0.000030301530679071887</v>
      </c>
      <c r="H85" s="82" t="n">
        <f>IF(ISNUMBER(F85),F85*$D$45,"")</f>
        <v>30289.531272922977</v>
      </c>
      <c r="I85" s="76" t="n">
        <f>IF(AND(ISNUMBER(H85),ISNUMBER($D$55)),H85*$D$55,"")</f>
        <v>30301.530679071886</v>
      </c>
      <c r="J85" s="82" t="n">
        <f>IF(D85="","",E85-E84)</f>
        <v>139.49768025855042</v>
      </c>
      <c r="K85" s="82" t="n">
        <f>IF(D85="","",IF(OR(OR($G$40="flap",$G$40="four-stock"),$G$40="pons"),L85-L84,J85*(1+$G$42)))</f>
        <v>140.906747735909</v>
      </c>
      <c r="L85" s="88" t="n">
        <f>IF(D85="","",$J$41+IF($G$40="pons",($G$50/($G$48-MAX(0,(C85-$G$43)*$D$45))-$G$49)/(1-$G$42-$J$48),IF($G$40="four-stock",(E85-$G$49)/(1-$G$42),(E85-$G$49)*(1+$G$42))))</f>
        <v>1785.777353959174</v>
      </c>
    </row>
    <row r="86" ht="20" customHeight="1">
      <c r="C86" s="73" t="n">
        <f>IF($G$40="pons",80%+13*0.5%,IF(80.5%+13*0.5%&lt;=100%,80.5%+13*0.5%,""))</f>
        <v>0.865</v>
      </c>
      <c r="D86" s="76" t="n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  <v>53367346.93877551</v>
      </c>
      <c r="E86" s="82" t="n">
        <f>IF(D86="","",IF(ABS(C86-$G$43)&lt;0.000001,$G$49,$G$50/D86))</f>
        <v>1933.5564053537287</v>
      </c>
      <c r="F86" s="79" t="n">
        <f>IF(AND(ISNUMBER(D86),D86&gt;0,ISNUMBER(E86)),E86/D86,"")</f>
        <v>0.00003623107604678115</v>
      </c>
      <c r="G86" s="79" t="n">
        <f>IF(AND(ISNUMBER(F86),ISNUMBER($D$55)),F86*$D$55,"")</f>
        <v>0.000036245429236758905</v>
      </c>
      <c r="H86" s="82" t="n">
        <f>IF(ISNUMBER(F86),F86*$D$45,"")</f>
        <v>36231.07604678115</v>
      </c>
      <c r="I86" s="76" t="n">
        <f>IF(AND(ISNUMBER(H86),ISNUMBER($D$55)),H86*$D$55,"")</f>
        <v>36245.4292367589</v>
      </c>
      <c r="J86" s="82" t="n">
        <f>IF(D86="","",E86-E85)</f>
        <v>165.63682493414535</v>
      </c>
      <c r="K86" s="82" t="n">
        <f>IF(D86="","",IF(OR(OR($G$40="flap",$G$40="four-stock"),$G$40="pons"),L86-L85,J86*(1+$G$42)))</f>
        <v>167.30992417590414</v>
      </c>
      <c r="L86" s="88" t="n">
        <f>IF(D86="","",$J$41+IF($G$40="pons",($G$50/($G$48-MAX(0,(C86-$G$43)*$D$45))-$G$49)/(1-$G$42-$J$48),IF($G$40="four-stock",(E86-$G$49)/(1-$G$42),(E86-$G$49)*(1+$G$42))))</f>
        <v>1953.0872781350781</v>
      </c>
    </row>
    <row r="87" ht="20" customHeight="1">
      <c r="C87" s="73" t="n">
        <f>IF($G$40="pons",80%+14*0.5%,IF(80.5%+14*0.5%&lt;=100%,80.5%+14*0.5%,""))</f>
        <v>0.8700000000000001</v>
      </c>
      <c r="D87" s="76" t="n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  <v>48367346.938775405</v>
      </c>
      <c r="E87" s="82" t="n">
        <f>IF(D87="","",IF(ABS(C87-$G$43)&lt;0.000001,$G$49,$G$50/D87))</f>
        <v>2133.4388185654057</v>
      </c>
      <c r="F87" s="79" t="n">
        <f>IF(AND(ISNUMBER(D87),D87&gt;0,ISNUMBER(E87)),E87/D87,"")</f>
        <v>0.000044109072620128736</v>
      </c>
      <c r="G87" s="79" t="n">
        <f>IF(AND(ISNUMBER(F87),ISNUMBER($D$55)),F87*$D$55,"")</f>
        <v>0.00004412654673263486</v>
      </c>
      <c r="H87" s="82" t="n">
        <f>IF(ISNUMBER(F87),F87*$D$45,"")</f>
        <v>44109.07262012873</v>
      </c>
      <c r="I87" s="76" t="n">
        <f>IF(AND(ISNUMBER(H87),ISNUMBER($D$55)),H87*$D$55,"")</f>
        <v>44126.54673263485</v>
      </c>
      <c r="J87" s="82" t="n">
        <f>IF(D87="","",E87-E86)</f>
        <v>199.88241321167698</v>
      </c>
      <c r="K87" s="82" t="n">
        <f>IF(D87="","",IF(OR(OR($G$40="flap",$G$40="four-stock"),$G$40="pons"),L87-L86,J87*(1+$G$42)))</f>
        <v>201.90142748654125</v>
      </c>
      <c r="L87" s="88" t="n">
        <f>IF(D87="","",$J$41+IF($G$40="pons",($G$50/($G$48-MAX(0,(C87-$G$43)*$D$45))-$G$49)/(1-$G$42-$J$48),IF($G$40="four-stock",(E87-$G$49)/(1-$G$42),(E87-$G$49)*(1+$G$42))))</f>
        <v>2154.9887056216194</v>
      </c>
    </row>
    <row r="88" ht="20" customHeight="1">
      <c r="C88" s="73" t="n">
        <f>IF($G$40="pons",80%+15*0.5%,IF(80.5%+15*0.5%&lt;=100%,80.5%+15*0.5%,""))</f>
        <v>0.875</v>
      </c>
      <c r="D88" s="76" t="n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  <v>43367346.93877551</v>
      </c>
      <c r="E88" s="82" t="n">
        <f>IF(D88="","",IF(ABS(C88-$G$43)&lt;0.000001,$G$49,$G$50/D88))</f>
        <v>2379.4117647058824</v>
      </c>
      <c r="F88" s="79" t="n">
        <f>IF(AND(ISNUMBER(D88),D88&gt;0,ISNUMBER(E88)),E88/D88,"")</f>
        <v>0.000054866435986159176</v>
      </c>
      <c r="G88" s="79" t="n">
        <f>IF(AND(ISNUMBER(F88),ISNUMBER($D$55)),F88*$D$55,"")</f>
        <v>0.00005488817170215322</v>
      </c>
      <c r="H88" s="82" t="n">
        <f>IF(ISNUMBER(F88),F88*$D$45,"")</f>
        <v>54866.43598615917</v>
      </c>
      <c r="I88" s="76" t="n">
        <f>IF(AND(ISNUMBER(H88),ISNUMBER($D$55)),H88*$D$55,"")</f>
        <v>54888.171702153224</v>
      </c>
      <c r="J88" s="82" t="n">
        <f>IF(D88="","",E88-E87)</f>
        <v>245.97294614047678</v>
      </c>
      <c r="K88" s="82" t="n">
        <f>IF(D88="","",IF(OR(OR($G$40="flap",$G$40="four-stock"),$G$40="pons"),L88-L87,J88*(1+$G$42)))</f>
        <v>248.4575213540179</v>
      </c>
      <c r="L88" s="88" t="n">
        <f>IF(D88="","",$J$41+IF($G$40="pons",($G$50/($G$48-MAX(0,(C88-$G$43)*$D$45))-$G$49)/(1-$G$42-$J$48),IF($G$40="four-stock",(E88-$G$49)/(1-$G$42),(E88-$G$49)*(1+$G$42))))</f>
        <v>2403.4462269756373</v>
      </c>
    </row>
    <row r="89" ht="20" customHeight="1">
      <c r="C89" s="73" t="n">
        <f>IF($G$40="pons",80%+16*0.5%,IF(80.5%+16*0.5%&lt;=100%,80.5%+16*0.5%,""))</f>
        <v>0.88</v>
      </c>
      <c r="D89" s="76" t="n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  <v>38367346.93877551</v>
      </c>
      <c r="E89" s="82" t="n">
        <f>IF(D89="","",IF(ABS(C89-$G$43)&lt;0.000001,$G$49,$G$50/D89))</f>
        <v>2689.494680851064</v>
      </c>
      <c r="F89" s="79" t="n">
        <f>IF(AND(ISNUMBER(D89),D89&gt;0,ISNUMBER(E89)),E89/D89,"")</f>
        <v>0.00007009853157537347</v>
      </c>
      <c r="G89" s="79" t="n">
        <f>IF(AND(ISNUMBER(F89),ISNUMBER($D$55)),F89*$D$55,"")</f>
        <v>0.00007012630159080342</v>
      </c>
      <c r="H89" s="82" t="n">
        <f>IF(ISNUMBER(F89),F89*$D$45,"")</f>
        <v>70098.53157537348</v>
      </c>
      <c r="I89" s="76" t="n">
        <f>IF(AND(ISNUMBER(H89),ISNUMBER($D$55)),H89*$D$55,"")</f>
        <v>70126.30159080343</v>
      </c>
      <c r="J89" s="82" t="n">
        <f>IF(D89="","",E89-E88)</f>
        <v>310.08291614518157</v>
      </c>
      <c r="K89" s="82" t="n">
        <f>IF(D89="","",IF(OR(OR($G$40="flap",$G$40="four-stock"),$G$40="pons"),L89-L88,J89*(1+$G$42)))</f>
        <v>313.215066813314</v>
      </c>
      <c r="L89" s="88" t="n">
        <f>IF(D89="","",$J$41+IF($G$40="pons",($G$50/($G$48-MAX(0,(C89-$G$43)*$D$45))-$G$49)/(1-$G$42-$J$48),IF($G$40="four-stock",(E89-$G$49)/(1-$G$42),(E89-$G$49)*(1+$G$42))))</f>
        <v>2716.6612937889513</v>
      </c>
    </row>
    <row r="90" ht="20" customHeight="1">
      <c r="C90" s="73" t="n">
        <f>IF($G$40="pons",80%+17*0.5%,IF(80.5%+17*0.5%&lt;=100%,80.5%+17*0.5%,""))</f>
        <v>0.885</v>
      </c>
      <c r="D90" s="76" t="n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  <v>33367346.938775495</v>
      </c>
      <c r="E90" s="82" t="n">
        <f>IF(D90="","",IF(ABS(C90-$G$43)&lt;0.000001,$G$49,$G$50/D90))</f>
        <v>3092.5076452599405</v>
      </c>
      <c r="F90" s="79" t="n">
        <f>IF(AND(ISNUMBER(D90),D90&gt;0,ISNUMBER(E90)),E90/D90,"")</f>
        <v>0.00009268065725855483</v>
      </c>
      <c r="G90" s="79" t="n">
        <f>IF(AND(ISNUMBER(F90),ISNUMBER($D$55)),F90*$D$55,"")</f>
        <v>0.00009271737333839683</v>
      </c>
      <c r="H90" s="82" t="n">
        <f>IF(ISNUMBER(F90),F90*$D$45,"")</f>
        <v>92680.65725855483</v>
      </c>
      <c r="I90" s="76" t="n">
        <f>IF(AND(ISNUMBER(H90),ISNUMBER($D$55)),H90*$D$55,"")</f>
        <v>92717.37333839682</v>
      </c>
      <c r="J90" s="82" t="n">
        <f>IF(D90="","",E90-E89)</f>
        <v>403.01296440887654</v>
      </c>
      <c r="K90" s="82" t="n">
        <f>IF(D90="","",IF(OR(OR($G$40="flap",$G$40="four-stock"),$G$40="pons"),L90-L89,J90*(1+$G$42)))</f>
        <v>407.083802433207</v>
      </c>
      <c r="L90" s="88" t="n">
        <f>IF(D90="","",$J$41+IF($G$40="pons",($G$50/($G$48-MAX(0,(C90-$G$43)*$D$45))-$G$49)/(1-$G$42-$J$48),IF($G$40="four-stock",(E90-$G$49)/(1-$G$42),(E90-$G$49)*(1+$G$42))))</f>
        <v>3123.7450962221583</v>
      </c>
    </row>
    <row r="91" ht="20" customHeight="1">
      <c r="C91" s="73" t="n">
        <f>IF($G$40="pons",80%+18*0.5%,IF(80.5%+18*0.5%&lt;=100%,80.5%+18*0.5%,""))</f>
        <v>0.89</v>
      </c>
      <c r="D91" s="76" t="n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  <v>28367346.938775495</v>
      </c>
      <c r="E91" s="82" t="n">
        <f>IF(D91="","",IF(ABS(C91-$G$43)&lt;0.000001,$G$49,$G$50/D91))</f>
        <v>3637.5899280575563</v>
      </c>
      <c r="F91" s="79" t="n">
        <f>IF(AND(ISNUMBER(D91),D91&gt;0,ISNUMBER(E91)),E91/D91,"")</f>
        <v>0.0001282315873919571</v>
      </c>
      <c r="G91" s="79" t="n">
        <f>IF(AND(ISNUMBER(F91),ISNUMBER($D$55)),F91*$D$55,"")</f>
        <v>0.00012828238721729514</v>
      </c>
      <c r="H91" s="82" t="n">
        <f>IF(ISNUMBER(F91),F91*$D$45,"")</f>
        <v>128231.5873919571</v>
      </c>
      <c r="I91" s="76" t="n">
        <f>IF(AND(ISNUMBER(H91),ISNUMBER($D$55)),H91*$D$55,"")</f>
        <v>128282.38721729514</v>
      </c>
      <c r="J91" s="82" t="n">
        <f>IF(D91="","",E91-E90)</f>
        <v>545.0822827976158</v>
      </c>
      <c r="K91" s="82" t="n">
        <f>IF(D91="","",IF(OR(OR($G$40="flap",$G$40="four-stock"),$G$40="pons"),L91-L90,J91*(1+$G$42)))</f>
        <v>550.5881644420342</v>
      </c>
      <c r="L91" s="88" t="n">
        <f>IF(D91="","",$J$41+IF($G$40="pons",($G$50/($G$48-MAX(0,(C91-$G$43)*$D$45))-$G$49)/(1-$G$42-$J$48),IF($G$40="four-stock",(E91-$G$49)/(1-$G$42),(E91-$G$49)*(1+$G$42))))</f>
        <v>3674.3332606641925</v>
      </c>
    </row>
    <row r="92" ht="20" customHeight="1">
      <c r="C92" s="73" t="n">
        <f>IF($G$40="pons",80%+19*0.5%,IF(80.5%+19*0.5%&lt;=100%,80.5%+19*0.5%,""))</f>
        <v>0.895</v>
      </c>
      <c r="D92" s="76" t="n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  <v>23367346.938775495</v>
      </c>
      <c r="E92" s="82" t="n">
        <f>IF(D92="","",IF(ABS(C92-$G$43)&lt;0.000001,$G$49,$G$50/D92))</f>
        <v>4415.938864628824</v>
      </c>
      <c r="F92" s="79" t="n">
        <f>IF(AND(ISNUMBER(D92),D92&gt;0,ISNUMBER(E92)),E92/D92,"")</f>
        <v>0.00018897904311512012</v>
      </c>
      <c r="G92" s="79" t="n">
        <f>IF(AND(ISNUMBER(F92),ISNUMBER($D$55)),F92*$D$55,"")</f>
        <v>0.0001890539084628714</v>
      </c>
      <c r="H92" s="82" t="n">
        <f>IF(ISNUMBER(F92),F92*$D$45,"")</f>
        <v>188979.04311512012</v>
      </c>
      <c r="I92" s="76" t="n">
        <f>IF(AND(ISNUMBER(H92),ISNUMBER($D$55)),H92*$D$55,"")</f>
        <v>189053.9084628714</v>
      </c>
      <c r="J92" s="82" t="n">
        <f>IF(D92="","",E92-E91)</f>
        <v>778.348936571268</v>
      </c>
      <c r="K92" s="82" t="n">
        <f>IF(D92="","",IF(OR(OR($G$40="flap",$G$40="four-stock"),$G$40="pons"),L92-L91,J92*(1+$G$42)))</f>
        <v>786.211047041681</v>
      </c>
      <c r="L92" s="88" t="n">
        <f>IF(D92="","",$J$41+IF($G$40="pons",($G$50/($G$48-MAX(0,(C92-$G$43)*$D$45))-$G$49)/(1-$G$42-$J$48),IF($G$40="four-stock",(E92-$G$49)/(1-$G$42),(E92-$G$49)*(1+$G$42))))</f>
        <v>4460.5443077058735</v>
      </c>
    </row>
    <row r="93" ht="20" customHeight="1">
      <c r="C93" s="73" t="n">
        <f>IF($G$40="pons",80%+20*0.5%,IF(80.5%+20*0.5%&lt;=100%,80.5%+20*0.5%,""))</f>
        <v>0.9</v>
      </c>
      <c r="D93" s="76" t="n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  <v>18367346.938775495</v>
      </c>
      <c r="E93" s="82" t="n">
        <f>IF(D93="","",IF(ABS(C93-$G$43)&lt;0.000001,$G$49,$G$50/D93))</f>
        <v>5618.05555555556</v>
      </c>
      <c r="F93" s="79" t="n">
        <f>IF(AND(ISNUMBER(D93),D93&gt;0,ISNUMBER(E93)),E93/D93,"")</f>
        <v>0.0003058719135802474</v>
      </c>
      <c r="G93" s="79" t="n">
        <f>IF(AND(ISNUMBER(F93),ISNUMBER($D$55)),F93*$D$55,"")</f>
        <v>0.0003059930868426371</v>
      </c>
      <c r="H93" s="82" t="n">
        <f>IF(ISNUMBER(F93),F93*$D$45,"")</f>
        <v>305871.91358024743</v>
      </c>
      <c r="I93" s="76" t="n">
        <f>IF(AND(ISNUMBER(H93),ISNUMBER($D$55)),H93*$D$55,"")</f>
        <v>305993.0868426371</v>
      </c>
      <c r="J93" s="82" t="n">
        <f>IF(D93="","",E93-E92)</f>
        <v>1202.1166909267358</v>
      </c>
      <c r="K93" s="82" t="n">
        <f>IF(D93="","",IF(OR(OR($G$40="flap",$G$40="four-stock"),$G$40="pons"),L93-L92,J93*(1+$G$42)))</f>
        <v>1214.2592837643851</v>
      </c>
      <c r="L93" s="88" t="n">
        <f>IF(D93="","",$J$41+IF($G$40="pons",($G$50/($G$48-MAX(0,(C93-$G$43)*$D$45))-$G$49)/(1-$G$42-$J$48),IF($G$40="four-stock",(E93-$G$49)/(1-$G$42),(E93-$G$49)*(1+$G$42))))</f>
        <v>5674.803591470259</v>
      </c>
    </row>
    <row r="94" ht="20" customHeight="1">
      <c r="C94" s="73" t="n">
        <f>IF($G$40="pons",80%+21*0.5%,IF(80.5%+21*0.5%&lt;=100%,80.5%+21*0.5%,""))</f>
        <v>0.905</v>
      </c>
      <c r="D94" s="76" t="n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  <v>13367346.93877548</v>
      </c>
      <c r="E94" s="82" t="n">
        <f>IF(D94="","",IF(ABS(C94-$G$43)&lt;0.000001,$G$49,$G$50/D94))</f>
        <v>7719.46564885498</v>
      </c>
      <c r="F94" s="79" t="n">
        <f>IF(AND(ISNUMBER(D94),D94&gt;0,ISNUMBER(E94)),E94/D94,"")</f>
        <v>0.0005774867431967861</v>
      </c>
      <c r="G94" s="79" t="n">
        <f>IF(AND(ISNUMBER(F94),ISNUMBER($D$55)),F94*$D$55,"")</f>
        <v>0.0005777155185421287</v>
      </c>
      <c r="H94" s="82" t="n">
        <f>IF(ISNUMBER(F94),F94*$D$45,"")</f>
        <v>577486.7431967861</v>
      </c>
      <c r="I94" s="76" t="n">
        <f>IF(AND(ISNUMBER(H94),ISNUMBER($D$55)),H94*$D$55,"")</f>
        <v>577715.5185421288</v>
      </c>
      <c r="J94" s="82" t="n">
        <f>IF(D94="","",E94-E93)</f>
        <v>2101.4100932994197</v>
      </c>
      <c r="K94" s="82" t="n">
        <f>IF(D94="","",IF(OR(OR($G$40="flap",$G$40="four-stock"),$G$40="pons"),L94-L93,J94*(1+$G$42)))</f>
        <v>2122.6364578781886</v>
      </c>
      <c r="L94" s="88" t="n">
        <f>IF(D94="","",$J$41+IF($G$40="pons",($G$50/($G$48-MAX(0,(C94-$G$43)*$D$45))-$G$49)/(1-$G$42-$J$48),IF($G$40="four-stock",(E94-$G$49)/(1-$G$42),(E94-$G$49)*(1+$G$42))))</f>
        <v>7797.440049348447</v>
      </c>
    </row>
    <row r="95" ht="20" customHeight="1">
      <c r="C95" s="73" t="n">
        <f>IF($G$40="pons",80%+22*0.5%,IF(80.5%+22*0.5%&lt;=100%,80.5%+22*0.5%,""))</f>
        <v>0.91</v>
      </c>
      <c r="D95" s="76" t="n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  <v>8367346.93877548</v>
      </c>
      <c r="E95" s="82" t="n">
        <f>IF(D95="","",IF(ABS(C95-$G$43)&lt;0.000001,$G$49,$G$50/D95))</f>
        <v>12332.317073170778</v>
      </c>
      <c r="F95" s="79" t="n">
        <f>IF(AND(ISNUMBER(D95),D95&gt;0,ISNUMBER(E95)),E95/D95,"")</f>
        <v>0.0014738622843545616</v>
      </c>
      <c r="G95" s="79" t="n">
        <f>IF(AND(ISNUMBER(F95),ISNUMBER($D$55)),F95*$D$55,"")</f>
        <v>0.0014744461650359158</v>
      </c>
      <c r="H95" s="82" t="n">
        <f>IF(ISNUMBER(F95),F95*$D$45,"")</f>
        <v>1473862.2843545617</v>
      </c>
      <c r="I95" s="76" t="n">
        <f>IF(AND(ISNUMBER(H95),ISNUMBER($D$55)),H95*$D$55,"")</f>
        <v>1474446.1650359158</v>
      </c>
      <c r="J95" s="82" t="n">
        <f>IF(D95="","",E95-E94)</f>
        <v>4612.851424315798</v>
      </c>
      <c r="K95" s="82" t="n">
        <f>IF(D95="","",IF(OR(OR($G$40="flap",$G$40="four-stock"),$G$40="pons"),L95-L94,J95*(1+$G$42)))</f>
        <v>4659.445883147243</v>
      </c>
      <c r="L95" s="88" t="n">
        <f>IF(D95="","",$J$41+IF($G$40="pons",($G$50/($G$48-MAX(0,(C95-$G$43)*$D$45))-$G$49)/(1-$G$42-$J$48),IF($G$40="four-stock",(E95-$G$49)/(1-$G$42),(E95-$G$49)*(1+$G$42))))</f>
        <v>12456.88593249569</v>
      </c>
    </row>
    <row r="96" ht="20" customHeight="1">
      <c r="C96" s="73" t="n">
        <f>IF($G$40="pons",80%+23*0.5%,IF(80.5%+23*0.5%&lt;=100%,80.5%+23*0.5%,""))</f>
        <v>0.915</v>
      </c>
      <c r="D96" s="76" t="n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  <v>3367346.93877548</v>
      </c>
      <c r="E96" s="82" t="n">
        <f>IF(D96="","",IF(ABS(C96-$G$43)&lt;0.000001,$G$49,$G$50/D96))</f>
        <v>30643.939393939672</v>
      </c>
      <c r="F96" s="79" t="n">
        <f>IF(AND(ISNUMBER(D96),D96&gt;0,ISNUMBER(E96)),E96/D96,"")</f>
        <v>0.009100321395776106</v>
      </c>
      <c r="G96" s="79" t="n">
        <f>IF(AND(ISNUMBER(F96),ISNUMBER($D$55)),F96*$D$55,"")</f>
        <v>0.00910392655069018</v>
      </c>
      <c r="H96" s="82" t="n">
        <f>IF(ISNUMBER(F96),F96*$D$45,"")</f>
        <v>9100321.395776106</v>
      </c>
      <c r="I96" s="76" t="n">
        <f>IF(AND(ISNUMBER(H96),ISNUMBER($D$55)),H96*$D$55,"")</f>
        <v>9103926.550690178</v>
      </c>
      <c r="J96" s="82" t="n">
        <f>IF(D96="","",E96-E95)</f>
        <v>18311.622320768896</v>
      </c>
      <c r="K96" s="82" t="n">
        <f>IF(D96="","",IF(OR(OR($G$40="flap",$G$40="four-stock"),$G$40="pons"),L96-L95,J96*(1+$G$42)))</f>
        <v>18496.588202796633</v>
      </c>
      <c r="L96" s="88" t="n">
        <f>IF(D96="","",$J$41+IF($G$40="pons",($G$50/($G$48-MAX(0,(C96-$G$43)*$D$45))-$G$49)/(1-$G$42-$J$48),IF($G$40="four-stock",(E96-$G$49)/(1-$G$42),(E96-$G$49)*(1+$G$42))))</f>
        <v>30953.474135292323</v>
      </c>
    </row>
    <row r="97" ht="20" customHeight="1">
      <c r="C97" s="73" t="n">
        <f>IF($G$40="pons",80%+24*0.5%,IF(80.5%+24*0.5%&lt;=100%,80.5%+24*0.5%,""))</f>
        <v>0.92</v>
      </c>
      <c r="D97" s="76" t="str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 t="str">
        <f>IF(D97="","",IF(ABS(C97-$G$43)&lt;0.000001,$G$49,$G$50/D97))</f>
      </c>
      <c r="F97" s="79" t="str">
        <f>IF(AND(ISNUMBER(D97),D97&gt;0,ISNUMBER(E97)),E97/D97,"")</f>
      </c>
      <c r="G97" s="79" t="str">
        <f>IF(AND(ISNUMBER(F97),ISNUMBER($D$55)),F97*$D$55,"")</f>
      </c>
      <c r="H97" s="82" t="str">
        <f>IF(ISNUMBER(F97),F97*$D$45,"")</f>
      </c>
      <c r="I97" s="76" t="str">
        <f>IF(AND(ISNUMBER(H97),ISNUMBER($D$55)),H97*$D$55,"")</f>
      </c>
      <c r="J97" s="82" t="str">
        <f>IF(D97="","",E97-E96)</f>
      </c>
      <c r="K97" s="82" t="str">
        <f>IF(D97="","",IF(OR(OR($G$40="flap",$G$40="four-stock"),$G$40="pons"),L97-L96,J97*(1+$G$42)))</f>
      </c>
      <c r="L97" s="88" t="str">
        <f>IF(D97="","",$J$41+IF($G$40="pons",($G$50/($G$48-MAX(0,(C97-$G$43)*$D$45))-$G$49)/(1-$G$42-$J$48),IF($G$40="four-stock",(E97-$G$49)/(1-$G$42),(E97-$G$49)*(1+$G$42))))</f>
      </c>
    </row>
    <row r="98" ht="20" customHeight="1">
      <c r="C98" s="73" t="n">
        <f>IF($G$40="pons",80%+25*0.5%,IF(80.5%+25*0.5%&lt;=100%,80.5%+25*0.5%,""))</f>
        <v>0.925</v>
      </c>
      <c r="D98" s="76" t="str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 t="str">
        <f>IF(D98="","",IF(ABS(C98-$G$43)&lt;0.000001,$G$49,$G$50/D98))</f>
      </c>
      <c r="F98" s="79" t="str">
        <f>IF(AND(ISNUMBER(D98),D98&gt;0,ISNUMBER(E98)),E98/D98,"")</f>
      </c>
      <c r="G98" s="79" t="str">
        <f>IF(AND(ISNUMBER(F98),ISNUMBER($D$55)),F98*$D$55,"")</f>
      </c>
      <c r="H98" s="82" t="str">
        <f>IF(ISNUMBER(F98),F98*$D$45,"")</f>
      </c>
      <c r="I98" s="76" t="str">
        <f>IF(AND(ISNUMBER(H98),ISNUMBER($D$55)),H98*$D$55,"")</f>
      </c>
      <c r="J98" s="82" t="str">
        <f>IF(D98="","",E98-E97)</f>
      </c>
      <c r="K98" s="82" t="str">
        <f>IF(D98="","",IF(OR(OR($G$40="flap",$G$40="four-stock"),$G$40="pons"),L98-L97,J98*(1+$G$42)))</f>
      </c>
      <c r="L98" s="88" t="str">
        <f>IF(D98="","",$J$41+IF($G$40="pons",($G$50/($G$48-MAX(0,(C98-$G$43)*$D$45))-$G$49)/(1-$G$42-$J$48),IF($G$40="four-stock",(E98-$G$49)/(1-$G$42),(E98-$G$49)*(1+$G$42))))</f>
      </c>
    </row>
    <row r="99" ht="20" customHeight="1">
      <c r="C99" s="73" t="n">
        <f>IF($G$40="pons",80%+26*0.5%,IF(80.5%+26*0.5%&lt;=100%,80.5%+26*0.5%,""))</f>
        <v>0.93</v>
      </c>
      <c r="D99" s="76" t="str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 t="str">
        <f>IF(D99="","",IF(ABS(C99-$G$43)&lt;0.000001,$G$49,$G$50/D99))</f>
      </c>
      <c r="F99" s="79" t="str">
        <f>IF(AND(ISNUMBER(D99),D99&gt;0,ISNUMBER(E99)),E99/D99,"")</f>
      </c>
      <c r="G99" s="79" t="str">
        <f>IF(AND(ISNUMBER(F99),ISNUMBER($D$55)),F99*$D$55,"")</f>
      </c>
      <c r="H99" s="82" t="str">
        <f>IF(ISNUMBER(F99),F99*$D$45,"")</f>
      </c>
      <c r="I99" s="76" t="str">
        <f>IF(AND(ISNUMBER(H99),ISNUMBER($D$55)),H99*$D$55,"")</f>
      </c>
      <c r="J99" s="82" t="str">
        <f>IF(D99="","",E99-E98)</f>
      </c>
      <c r="K99" s="82" t="str">
        <f>IF(D99="","",IF(OR(OR($G$40="flap",$G$40="four-stock"),$G$40="pons"),L99-L98,J99*(1+$G$42)))</f>
      </c>
      <c r="L99" s="88" t="str">
        <f>IF(D99="","",$J$41+IF($G$40="pons",($G$50/($G$48-MAX(0,(C99-$G$43)*$D$45))-$G$49)/(1-$G$42-$J$48),IF($G$40="four-stock",(E99-$G$49)/(1-$G$42),(E99-$G$49)*(1+$G$42))))</f>
      </c>
    </row>
    <row r="100" ht="20" customHeight="1">
      <c r="C100" s="73" t="n">
        <f>IF($G$40="pons",80%+27*0.5%,IF(80.5%+27*0.5%&lt;=100%,80.5%+27*0.5%,""))</f>
        <v>0.935</v>
      </c>
      <c r="D100" s="76" t="str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 t="str">
        <f>IF(D100="","",IF(ABS(C100-$G$43)&lt;0.000001,$G$49,$G$50/D100))</f>
      </c>
      <c r="F100" s="79" t="str">
        <f>IF(AND(ISNUMBER(D100),D100&gt;0,ISNUMBER(E100)),E100/D100,"")</f>
      </c>
      <c r="G100" s="79" t="str">
        <f>IF(AND(ISNUMBER(F100),ISNUMBER($D$55)),F100*$D$55,"")</f>
      </c>
      <c r="H100" s="82" t="str">
        <f>IF(ISNUMBER(F100),F100*$D$45,"")</f>
      </c>
      <c r="I100" s="76" t="str">
        <f>IF(AND(ISNUMBER(H100),ISNUMBER($D$55)),H100*$D$55,"")</f>
      </c>
      <c r="J100" s="82" t="str">
        <f>IF(D100="","",E100-E99)</f>
      </c>
      <c r="K100" s="82" t="str">
        <f>IF(D100="","",IF(OR(OR($G$40="flap",$G$40="four-stock"),$G$40="pons"),L100-L99,J100*(1+$G$42)))</f>
      </c>
      <c r="L100" s="88" t="str">
        <f>IF(D100="","",$J$41+IF($G$40="pons",($G$50/($G$48-MAX(0,(C100-$G$43)*$D$45))-$G$49)/(1-$G$42-$J$48),IF($G$40="four-stock",(E100-$G$49)/(1-$G$42),(E100-$G$49)*(1+$G$42))))</f>
      </c>
    </row>
    <row r="101" ht="20" customHeight="1">
      <c r="C101" s="73" t="n">
        <f>IF($G$40="pons",80%+28*0.5%,IF(80.5%+28*0.5%&lt;=100%,80.5%+28*0.5%,""))</f>
        <v>0.9400000000000001</v>
      </c>
      <c r="D101" s="76" t="str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 t="str">
        <f>IF(D101="","",IF(ABS(C101-$G$43)&lt;0.000001,$G$49,$G$50/D101))</f>
      </c>
      <c r="F101" s="79" t="str">
        <f>IF(AND(ISNUMBER(D101),D101&gt;0,ISNUMBER(E101)),E101/D101,"")</f>
      </c>
      <c r="G101" s="79" t="str">
        <f>IF(AND(ISNUMBER(F101),ISNUMBER($D$55)),F101*$D$55,"")</f>
      </c>
      <c r="H101" s="82" t="str">
        <f>IF(ISNUMBER(F101),F101*$D$45,"")</f>
      </c>
      <c r="I101" s="76" t="str">
        <f>IF(AND(ISNUMBER(H101),ISNUMBER($D$55)),H101*$D$55,"")</f>
      </c>
      <c r="J101" s="82" t="str">
        <f>IF(D101="","",E101-E100)</f>
      </c>
      <c r="K101" s="82" t="str">
        <f>IF(D101="","",IF(OR(OR($G$40="flap",$G$40="four-stock"),$G$40="pons"),L101-L100,J101*(1+$G$42)))</f>
      </c>
      <c r="L101" s="88" t="str">
        <f>IF(D101="","",$J$41+IF($G$40="pons",($G$50/($G$48-MAX(0,(C101-$G$43)*$D$45))-$G$49)/(1-$G$42-$J$48),IF($G$40="four-stock",(E101-$G$49)/(1-$G$42),(E101-$G$49)*(1+$G$42))))</f>
      </c>
    </row>
    <row r="102" ht="20" customHeight="1">
      <c r="C102" s="73" t="n">
        <f>IF($G$40="pons",80%+29*0.5%,IF(80.5%+29*0.5%&lt;=100%,80.5%+29*0.5%,""))</f>
        <v>0.9450000000000001</v>
      </c>
      <c r="D102" s="76" t="str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 t="str">
        <f>IF(D102="","",IF(ABS(C102-$G$43)&lt;0.000001,$G$49,$G$50/D102))</f>
      </c>
      <c r="F102" s="79" t="str">
        <f>IF(AND(ISNUMBER(D102),D102&gt;0,ISNUMBER(E102)),E102/D102,"")</f>
      </c>
      <c r="G102" s="79" t="str">
        <f>IF(AND(ISNUMBER(F102),ISNUMBER($D$55)),F102*$D$55,"")</f>
      </c>
      <c r="H102" s="82" t="str">
        <f>IF(ISNUMBER(F102),F102*$D$45,"")</f>
      </c>
      <c r="I102" s="76" t="str">
        <f>IF(AND(ISNUMBER(H102),ISNUMBER($D$55)),H102*$D$55,"")</f>
      </c>
      <c r="J102" s="82" t="str">
        <f>IF(D102="","",E102-E101)</f>
      </c>
      <c r="K102" s="82" t="str">
        <f>IF(D102="","",IF(OR(OR($G$40="flap",$G$40="four-stock"),$G$40="pons"),L102-L101,J102*(1+$G$42)))</f>
      </c>
      <c r="L102" s="88" t="str">
        <f>IF(D102="","",$J$41+IF($G$40="pons",($G$50/($G$48-MAX(0,(C102-$G$43)*$D$45))-$G$49)/(1-$G$42-$J$48),IF($G$40="four-stock",(E102-$G$49)/(1-$G$42),(E102-$G$49)*(1+$G$42))))</f>
      </c>
    </row>
    <row r="103" ht="20" customHeight="1">
      <c r="C103" s="73" t="n">
        <f>IF($G$40="pons",80%+30*0.5%,IF(80.5%+30*0.5%&lt;=100%,80.5%+30*0.5%,""))</f>
        <v>0.9500000000000001</v>
      </c>
      <c r="D103" s="76" t="str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 t="str">
        <f>IF(D103="","",IF(ABS(C103-$G$43)&lt;0.000001,$G$49,$G$50/D103))</f>
      </c>
      <c r="F103" s="79" t="str">
        <f>IF(AND(ISNUMBER(D103),D103&gt;0,ISNUMBER(E103)),E103/D103,"")</f>
      </c>
      <c r="G103" s="79" t="str">
        <f>IF(AND(ISNUMBER(F103),ISNUMBER($D$55)),F103*$D$55,"")</f>
      </c>
      <c r="H103" s="82" t="str">
        <f>IF(ISNUMBER(F103),F103*$D$45,"")</f>
      </c>
      <c r="I103" s="76" t="str">
        <f>IF(AND(ISNUMBER(H103),ISNUMBER($D$55)),H103*$D$55,"")</f>
      </c>
      <c r="J103" s="82" t="str">
        <f>IF(D103="","",E103-E102)</f>
      </c>
      <c r="K103" s="82" t="str">
        <f>IF(D103="","",IF(OR(OR($G$40="flap",$G$40="four-stock"),$G$40="pons"),L103-L102,J103*(1+$G$42)))</f>
      </c>
      <c r="L103" s="88" t="str">
        <f>IF(D103="","",$J$41+IF($G$40="pons",($G$50/($G$48-MAX(0,(C103-$G$43)*$D$45))-$G$49)/(1-$G$42-$J$48),IF($G$40="four-stock",(E103-$G$49)/(1-$G$42),(E103-$G$49)*(1+$G$42))))</f>
      </c>
    </row>
    <row r="104" ht="20" customHeight="1">
      <c r="C104" s="73" t="n">
        <f>IF($G$40="pons",80%+31*0.5%,IF(80.5%+31*0.5%&lt;=100%,80.5%+31*0.5%,""))</f>
        <v>0.9550000000000001</v>
      </c>
      <c r="D104" s="76" t="str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 t="str">
        <f>IF(D104="","",IF(ABS(C104-$G$43)&lt;0.000001,$G$49,$G$50/D104))</f>
      </c>
      <c r="F104" s="79" t="str">
        <f>IF(AND(ISNUMBER(D104),D104&gt;0,ISNUMBER(E104)),E104/D104,"")</f>
      </c>
      <c r="G104" s="79" t="str">
        <f>IF(AND(ISNUMBER(F104),ISNUMBER($D$55)),F104*$D$55,"")</f>
      </c>
      <c r="H104" s="82" t="str">
        <f>IF(ISNUMBER(F104),F104*$D$45,"")</f>
      </c>
      <c r="I104" s="76" t="str">
        <f>IF(AND(ISNUMBER(H104),ISNUMBER($D$55)),H104*$D$55,"")</f>
      </c>
      <c r="J104" s="82" t="str">
        <f>IF(D104="","",E104-E103)</f>
      </c>
      <c r="K104" s="82" t="str">
        <f>IF(D104="","",IF(OR(OR($G$40="flap",$G$40="four-stock"),$G$40="pons"),L104-L103,J104*(1+$G$42)))</f>
      </c>
      <c r="L104" s="88" t="str">
        <f>IF(D104="","",$J$41+IF($G$40="pons",($G$50/($G$48-MAX(0,(C104-$G$43)*$D$45))-$G$49)/(1-$G$42-$J$48),IF($G$40="four-stock",(E104-$G$49)/(1-$G$42),(E104-$G$49)*(1+$G$42))))</f>
      </c>
    </row>
    <row r="105" ht="20" customHeight="1">
      <c r="C105" s="73" t="n">
        <f>IF($G$40="pons",80%+32*0.5%,IF(80.5%+32*0.5%&lt;=100%,80.5%+32*0.5%,""))</f>
        <v>0.9600000000000001</v>
      </c>
      <c r="D105" s="76" t="str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 t="str">
        <f>IF(D105="","",IF(ABS(C105-$G$43)&lt;0.000001,$G$49,$G$50/D105))</f>
      </c>
      <c r="F105" s="79" t="str">
        <f>IF(AND(ISNUMBER(D105),D105&gt;0,ISNUMBER(E105)),E105/D105,"")</f>
      </c>
      <c r="G105" s="79" t="str">
        <f>IF(AND(ISNUMBER(F105),ISNUMBER($D$55)),F105*$D$55,"")</f>
      </c>
      <c r="H105" s="82" t="str">
        <f>IF(ISNUMBER(F105),F105*$D$45,"")</f>
      </c>
      <c r="I105" s="76" t="str">
        <f>IF(AND(ISNUMBER(H105),ISNUMBER($D$55)),H105*$D$55,"")</f>
      </c>
      <c r="J105" s="82" t="str">
        <f>IF(D105="","",E105-E104)</f>
      </c>
      <c r="K105" s="82" t="str">
        <f>IF(D105="","",IF(OR(OR($G$40="flap",$G$40="four-stock"),$G$40="pons"),L105-L104,J105*(1+$G$42)))</f>
      </c>
      <c r="L105" s="88" t="str">
        <f>IF(D105="","",$J$41+IF($G$40="pons",($G$50/($G$48-MAX(0,(C105-$G$43)*$D$45))-$G$49)/(1-$G$42-$J$48),IF($G$40="four-stock",(E105-$G$49)/(1-$G$42),(E105-$G$49)*(1+$G$42))))</f>
      </c>
    </row>
    <row r="106" ht="20" customHeight="1">
      <c r="C106" s="73" t="n">
        <f>IF($G$40="pons",80%+33*0.5%,IF(80.5%+33*0.5%&lt;=100%,80.5%+33*0.5%,""))</f>
        <v>0.9650000000000001</v>
      </c>
      <c r="D106" s="76" t="str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 t="str">
        <f>IF(D106="","",IF(ABS(C106-$G$43)&lt;0.000001,$G$49,$G$50/D106))</f>
      </c>
      <c r="F106" s="79" t="str">
        <f>IF(AND(ISNUMBER(D106),D106&gt;0,ISNUMBER(E106)),E106/D106,"")</f>
      </c>
      <c r="G106" s="79" t="str">
        <f>IF(AND(ISNUMBER(F106),ISNUMBER($D$55)),F106*$D$55,"")</f>
      </c>
      <c r="H106" s="82" t="str">
        <f>IF(ISNUMBER(F106),F106*$D$45,"")</f>
      </c>
      <c r="I106" s="76" t="str">
        <f>IF(AND(ISNUMBER(H106),ISNUMBER($D$55)),H106*$D$55,"")</f>
      </c>
      <c r="J106" s="82" t="str">
        <f>IF(D106="","",E106-E105)</f>
      </c>
      <c r="K106" s="82" t="str">
        <f>IF(D106="","",IF(OR(OR($G$40="flap",$G$40="four-stock"),$G$40="pons"),L106-L105,J106*(1+$G$42)))</f>
      </c>
      <c r="L106" s="88" t="str">
        <f>IF(D106="","",$J$41+IF($G$40="pons",($G$50/($G$48-MAX(0,(C106-$G$43)*$D$45))-$G$49)/(1-$G$42-$J$48),IF($G$40="four-stock",(E106-$G$49)/(1-$G$42),(E106-$G$49)*(1+$G$42))))</f>
      </c>
    </row>
    <row r="107" ht="20" customHeight="1">
      <c r="C107" s="73" t="n">
        <f>IF($G$40="pons",80%+34*0.5%,IF(80.5%+34*0.5%&lt;=100%,80.5%+34*0.5%,""))</f>
        <v>0.9700000000000001</v>
      </c>
      <c r="D107" s="76" t="str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 t="str">
        <f>IF(D107="","",IF(ABS(C107-$G$43)&lt;0.000001,$G$49,$G$50/D107))</f>
      </c>
      <c r="F107" s="79" t="str">
        <f>IF(AND(ISNUMBER(D107),D107&gt;0,ISNUMBER(E107)),E107/D107,"")</f>
      </c>
      <c r="G107" s="79" t="str">
        <f>IF(AND(ISNUMBER(F107),ISNUMBER($D$55)),F107*$D$55,"")</f>
      </c>
      <c r="H107" s="82" t="str">
        <f>IF(ISNUMBER(F107),F107*$D$45,"")</f>
      </c>
      <c r="I107" s="76" t="str">
        <f>IF(AND(ISNUMBER(H107),ISNUMBER($D$55)),H107*$D$55,"")</f>
      </c>
      <c r="J107" s="82" t="str">
        <f>IF(D107="","",E107-E106)</f>
      </c>
      <c r="K107" s="82" t="str">
        <f>IF(D107="","",IF(OR(OR($G$40="flap",$G$40="four-stock"),$G$40="pons"),L107-L106,J107*(1+$G$42)))</f>
      </c>
      <c r="L107" s="88" t="str">
        <f>IF(D107="","",$J$41+IF($G$40="pons",($G$50/($G$48-MAX(0,(C107-$G$43)*$D$45))-$G$49)/(1-$G$42-$J$48),IF($G$40="four-stock",(E107-$G$49)/(1-$G$42),(E107-$G$49)*(1+$G$42))))</f>
      </c>
    </row>
    <row r="108" ht="20" customHeight="1">
      <c r="C108" s="73" t="n">
        <f>IF($G$40="pons",80%+35*0.5%,IF(80.5%+35*0.5%&lt;=100%,80.5%+35*0.5%,""))</f>
        <v>0.9750000000000001</v>
      </c>
      <c r="D108" s="76" t="str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 t="str">
        <f>IF(D108="","",IF(ABS(C108-$G$43)&lt;0.000001,$G$49,$G$50/D108))</f>
      </c>
      <c r="F108" s="79" t="str">
        <f>IF(AND(ISNUMBER(D108),D108&gt;0,ISNUMBER(E108)),E108/D108,"")</f>
      </c>
      <c r="G108" s="79" t="str">
        <f>IF(AND(ISNUMBER(F108),ISNUMBER($D$55)),F108*$D$55,"")</f>
      </c>
      <c r="H108" s="82" t="str">
        <f>IF(ISNUMBER(F108),F108*$D$45,"")</f>
      </c>
      <c r="I108" s="76" t="str">
        <f>IF(AND(ISNUMBER(H108),ISNUMBER($D$55)),H108*$D$55,"")</f>
      </c>
      <c r="J108" s="82" t="str">
        <f>IF(D108="","",E108-E107)</f>
      </c>
      <c r="K108" s="82" t="str">
        <f>IF(D108="","",IF(OR(OR($G$40="flap",$G$40="four-stock"),$G$40="pons"),L108-L107,J108*(1+$G$42)))</f>
      </c>
      <c r="L108" s="88" t="str">
        <f>IF(D108="","",$J$41+IF($G$40="pons",($G$50/($G$48-MAX(0,(C108-$G$43)*$D$45))-$G$49)/(1-$G$42-$J$48),IF($G$40="four-stock",(E108-$G$49)/(1-$G$42),(E108-$G$49)*(1+$G$42))))</f>
      </c>
    </row>
    <row r="109" ht="20" customHeight="1">
      <c r="C109" s="73" t="n">
        <f>IF($G$40="pons",80%+36*0.5%,IF(80.5%+36*0.5%&lt;=100%,80.5%+36*0.5%,""))</f>
        <v>0.98</v>
      </c>
      <c r="D109" s="76" t="str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 t="str">
        <f>IF(D109="","",IF(ABS(C109-$G$43)&lt;0.000001,$G$49,$G$50/D109))</f>
      </c>
      <c r="F109" s="79" t="str">
        <f>IF(AND(ISNUMBER(D109),D109&gt;0,ISNUMBER(E109)),E109/D109,"")</f>
      </c>
      <c r="G109" s="79" t="str">
        <f>IF(AND(ISNUMBER(F109),ISNUMBER($D$55)),F109*$D$55,"")</f>
      </c>
      <c r="H109" s="82" t="str">
        <f>IF(ISNUMBER(F109),F109*$D$45,"")</f>
      </c>
      <c r="I109" s="76" t="str">
        <f>IF(AND(ISNUMBER(H109),ISNUMBER($D$55)),H109*$D$55,"")</f>
      </c>
      <c r="J109" s="82" t="str">
        <f>IF(D109="","",E109-E108)</f>
      </c>
      <c r="K109" s="82" t="str">
        <f>IF(D109="","",IF(OR(OR($G$40="flap",$G$40="four-stock"),$G$40="pons"),L109-L108,J109*(1+$G$42)))</f>
      </c>
      <c r="L109" s="88" t="str">
        <f>IF(D109="","",$J$41+IF($G$40="pons",($G$50/($G$48-MAX(0,(C109-$G$43)*$D$45))-$G$49)/(1-$G$42-$J$48),IF($G$40="four-stock",(E109-$G$49)/(1-$G$42),(E109-$G$49)*(1+$G$42))))</f>
      </c>
    </row>
    <row r="110" ht="20" customHeight="1">
      <c r="C110" s="73" t="n">
        <f>IF($G$40="pons",80%+37*0.5%,IF(80.5%+37*0.5%&lt;=100%,80.5%+37*0.5%,""))</f>
        <v>0.9850000000000001</v>
      </c>
      <c r="D110" s="76" t="str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 t="str">
        <f>IF(D110="","",IF(ABS(C110-$G$43)&lt;0.000001,$G$49,$G$50/D110))</f>
      </c>
      <c r="F110" s="79" t="str">
        <f>IF(AND(ISNUMBER(D110),D110&gt;0,ISNUMBER(E110)),E110/D110,"")</f>
      </c>
      <c r="G110" s="79" t="str">
        <f>IF(AND(ISNUMBER(F110),ISNUMBER($D$55)),F110*$D$55,"")</f>
      </c>
      <c r="H110" s="82" t="str">
        <f>IF(ISNUMBER(F110),F110*$D$45,"")</f>
      </c>
      <c r="I110" s="76" t="str">
        <f>IF(AND(ISNUMBER(H110),ISNUMBER($D$55)),H110*$D$55,"")</f>
      </c>
      <c r="J110" s="82" t="str">
        <f>IF(D110="","",E110-E109)</f>
      </c>
      <c r="K110" s="82" t="str">
        <f>IF(D110="","",IF(OR(OR($G$40="flap",$G$40="four-stock"),$G$40="pons"),L110-L109,J110*(1+$G$42)))</f>
      </c>
      <c r="L110" s="88" t="str">
        <f>IF(D110="","",$J$41+IF($G$40="pons",($G$50/($G$48-MAX(0,(C110-$G$43)*$D$45))-$G$49)/(1-$G$42-$J$48),IF($G$40="four-stock",(E110-$G$49)/(1-$G$42),(E110-$G$49)*(1+$G$42))))</f>
      </c>
    </row>
    <row r="111" ht="20" customHeight="1">
      <c r="C111" s="73" t="n">
        <f>IF($G$40="pons",80%+38*0.5%,IF(80.5%+38*0.5%&lt;=100%,80.5%+38*0.5%,""))</f>
        <v>0.99</v>
      </c>
      <c r="D111" s="76" t="str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 t="str">
        <f>IF(D111="","",IF(ABS(C111-$G$43)&lt;0.000001,$G$49,$G$50/D111))</f>
      </c>
      <c r="F111" s="79" t="str">
        <f>IF(AND(ISNUMBER(D111),D111&gt;0,ISNUMBER(E111)),E111/D111,"")</f>
      </c>
      <c r="G111" s="79" t="str">
        <f>IF(AND(ISNUMBER(F111),ISNUMBER($D$55)),F111*$D$55,"")</f>
      </c>
      <c r="H111" s="82" t="str">
        <f>IF(ISNUMBER(F111),F111*$D$45,"")</f>
      </c>
      <c r="I111" s="76" t="str">
        <f>IF(AND(ISNUMBER(H111),ISNUMBER($D$55)),H111*$D$55,"")</f>
      </c>
      <c r="J111" s="82" t="str">
        <f>IF(D111="","",E111-E110)</f>
      </c>
      <c r="K111" s="82" t="str">
        <f>IF(D111="","",IF(OR(OR($G$40="flap",$G$40="four-stock"),$G$40="pons"),L111-L110,J111*(1+$G$42)))</f>
      </c>
      <c r="L111" s="88" t="str">
        <f>IF(D111="","",$J$41+IF($G$40="pons",($G$50/($G$48-MAX(0,(C111-$G$43)*$D$45))-$G$49)/(1-$G$42-$J$48),IF($G$40="four-stock",(E111-$G$49)/(1-$G$42),(E111-$G$49)*(1+$G$42))))</f>
      </c>
    </row>
    <row r="112" ht="20" customHeight="1">
      <c r="C112" s="73" t="n">
        <f>IF($G$40="pons",80%+39*0.5%,IF(80.5%+39*0.5%&lt;=100%,80.5%+39*0.5%,""))</f>
        <v>0.9950000000000001</v>
      </c>
      <c r="D112" s="76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 t="str">
        <f>IF(D112="","",IF(ABS(C112-$G$43)&lt;0.000001,$G$49,$G$50/D112))</f>
      </c>
      <c r="F112" s="79" t="str">
        <f>IF(AND(ISNUMBER(D112),D112&gt;0,ISNUMBER(E112)),E112/D112,"")</f>
      </c>
      <c r="G112" s="79" t="str">
        <f>IF(AND(ISNUMBER(F112),ISNUMBER($D$55)),F112*$D$55,"")</f>
      </c>
      <c r="H112" s="82" t="str">
        <f>IF(ISNUMBER(F112),F112*$D$45,"")</f>
      </c>
      <c r="I112" s="76" t="str">
        <f>IF(AND(ISNUMBER(H112),ISNUMBER($D$55)),H112*$D$55,"")</f>
      </c>
      <c r="J112" s="82" t="str">
        <f>IF(D112="","",E112-E111)</f>
      </c>
      <c r="K112" s="82" t="str">
        <f>IF(D112="","",IF(OR(OR($G$40="flap",$G$40="four-stock"),$G$40="pons"),L112-L111,J112*(1+$G$42)))</f>
      </c>
      <c r="L112" s="88" t="str">
        <f>IF(D112="","",$J$41+IF($G$40="pons",($G$50/($G$48-MAX(0,(C112-$G$43)*$D$45))-$G$49)/(1-$G$42-$J$48),IF($G$40="four-stock",(E112-$G$49)/(1-$G$42),(E112-$G$49)*(1+$G$42))))</f>
      </c>
    </row>
    <row r="113" ht="20" customHeight="1">
      <c r="C113" s="74" t="n">
        <f>IF($G$40="pons",80%+40*0.5%,IF(80.5%+40*0.5%&lt;=100%,80.5%+40*0.5%,""))</f>
        <v>1</v>
      </c>
      <c r="D113" s="77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 t="str">
        <f>IF(D113="","",IF(ABS(C113-$G$43)&lt;0.000001,$G$49,$G$50/D113))</f>
      </c>
      <c r="F113" s="80" t="str">
        <f>IF(AND(ISNUMBER(D113),D113&gt;0,ISNUMBER(E113)),E113/D113,"")</f>
      </c>
      <c r="G113" s="80" t="str">
        <f>IF(AND(ISNUMBER(F113),ISNUMBER($D$55)),F113*$D$55,"")</f>
      </c>
      <c r="H113" s="83" t="str">
        <f>IF(ISNUMBER(F113),F113*$D$45,"")</f>
      </c>
      <c r="I113" s="77" t="str">
        <f>IF(AND(ISNUMBER(H113),ISNUMBER($D$55)),H113*$D$55,"")</f>
      </c>
      <c r="J113" s="83" t="str">
        <f>IF(D113="","",E113-E112)</f>
      </c>
      <c r="K113" s="83" t="str">
        <f>IF(D113="","",IF(OR(OR($G$40="flap",$G$40="four-stock"),$G$40="pons"),L113-L112,J113*(1+$G$42)))</f>
      </c>
      <c r="L113" s="89" t="str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 t="n">
        <f>IF($G$40="pons",$G$43,80%)</f>
        <v>0.7142857142857143</v>
      </c>
      <c r="D118" s="75" t="n">
        <f>IF($G$40="four-stock",$G$48+($G$43-C118)*$D$45*(1-$J$47),IF($G$40="pons",$D$45*(1-C118)-$G$51,IF(ABS(C118-$G$43)&lt;0.000001,$G$48,$D$45*(1-C118))))</f>
        <v>204081632.65306118</v>
      </c>
      <c r="E118" s="81" t="n">
        <f>IF($G$40="four-stock",$G$49-$G$49*(($G$43-C118)*$D$45*(1-$J$47)*(1-$G$42))/($G$48+(($G$43-C118)*$D$45*(1-$J$47)*(1-$G$42))),IF(ABS(C118-$G$43)&lt;0.000001,$G$49,$G$50/D118))</f>
        <v>505.625</v>
      </c>
      <c r="F118" s="78" t="n">
        <f>IF(AND(ISNUMBER(D118),D118&gt;0,ISNUMBER(E118)),E118/D118,"")</f>
        <v>0.0000024775625000000006</v>
      </c>
      <c r="G118" s="78" t="n">
        <f>IF(AND(ISNUMBER(F118),ISNUMBER($D$55)),F118*$D$55,"")</f>
        <v>0.0000024785440034253568</v>
      </c>
      <c r="H118" s="81" t="n">
        <f>IF(ISNUMBER(F118),F118*$D$45,"")</f>
        <v>2477.5625000000005</v>
      </c>
      <c r="I118" s="75" t="n">
        <f>IF(AND(ISNUMBER(H118),ISNUMBER($D$55)),H118*$D$55,"")</f>
        <v>2478.5440034253565</v>
      </c>
      <c r="J118" s="72" t="n">
        <f>IF(H$118&gt;0,1-H118/H$118,"")</f>
        <v>0</v>
      </c>
      <c r="K118" s="81" t="str"/>
      <c r="L118" s="81" t="str"/>
    </row>
    <row r="119" ht="20" customHeight="1">
      <c r="C119" s="73" t="n">
        <f>0.7</f>
        <v>0.7</v>
      </c>
      <c r="D119" s="76" t="n">
        <f>IF($G$40="four-stock",$G$48+($G$43-C119)*$D$45*(1-$J$47),IF($G$40="pons",$D$45*(1-C119)-$G$51,IF(ABS(C119-$G$43)&lt;0.000001,$G$48,$D$45*(1-C119))))</f>
        <v>218367346.93877557</v>
      </c>
      <c r="E119" s="82" t="n">
        <f>IF($G$40="four-stock",$G$49-$G$49*(($G$43-C119)*$D$45*(1-$J$47)*(1-$G$42))/($G$48+(($G$43-C119)*$D$45*(1-$J$47)*(1-$G$42))),IF(ABS(C119-$G$43)&lt;0.000001,$G$49,$G$50/D119))</f>
        <v>472.5467289719625</v>
      </c>
      <c r="F119" s="79" t="n">
        <f>IF(AND(ISNUMBER(D119),D119&gt;0,ISNUMBER(E119)),E119/D119,"")</f>
        <v>0.0000021639990392173977</v>
      </c>
      <c r="G119" s="79" t="n">
        <f>IF(AND(ISNUMBER(F119),ISNUMBER($D$55)),F119*$D$55,"")</f>
        <v>0.000002164856322321037</v>
      </c>
      <c r="H119" s="82" t="n">
        <f>IF(ISNUMBER(F119),F119*$D$45,"")</f>
        <v>2163.9990392173977</v>
      </c>
      <c r="I119" s="76" t="n">
        <f>IF(AND(ISNUMBER(H119),ISNUMBER($D$55)),H119*$D$55,"")</f>
        <v>2164.8563223210367</v>
      </c>
      <c r="J119" s="73" t="n">
        <f>IF(H$118&gt;0,1-H119/H$118,"")</f>
        <v>0.126561271726789</v>
      </c>
      <c r="K119" s="82" t="str"/>
      <c r="L119" s="82" t="str"/>
    </row>
    <row r="120" ht="20" customHeight="1">
      <c r="C120" s="73" t="n">
        <f>0.6</f>
        <v>0.6</v>
      </c>
      <c r="D120" s="76" t="n">
        <f>IF($G$40="four-stock",$G$48+($G$43-C120)*$D$45*(1-$J$47),IF($G$40="pons",$D$45*(1-C120)-$G$51,IF(ABS(C120-$G$43)&lt;0.000001,$G$48,$D$45*(1-C120))))</f>
        <v>318367346.93877554</v>
      </c>
      <c r="E120" s="82" t="n">
        <f>IF($G$40="four-stock",$G$49-$G$49*(($G$43-C120)*$D$45*(1-$J$47)*(1-$G$42))/($G$48+(($G$43-C120)*$D$45*(1-$J$47)*(1-$G$42))),IF(ABS(C120-$G$43)&lt;0.000001,$G$49,$G$50/D120))</f>
        <v>324.1185897435897</v>
      </c>
      <c r="F120" s="79" t="n">
        <f>IF(AND(ISNUMBER(D120),D120&gt;0,ISNUMBER(E120)),E120/D120,"")</f>
        <v>0.0000010180648011176856</v>
      </c>
      <c r="G120" s="79" t="n">
        <f>IF(AND(ISNUMBER(F120),ISNUMBER($D$55)),F120*$D$55,"")</f>
        <v>0.000001018468114491024</v>
      </c>
      <c r="H120" s="82" t="n">
        <f>IF(ISNUMBER(F120),F120*$D$45,"")</f>
        <v>1018.0648011176856</v>
      </c>
      <c r="I120" s="76" t="n">
        <f>IF(AND(ISNUMBER(H120),ISNUMBER($D$55)),H120*$D$55,"")</f>
        <v>1018.468114491024</v>
      </c>
      <c r="J120" s="73" t="n">
        <f>IF(H$118&gt;0,1-H120/H$118,"")</f>
        <v>0.5890861275476661</v>
      </c>
      <c r="K120" s="82" t="str"/>
      <c r="L120" s="82" t="str"/>
    </row>
    <row r="121" ht="20" customHeight="1">
      <c r="C121" s="73" t="n">
        <f>0.5</f>
        <v>0.5</v>
      </c>
      <c r="D121" s="76" t="n">
        <f>IF($G$40="four-stock",$G$48+($G$43-C121)*$D$45*(1-$J$47),IF($G$40="pons",$D$45*(1-C121)-$G$51,IF(ABS(C121-$G$43)&lt;0.000001,$G$48,$D$45*(1-C121))))</f>
        <v>418367346.93877554</v>
      </c>
      <c r="E121" s="82" t="n">
        <f>IF($G$40="four-stock",$G$49-$G$49*(($G$43-C121)*$D$45*(1-$J$47)*(1-$G$42))/($G$48+(($G$43-C121)*$D$45*(1-$J$47)*(1-$G$42))),IF(ABS(C121-$G$43)&lt;0.000001,$G$49,$G$50/D121))</f>
        <v>246.64634146341461</v>
      </c>
      <c r="F121" s="79" t="n">
        <f>IF(AND(ISNUMBER(D121),D121&gt;0,ISNUMBER(E121)),E121/D121,"")</f>
        <v>5.895449137418202e-7</v>
      </c>
      <c r="G121" s="79" t="n">
        <f>IF(AND(ISNUMBER(F121),ISNUMBER($D$55)),F121*$D$55,"")</f>
        <v>5.897784660143618e-7</v>
      </c>
      <c r="H121" s="82" t="n">
        <f>IF(ISNUMBER(F121),F121*$D$45,"")</f>
        <v>589.5449137418202</v>
      </c>
      <c r="I121" s="76" t="n">
        <f>IF(AND(ISNUMBER(H121),ISNUMBER($D$55)),H121*$D$55,"")</f>
        <v>589.7784660143618</v>
      </c>
      <c r="J121" s="73" t="n">
        <f>IF(H$118&gt;0,1-H121/H$118,"")</f>
        <v>0.7620464009518145</v>
      </c>
      <c r="K121" s="82" t="str"/>
      <c r="L121" s="82" t="str"/>
    </row>
    <row r="122" ht="20" customHeight="1">
      <c r="C122" s="73" t="n">
        <f>0.4</f>
        <v>0.4</v>
      </c>
      <c r="D122" s="76" t="n">
        <f>IF($G$40="four-stock",$G$48+($G$43-C122)*$D$45*(1-$J$47),IF($G$40="pons",$D$45*(1-C122)-$G$51,IF(ABS(C122-$G$43)&lt;0.000001,$G$48,$D$45*(1-C122))))</f>
        <v>518367346.93877554</v>
      </c>
      <c r="E122" s="82" t="n">
        <f>IF($G$40="four-stock",$G$49-$G$49*(($G$43-C122)*$D$45*(1-$J$47)*(1-$G$42))/($G$48+(($G$43-C122)*$D$45*(1-$J$47)*(1-$G$42))),IF(ABS(C122-$G$43)&lt;0.000001,$G$49,$G$50/D122))</f>
        <v>199.06496062992125</v>
      </c>
      <c r="F122" s="79" t="n">
        <f>IF(AND(ISNUMBER(D122),D122&gt;0,ISNUMBER(E122)),E122/D122,"")</f>
        <v>3.8402295554591103e-7</v>
      </c>
      <c r="G122" s="79" t="n">
        <f>IF(AND(ISNUMBER(F122),ISNUMBER($D$55)),F122*$D$55,"")</f>
        <v>3.8417508888110793e-7</v>
      </c>
      <c r="H122" s="82" t="n">
        <f>IF(ISNUMBER(F122),F122*$D$45,"")</f>
        <v>384.02295554591103</v>
      </c>
      <c r="I122" s="76" t="n">
        <f>IF(AND(ISNUMBER(H122),ISNUMBER($D$55)),H122*$D$55,"")</f>
        <v>384.1750888811079</v>
      </c>
      <c r="J122" s="73" t="n">
        <f>IF(H$118&gt;0,1-H122/H$118,"")</f>
        <v>0.84499968999938</v>
      </c>
      <c r="K122" s="82" t="str"/>
      <c r="L122" s="82" t="str"/>
    </row>
    <row r="123" ht="20" customHeight="1">
      <c r="C123" s="73" t="n">
        <f>0.3</f>
        <v>0.3</v>
      </c>
      <c r="D123" s="76" t="n">
        <f>IF($G$40="four-stock",$G$48+($G$43-C123)*$D$45*(1-$J$47),IF($G$40="pons",$D$45*(1-C123)-$G$51,IF(ABS(C123-$G$43)&lt;0.000001,$G$48,$D$45*(1-C123))))</f>
        <v>618367346.9387755</v>
      </c>
      <c r="E123" s="82" t="n">
        <f>IF($G$40="four-stock",$G$49-$G$49*(($G$43-C123)*$D$45*(1-$J$47)*(1-$G$42))/($G$48+(($G$43-C123)*$D$45*(1-$J$47)*(1-$G$42))),IF(ABS(C123-$G$43)&lt;0.000001,$G$49,$G$50/D123))</f>
        <v>166.87293729372936</v>
      </c>
      <c r="F123" s="79" t="n">
        <f>IF(AND(ISNUMBER(D123),D123&gt;0,ISNUMBER(E123)),E123/D123,"")</f>
        <v>2.6986052565652603e-7</v>
      </c>
      <c r="G123" s="79" t="n">
        <f>IF(AND(ISNUMBER(F123),ISNUMBER($D$55)),F123*$D$55,"")</f>
        <v>2.699674327598989e-7</v>
      </c>
      <c r="H123" s="82" t="n">
        <f>IF(ISNUMBER(F123),F123*$D$45,"")</f>
        <v>269.860525656526</v>
      </c>
      <c r="I123" s="76" t="n">
        <f>IF(AND(ISNUMBER(H123),ISNUMBER($D$55)),H123*$D$55,"")</f>
        <v>269.96743275989894</v>
      </c>
      <c r="J123" s="73" t="n">
        <f>IF(H$118&gt;0,1-H123/H$118,"")</f>
        <v>0.8910782167325644</v>
      </c>
      <c r="K123" s="82" t="str"/>
      <c r="L123" s="82" t="str"/>
    </row>
    <row r="124" ht="20" customHeight="1">
      <c r="C124" s="73" t="n">
        <f>0.2</f>
        <v>0.2</v>
      </c>
      <c r="D124" s="76" t="n">
        <f>IF($G$40="four-stock",$G$48+($G$43-C124)*$D$45*(1-$J$47),IF($G$40="pons",$D$45*(1-C124)-$G$51,IF(ABS(C124-$G$43)&lt;0.000001,$G$48,$D$45*(1-C124))))</f>
        <v>718367346.9387755</v>
      </c>
      <c r="E124" s="82" t="n">
        <f>IF($G$40="four-stock",$G$49-$G$49*(($G$43-C124)*$D$45*(1-$J$47)*(1-$G$42))/($G$48+(($G$43-C124)*$D$45*(1-$J$47)*(1-$G$42))),IF(ABS(C124-$G$43)&lt;0.000001,$G$49,$G$50/D124))</f>
        <v>143.6434659090909</v>
      </c>
      <c r="F124" s="79" t="n">
        <f>IF(AND(ISNUMBER(D124),D124&gt;0,ISNUMBER(E124)),E124/D124,"")</f>
        <v>1.9995823379390494e-7</v>
      </c>
      <c r="G124" s="79" t="n">
        <f>IF(AND(ISNUMBER(F124),ISNUMBER($D$55)),F124*$D$55,"")</f>
        <v>2.0003744862355986e-7</v>
      </c>
      <c r="H124" s="82" t="n">
        <f>IF(ISNUMBER(F124),F124*$D$45,"")</f>
        <v>199.95823379390495</v>
      </c>
      <c r="I124" s="76" t="n">
        <f>IF(AND(ISNUMBER(H124),ISNUMBER($D$55)),H124*$D$55,"")</f>
        <v>200.03744862355987</v>
      </c>
      <c r="J124" s="73" t="n">
        <f>IF(H$118&gt;0,1-H124/H$118,"")</f>
        <v>0.9192923553719008</v>
      </c>
      <c r="K124" s="82" t="str"/>
      <c r="L124" s="82" t="str"/>
    </row>
    <row r="125" ht="20" customHeight="1">
      <c r="C125" s="73" t="n">
        <f>0.1</f>
        <v>0.1</v>
      </c>
      <c r="D125" s="76" t="n">
        <f>IF($G$40="four-stock",$G$48+($G$43-C125)*$D$45*(1-$J$47),IF($G$40="pons",$D$45*(1-C125)-$G$51,IF(ABS(C125-$G$43)&lt;0.000001,$G$48,$D$45*(1-C125))))</f>
        <v>818367346.9387755</v>
      </c>
      <c r="E125" s="82" t="n">
        <f>IF($G$40="four-stock",$G$49-$G$49*(($G$43-C125)*$D$45*(1-$J$47)*(1-$G$42))/($G$48+(($G$43-C125)*$D$45*(1-$J$47)*(1-$G$42))),IF(ABS(C125-$G$43)&lt;0.000001,$G$49,$G$50/D125))</f>
        <v>126.09102244389028</v>
      </c>
      <c r="F125" s="79" t="n">
        <f>IF(AND(ISNUMBER(D125),D125&gt;0,ISNUMBER(E125)),E125/D125,"")</f>
        <v>1.5407631171447938e-7</v>
      </c>
      <c r="G125" s="79" t="n">
        <f>IF(AND(ISNUMBER(F125),ISNUMBER($D$55)),F125*$D$55,"")</f>
        <v>1.54137350105121e-7</v>
      </c>
      <c r="H125" s="82" t="n">
        <f>IF(ISNUMBER(F125),F125*$D$45,"")</f>
        <v>154.07631171447937</v>
      </c>
      <c r="I125" s="76" t="n">
        <f>IF(AND(ISNUMBER(H125),ISNUMBER($D$55)),H125*$D$55,"")</f>
        <v>154.137350105121</v>
      </c>
      <c r="J125" s="73" t="n">
        <f>IF(H$118&gt;0,1-H125/H$118,"")</f>
        <v>0.9378113320190795</v>
      </c>
      <c r="K125" s="82" t="str"/>
      <c r="L125" s="82" t="str"/>
    </row>
    <row r="126" ht="20" customHeight="1">
      <c r="C126" s="74" t="n">
        <f>0</f>
        <v>0</v>
      </c>
      <c r="D126" s="77" t="n">
        <f>IF($G$40="four-stock",$G$48+($G$43-C126)*$D$45*(1-$J$47),IF($G$40="pons",$D$45*(1-C126)-$G$51,IF(ABS(C126-$G$43)&lt;0.000001,$G$48,$D$45*(1-C126))))</f>
        <v>918367346.9387755</v>
      </c>
      <c r="E126" s="83" t="n">
        <f>IF($G$40="four-stock",$G$49-$G$49*(($G$43-C126)*$D$45*(1-$J$47)*(1-$G$42))/($G$48+(($G$43-C126)*$D$45*(1-$J$47)*(1-$G$42))),IF(ABS(C126-$G$43)&lt;0.000001,$G$49,$G$50/D126))</f>
        <v>112.36111111111111</v>
      </c>
      <c r="F126" s="80" t="n">
        <f>IF(AND(ISNUMBER(D126),D126&gt;0,ISNUMBER(E126)),E126/D126,"")</f>
        <v>1.2234876543209877e-7</v>
      </c>
      <c r="G126" s="80" t="n">
        <f>IF(AND(ISNUMBER(F126),ISNUMBER($D$55)),F126*$D$55,"")</f>
        <v>1.2239723473705465e-7</v>
      </c>
      <c r="H126" s="83" t="n">
        <f>IF(ISNUMBER(F126),F126*$D$45,"")</f>
        <v>122.34876543209877</v>
      </c>
      <c r="I126" s="77" t="n">
        <f>IF(AND(ISNUMBER(H126),ISNUMBER($D$55)),H126*$D$55,"")</f>
        <v>122.39723473705463</v>
      </c>
      <c r="J126" s="74" t="n">
        <f>IF(H$118&gt;0,1-H126/H$118,"")</f>
        <v>0.9506172839506173</v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 t="n">
        <x:v>0.999604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 t="n">
        <x:v>46285.27349457176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str">
        <x:v>https://api.coingecko.com/api/v3/simple/price?ids=tether&amp;vs_currencies=usd</x:v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损耗按目标加缓冲的 FDV × 双边费率。外盘手续费仅在扣 Base/TOKEN 时降低控筹率；只扣 Quote 时补回为 0。补回按 Base/TOKEN 缺口及现有外盘曲线差额估算，非逐笔模拟。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17" t="str">
        <x:v>Pump.fun / SOL</x:v>
      </x:c>
      <x:c r="D14" s="26" t="str">
        <x:v>pumpfun-sol</x:v>
      </x:c>
      <x:c r="E14" s="26" t="str">
        <x:v>SOL</x:v>
      </x:c>
      <x:c r="F14" s="26" t="str">
        <x:v>SOL</x:v>
      </x:c>
      <x:c r="G14" s="35" t="str"/>
      <x:c r="H14" s="20" t="n">
        <x:v>108.53297905970763</x:v>
      </x:c>
      <x:c r="I14" s="20" t="n">
        <x:v>108.53297905970763</x:v>
      </x:c>
      <x:c r="J14" s="23" t="n">
        <x:v>46285.27349457176</x:v>
      </x:c>
      <x:c r="K14" s="35" t="str">
        <x:v>https://api.coingecko.com/api/v3/simple/price?ids=tether,ethereum,binancecoin,solana,hyperliquid,aster-2&amp;vs_currencies=usd</x:v>
      </x:c>
      <x:c r="L14" s="26" t="str">
        <x:v>generic</x:v>
      </x:c>
      <x:c r="M14" s="32" t="n">
        <x:v>1000000000</x:v>
      </x:c>
      <x:c r="N14" s="32" t="n">
        <x:v>1073000191</x:v>
      </x:c>
      <x:c r="O14" s="17" t="n">
        <x:v>30</x:v>
      </x:c>
      <x:c r="P14" s="17" t="n">
        <x:v>32190005730</x:v>
      </x:c>
      <x:c r="Q14" s="29" t="n">
        <x:v>0.7931</x:v>
      </x:c>
      <x:c r="R14" s="32" t="n">
        <x:v>206900000</x:v>
      </x:c>
      <x:c r="S14" s="17" t="n">
        <x:v>84.990360474</x:v>
      </x:c>
      <x:c r="T14" s="17" t="n">
        <x:v>17584505582.0706</x:v>
      </x:c>
      <x:c r="U14" s="29" t="n">
        <x:v>0.0125</x:v>
      </x:c>
      <x:c r="V14" s="29" t="n">
        <x:v>0.0125</x:v>
      </x:c>
      <x:c r="W14" s="17" t="n">
        <x:v>86.0678673134596</x:v>
      </x:c>
      <x:c r="X14" s="32" t="n">
        <x:v>0</x:v>
      </x:c>
      <x:c r="Y14" s="17" t="n">
        <x:v>17.584505582070598</x:v>
      </x:c>
      <x:c r="Z14" s="17" t="n">
        <x:v>85.00530105033047</x:v>
      </x:c>
      <x:c r="AA14" s="29" t="n">
        <x:v>0</x:v>
      </x:c>
      <x:c r="AB14" s="29" t="n">
        <x:v>0</x:v>
      </x:c>
      <x:c r="AC14" s="29" t="n">
        <x:v>0</x:v>
      </x:c>
      <x:c r="AD14" s="35" t="str">
        <x:v>原网页控筹模型与原表参数</x:v>
      </x:c>
      <x:c r="AE14" s="17" t="str">
        <x:v>原网页模型参数</x:v>
      </x:c>
      <x:c r="AF14" s="35" t="str">
        <x:v>https://api.coingecko.com/api/v3/simple/price?ids=tether,ethereum,binancecoin,solana,hyperliquid,aster-2&amp;vs_currencies=usd</x:v>
      </x:c>
      <x:c r="AG14" s="35" t="str"/>
      <x:c r="AH14" s="29" t="n">
        <x:v>0.1</x:v>
      </x:c>
      <x:c r="AI14" s="17" t="n">
        <x:v>0.1</x:v>
      </x:c>
      <x:c r="AJ14" s="26" t="str">
        <x:v>quote</x:v>
      </x:c>
      <x:c r="AK14" s="35" t="str">
        <x:v>买卖两侧均以 Quote 收取，不直接扣除 Meme TOKEN</x:v>
      </x:c>
      <x:c r="AL14" s="35" t="str">
        <x:v>https://github.com/pump-fun/pump-public-docs/blob/main/docs/instructions/BUY.md</x:v>
      </x:c>
    </x:row>
    <x:row r="15" ht="58" customHeight="1">
      <x:c r="A15" s="5"/>
      <x:c r="B15" s="5"/>
      <x:c r="C15" s="18" t="str">
        <x:v>LetsBonk / USD1</x:v>
      </x:c>
      <x:c r="D15" s="27" t="str">
        <x:v>letsbonk-usd1</x:v>
      </x:c>
      <x:c r="E15" s="27" t="str">
        <x:v>USD1</x:v>
      </x:c>
      <x:c r="F15" s="27" t="str">
        <x:v>SOL</x:v>
      </x:c>
      <x:c r="G15" s="36" t="str"/>
      <x:c r="H15" s="21" t="n">
        <x:v>1.0003961568781237</x:v>
      </x:c>
      <x:c r="I15" s="21" t="n">
        <x:v>108.53297905970763</x:v>
      </x:c>
      <x:c r="J15" s="24" t="n">
        <x:v>46285.27349457176</x:v>
      </x:c>
      <x:c r="K15" s="36" t="str">
        <x:v>https://api.coingecko.com/api/v3/simple/price?ids=tether,ethereum,binancecoin,solana,hyperliquid,aster-2&amp;vs_currencies=usd</x:v>
      </x:c>
      <x:c r="L15" s="27" t="str">
        <x:v>generic</x:v>
      </x:c>
      <x:c r="M15" s="33" t="n">
        <x:v>1000000000</x:v>
      </x:c>
      <x:c r="N15" s="33" t="n">
        <x:v>1073025606</x:v>
      </x:c>
      <x:c r="O15" s="18" t="n">
        <x:v>4470</x:v>
      </x:c>
      <x:c r="P15" s="18" t="n">
        <x:v>4796424458820</x:v>
      </x:c>
      <x:c r="Q15" s="30" t="n">
        <x:v>0.7931</x:v>
      </x:c>
      <x:c r="R15" s="33" t="n">
        <x:v>206900000</x:v>
      </x:c>
      <x:c r="S15" s="18" t="n">
        <x:v>12500</x:v>
      </x:c>
      <x:c r="T15" s="18" t="n">
        <x:v>2586250000000</x:v>
      </x:c>
      <x:c r="U15" s="30" t="n">
        <x:v>0.015</x:v>
      </x:c>
      <x:c r="V15" s="30" t="n">
        <x:v>0.0125</x:v>
      </x:c>
      <x:c r="W15" s="18" t="n">
        <x:v>12854.609502926289</x:v>
      </x:c>
      <x:c r="X15" s="33" t="n">
        <x:v>0</x:v>
      </x:c>
      <x:c r="Y15" s="18" t="n">
        <x:v>2586.25</x:v>
      </x:c>
      <x:c r="Z15" s="18" t="n">
        <x:v>12664.639904360876</x:v>
      </x:c>
      <x:c r="AA15" s="30" t="n">
        <x:v>0</x:v>
      </x:c>
      <x:c r="AB15" s="30" t="n">
        <x:v>0</x:v>
      </x:c>
      <x:c r="AC15" s="30" t="n">
        <x:v>0</x:v>
      </x:c>
      <x:c r="AD15" s="36" t="str">
        <x:v>原网页控筹模型与原表参数</x:v>
      </x:c>
      <x:c r="AE15" s="18" t="str">
        <x:v>原网页模型参数</x:v>
      </x:c>
      <x:c r="AF15" s="36" t="str">
        <x:v>https://api.coingecko.com/api/v3/simple/price?ids=tether,ethereum,binancecoin,solana,hyperliquid,aster-2&amp;vs_currencies=usd</x:v>
      </x:c>
      <x:c r="AG15" s="36" t="str"/>
      <x:c r="AH15" s="30" t="n">
        <x:v>0.1</x:v>
      </x:c>
      <x:c r="AI15" s="18" t="n">
        <x:v>0.1</x:v>
      </x:c>
      <x:c r="AJ15" s="27" t="str">
        <x:v>input</x:v>
      </x:c>
      <x:c r="AK15" s="36" t="str">
        <x:v>Raydium CPMM 从每笔 Swap 的输入币扣费；卖出侧输入币为 Meme TOKEN</x:v>
      </x:c>
      <x:c r="AL15" s="36" t="str">
        <x:v>https://docs.raydium.io/raydium/build/developers-zh/cao-zuo-fang-fa/ru-he-she-zhi-cpmm-fei-yong</x:v>
      </x:c>
    </x:row>
    <x:row r="16" ht="58" customHeight="1">
      <x:c r="A16" s="5"/>
      <x:c r="B16" s="5"/>
      <x:c r="C16" s="18" t="str">
        <x:v>Four.meme / USD1</x:v>
      </x:c>
      <x:c r="D16" s="27" t="str">
        <x:v>fourmeme-usd1</x:v>
      </x:c>
      <x:c r="E16" s="27" t="str">
        <x:v>USD1</x:v>
      </x:c>
      <x:c r="F16" s="27" t="str">
        <x:v>BNB</x:v>
      </x:c>
      <x:c r="G16" s="36" t="str"/>
      <x:c r="H16" s="21" t="n">
        <x:v>1.0003961568781237</x:v>
      </x:c>
      <x:c r="I16" s="21" t="n">
        <x:v>752.7981080507881</x:v>
      </x:c>
      <x:c r="J16" s="24" t="n">
        <x:v>46285.27349457176</x:v>
      </x:c>
      <x:c r="K16" s="36" t="str">
        <x:v>https://api.coingecko.com/api/v3/simple/price?ids=tether,ethereum,binancecoin,solana,hyperliquid,aster-2&amp;vs_currencies=usd</x:v>
      </x:c>
      <x:c r="L16" s="27" t="str">
        <x:v>generic</x:v>
      </x:c>
      <x:c r="M16" s="33" t="n">
        <x:v>1000000000</x:v>
      </x:c>
      <x:c r="N16" s="33" t="n">
        <x:v>1073972602.73965</x:v>
      </x:c>
      <x:c r="O16" s="18" t="n">
        <x:v>4109.59315068374</x:v>
      </x:c>
      <x:c r="P16" s="18" t="n">
        <x:v>4413590452240.8545</x:v>
      </x:c>
      <x:c r="Q16" s="30" t="n">
        <x:v>0.8</x:v>
      </x:c>
      <x:c r="R16" s="33" t="n">
        <x:v>200000000</x:v>
      </x:c>
      <x:c r="S16" s="18" t="n">
        <x:v>11759</x:v>
      </x:c>
      <x:c r="T16" s="18" t="n">
        <x:v>2351800000000</x:v>
      </x:c>
      <x:c r="U16" s="30" t="n">
        <x:v>0.01</x:v>
      </x:c>
      <x:c r="V16" s="30" t="n">
        <x:v>0.0025</x:v>
      </x:c>
      <x:c r="W16" s="18" t="n">
        <x:v>12120.012119999847</x:v>
      </x:c>
      <x:c r="X16" s="33" t="n">
        <x:v>0</x:v>
      </x:c>
      <x:c r="Y16" s="18" t="n">
        <x:v>2351.8</x:v>
      </x:c>
      <x:c r="Z16" s="18" t="n">
        <x:v>12000.01199999985</x:v>
      </x:c>
      <x:c r="AA16" s="30" t="n">
        <x:v>0</x:v>
      </x:c>
      <x:c r="AB16" s="30" t="n">
        <x:v>0</x:v>
      </x:c>
      <x:c r="AC16" s="30" t="n">
        <x:v>0</x:v>
      </x:c>
      <x:c r="AD16" s="36" t="str">
        <x:v>原网页控筹模型与原表参数</x:v>
      </x:c>
      <x:c r="AE16" s="18" t="str">
        <x:v>原网页模型参数</x:v>
      </x:c>
      <x:c r="AF16" s="36" t="str">
        <x:v>https://api.coingecko.com/api/v3/simple/price?ids=tether,ethereum,binancecoin,solana,hyperliquid,aster-2&amp;vs_currencies=usd</x:v>
      </x:c>
      <x:c r="AG16" s="36" t="str"/>
      <x:c r="AH16" s="30" t="n">
        <x:v>0.1</x:v>
      </x:c>
      <x:c r="AI16" s="18" t="n">
        <x:v>0.01</x:v>
      </x:c>
      <x:c r="AJ16" s="27" t="str">
        <x:v>input</x:v>
      </x:c>
      <x:c r="AK16" s="36" t="str">
        <x:v>PancakeSwap 从每笔 Swap 的输入币扣费；卖出侧输入币为 Meme TOKEN</x:v>
      </x:c>
      <x:c r="AL16" s="36" t="str">
        <x:v>https://docs.pancakeswap.finance/trade/pancakeswap-exchange/trade</x:v>
      </x:c>
    </x:row>
    <x:row r="17" ht="58" customHeight="1">
      <x:c r="A17" s="5"/>
      <x:c r="B17" s="5"/>
      <x:c r="C17" s="18" t="str">
        <x:v>Four.meme / BNB</x:v>
      </x:c>
      <x:c r="D17" s="27" t="str">
        <x:v>fourmeme-bnb</x:v>
      </x:c>
      <x:c r="E17" s="27" t="str">
        <x:v>BNB</x:v>
      </x:c>
      <x:c r="F17" s="27" t="str">
        <x:v>BNB</x:v>
      </x:c>
      <x:c r="G17" s="36" t="str"/>
      <x:c r="H17" s="21" t="n">
        <x:v>752.7981080507881</x:v>
      </x:c>
      <x:c r="I17" s="21" t="n">
        <x:v>752.7981080507881</x:v>
      </x:c>
      <x:c r="J17" s="24" t="n">
        <x:v>46285.27349457176</x:v>
      </x:c>
      <x:c r="K17" s="36" t="str">
        <x:v>https://api.coingecko.com/api/v3/simple/price?ids=tether,ethereum,binancecoin,solana,hyperliquid,aster-2&amp;vs_currencies=usd</x:v>
      </x:c>
      <x:c r="L17" s="27" t="str">
        <x:v>generic</x:v>
      </x:c>
      <x:c r="M17" s="33" t="n">
        <x:v>1000000000</x:v>
      </x:c>
      <x:c r="N17" s="33" t="n">
        <x:v>1073972562</x:v>
      </x:c>
      <x:c r="O17" s="18" t="n">
        <x:v>6.164383561643836</x:v>
      </x:c>
      <x:c r="P17" s="18" t="n">
        <x:v>6620378206</x:v>
      </x:c>
      <x:c r="Q17" s="30" t="n">
        <x:v>0.8</x:v>
      </x:c>
      <x:c r="R17" s="33" t="n">
        <x:v>200000000</x:v>
      </x:c>
      <x:c r="S17" s="18" t="n">
        <x:v>17.64</x:v>
      </x:c>
      <x:c r="T17" s="18" t="n">
        <x:v>3528000000</x:v>
      </x:c>
      <x:c r="U17" s="30" t="n">
        <x:v>0.01</x:v>
      </x:c>
      <x:c r="V17" s="30" t="n">
        <x:v>0.0025</x:v>
      </x:c>
      <x:c r="W17" s="18" t="n">
        <x:v>18.180001026520895</x:v>
      </x:c>
      <x:c r="X17" s="33" t="n">
        <x:v>0</x:v>
      </x:c>
      <x:c r="Y17" s="18" t="n">
        <x:v>3.5279999996314997</x:v>
      </x:c>
      <x:c r="Z17" s="18" t="n">
        <x:v>18.000000483500074</x:v>
      </x:c>
      <x:c r="AA17" s="30" t="n">
        <x:v>0</x:v>
      </x:c>
      <x:c r="AB17" s="30" t="n">
        <x:v>0</x:v>
      </x:c>
      <x:c r="AC17" s="30" t="n">
        <x:v>0</x:v>
      </x:c>
      <x:c r="AD17" s="36" t="str">
        <x:v>https://bscscan.com/tx/0xa7b34b4476861b38642eb78ccfb8767ddc8eff60a0ed96057adfd318ff872f44</x:v>
      </x:c>
      <x:c r="AE17" s="18" t="str">
        <x:v>2026-09-05</x:v>
      </x:c>
      <x:c r="AF17" s="36" t="str">
        <x:v>https://api.coingecko.com/api/v3/simple/price?ids=tether,ethereum,binancecoin,solana,hyperliquid,aster-2&amp;vs_currencies=usd</x:v>
      </x:c>
      <x:c r="AG17" s="36" t="str"/>
      <x:c r="AH17" s="30" t="n">
        <x:v>0.1</x:v>
      </x:c>
      <x:c r="AI17" s="18" t="n">
        <x:v>0.01</x:v>
      </x:c>
      <x:c r="AJ17" s="27" t="str">
        <x:v>input</x:v>
      </x:c>
      <x:c r="AK17" s="36" t="str">
        <x:v>PancakeSwap 从每笔 Swap 的输入币扣费；卖出侧输入币为 Meme TOKEN</x:v>
      </x:c>
      <x:c r="AL17" s="36" t="str">
        <x:v>https://docs.pancakeswap.finance/trade/pancakeswap-exchange/trade</x:v>
      </x:c>
    </x:row>
    <x:row r="18" ht="58" customHeight="1">
      <x:c r="A18" s="5"/>
      <x:c r="B18" s="5"/>
      <x:c r="C18" s="18" t="str">
        <x:v>Four.meme / ASTER</x:v>
      </x:c>
      <x:c r="D18" s="27" t="str">
        <x:v>fourmeme-aster</x:v>
      </x:c>
      <x:c r="E18" s="27" t="str">
        <x:v>ASTER</x:v>
      </x:c>
      <x:c r="F18" s="27" t="str">
        <x:v>BNB</x:v>
      </x:c>
      <x:c r="G18" s="36" t="str"/>
      <x:c r="H18" s="21" t="n">
        <x:v>0.7357363515952317</x:v>
      </x:c>
      <x:c r="I18" s="21" t="n">
        <x:v>752.7981080507881</x:v>
      </x:c>
      <x:c r="J18" s="24" t="n">
        <x:v>46285.27349457176</x:v>
      </x:c>
      <x:c r="K18" s="36" t="str">
        <x:v>https://api.coingecko.com/api/v3/simple/price?ids=tether,ethereum,binancecoin,solana,hyperliquid,aster-2&amp;vs_currencies=usd</x:v>
      </x:c>
      <x:c r="L18" s="27" t="str">
        <x:v>generic</x:v>
      </x:c>
      <x:c r="M18" s="33" t="n">
        <x:v>1000000000</x:v>
      </x:c>
      <x:c r="N18" s="33" t="n">
        <x:v>1073972603</x:v>
      </x:c>
      <x:c r="O18" s="18" t="n">
        <x:v>1712.33</x:v>
      </x:c>
      <x:c r="P18" s="18" t="n">
        <x:v>1838995507294.99</x:v>
      </x:c>
      <x:c r="Q18" s="30" t="n">
        <x:v>0.8</x:v>
      </x:c>
      <x:c r="R18" s="33" t="n">
        <x:v>200000000</x:v>
      </x:c>
      <x:c r="S18" s="18" t="n">
        <x:v>4900</x:v>
      </x:c>
      <x:c r="T18" s="18" t="n">
        <x:v>980000000000</x:v>
      </x:c>
      <x:c r="U18" s="30" t="n">
        <x:v>0.01</x:v>
      </x:c>
      <x:c r="V18" s="30" t="n">
        <x:v>0.0025</x:v>
      </x:c>
      <x:c r="W18" s="18" t="n">
        <x:v>5050.003631202497</x:v>
      </x:c>
      <x:c r="X18" s="33" t="n">
        <x:v>0</x:v>
      </x:c>
      <x:c r="Y18" s="18" t="n">
        <x:v>980</x:v>
      </x:c>
      <x:c r="Z18" s="18" t="n">
        <x:v>5000.003595249997</x:v>
      </x:c>
      <x:c r="AA18" s="30" t="n">
        <x:v>0</x:v>
      </x:c>
      <x:c r="AB18" s="30" t="n">
        <x:v>0</x:v>
      </x:c>
      <x:c r="AC18" s="30" t="n">
        <x:v>0</x:v>
      </x:c>
      <x:c r="AD18" s="36" t="str">
        <x:v>原网页控筹模型与原表参数</x:v>
      </x:c>
      <x:c r="AE18" s="18" t="str">
        <x:v>原网页模型参数</x:v>
      </x:c>
      <x:c r="AF18" s="36" t="str">
        <x:v>https://api.coingecko.com/api/v3/simple/price?ids=tether,ethereum,binancecoin,solana,hyperliquid,aster-2&amp;vs_currencies=usd</x:v>
      </x:c>
      <x:c r="AG18" s="36" t="str"/>
      <x:c r="AH18" s="30" t="n">
        <x:v>0.1</x:v>
      </x:c>
      <x:c r="AI18" s="18" t="n">
        <x:v>0.01</x:v>
      </x:c>
      <x:c r="AJ18" s="27" t="str">
        <x:v>input</x:v>
      </x:c>
      <x:c r="AK18" s="36" t="str">
        <x:v>PancakeSwap 从每笔 Swap 的输入币扣费；卖出侧输入币为 Meme TOKEN</x:v>
      </x:c>
      <x:c r="AL18" s="36" t="str">
        <x:v>https://docs.pancakeswap.finance/trade/pancakeswap-exchange/trade</x:v>
      </x:c>
    </x:row>
    <x:row r="19" ht="58" customHeight="1">
      <x:c r="A19" s="5"/>
      <x:c r="B19" s="5"/>
      <x:c r="C19" s="18" t="str">
        <x:v>Hyperpie / HYPE</x:v>
      </x:c>
      <x:c r="D19" s="27" t="str">
        <x:v>hyperpie-hype</x:v>
      </x:c>
      <x:c r="E19" s="27" t="str">
        <x:v>HYPE</x:v>
      </x:c>
      <x:c r="F19" s="27" t="str">
        <x:v>HYPE</x:v>
      </x:c>
      <x:c r="G19" s="36" t="str"/>
      <x:c r="H19" s="21" t="n">
        <x:v>91.08607008375316</x:v>
      </x:c>
      <x:c r="I19" s="21" t="n">
        <x:v>91.08607008375316</x:v>
      </x:c>
      <x:c r="J19" s="24" t="n">
        <x:v>46285.27349457176</x:v>
      </x:c>
      <x:c r="K19" s="36" t="str">
        <x:v>https://api.coingecko.com/api/v3/simple/price?ids=tether,ethereum,binancecoin,solana,hyperliquid,aster-2&amp;vs_currencies=usd</x:v>
      </x:c>
      <x:c r="L19" s="27" t="str">
        <x:v>generic</x:v>
      </x:c>
      <x:c r="M19" s="33" t="n">
        <x:v>1000000000</x:v>
      </x:c>
      <x:c r="N19" s="33" t="n">
        <x:v>1066666667</x:v>
      </x:c>
      <x:c r="O19" s="18" t="n">
        <x:v>100</x:v>
      </x:c>
      <x:c r="P19" s="18" t="n">
        <x:v>106666666700</x:v>
      </x:c>
      <x:c r="Q19" s="30" t="n">
        <x:v>0.8</x:v>
      </x:c>
      <x:c r="R19" s="33" t="n">
        <x:v>201376811</x:v>
      </x:c>
      <x:c r="S19" s="18" t="n">
        <x:v>297</x:v>
      </x:c>
      <x:c r="T19" s="18" t="n">
        <x:v>59808912867</x:v>
      </x:c>
      <x:c r="U19" s="30" t="n">
        <x:v>0.01</x:v>
      </x:c>
      <x:c r="V19" s="30" t="n">
        <x:v>0.003</x:v>
      </x:c>
      <x:c r="W19" s="18" t="n">
        <x:v>302.99999962124997</x:v>
      </x:c>
      <x:c r="X19" s="33" t="n">
        <x:v>0</x:v>
      </x:c>
      <x:c r="Y19" s="18" t="n">
        <x:v>59.808912867</x:v>
      </x:c>
      <x:c r="Z19" s="18" t="n">
        <x:v>299.999999625</x:v>
      </x:c>
      <x:c r="AA19" s="30" t="n">
        <x:v>0</x:v>
      </x:c>
      <x:c r="AB19" s="30" t="n">
        <x:v>0</x:v>
      </x:c>
      <x:c r="AC19" s="30" t="n">
        <x:v>0</x:v>
      </x:c>
      <x:c r="AD19" s="36" t="str">
        <x:v>原网页控筹模型与原表参数</x:v>
      </x:c>
      <x:c r="AE19" s="18" t="str">
        <x:v>原网页模型参数</x:v>
      </x:c>
      <x:c r="AF19" s="36" t="str">
        <x:v>https://api.coingecko.com/api/v3/simple/price?ids=tether,ethereum,binancecoin,solana,hyperliquid,aster-2&amp;vs_currencies=usd</x:v>
      </x:c>
      <x:c r="AG19" s="36" t="str"/>
      <x:c r="AH19" s="30" t="n">
        <x:v>0.1</x:v>
      </x:c>
      <x:c r="AI19" s="18" t="n">
        <x:v>0.1</x:v>
      </x:c>
      <x:c r="AJ19" s="27" t="str">
        <x:v>input</x:v>
      </x:c>
      <x:c r="AK19" s="36" t="str">
        <x:v>HyperSwap V2 从每笔 Swap 的输入币扣费；卖出侧输入币为 Meme TOKEN</x:v>
      </x:c>
      <x:c r="AL19" s="36" t="str">
        <x:v>https://docs.hyperswap.pro/technical-protocol/protocol-overview/how</x:v>
      </x:c>
    </x:row>
    <x:row r="20" ht="58" customHeight="1">
      <x:c r="A20" s="5"/>
      <x:c r="B20" s="5"/>
      <x:c r="C20" s="18" t="str">
        <x:v>Flap / BNB</x:v>
      </x:c>
      <x:c r="D20" s="27" t="str">
        <x:v>flap-bnb</x:v>
      </x:c>
      <x:c r="E20" s="27" t="str">
        <x:v>BNB</x:v>
      </x:c>
      <x:c r="F20" s="27" t="str">
        <x:v>BNB</x:v>
      </x:c>
      <x:c r="G20" s="36" t="str"/>
      <x:c r="H20" s="21" t="n">
        <x:v>752.7981080507881</x:v>
      </x:c>
      <x:c r="I20" s="21" t="n">
        <x:v>752.7981080507881</x:v>
      </x:c>
      <x:c r="J20" s="24" t="n">
        <x:v>46285.27349457176</x:v>
      </x:c>
      <x:c r="K20" s="36" t="str">
        <x:v>https://api.coingecko.com/api/v3/simple/price?ids=tether,ethereum,binancecoin,solana,hyperliquid,aster-2&amp;vs_currencies=usd</x:v>
      </x:c>
      <x:c r="L20" s="27" t="str">
        <x:v>flap</x:v>
      </x:c>
      <x:c r="M20" s="33" t="n">
        <x:v>1000000000</x:v>
      </x:c>
      <x:c r="N20" s="33" t="n">
        <x:v>1107036752</x:v>
      </x:c>
      <x:c r="O20" s="18" t="n">
        <x:v>6.14</x:v>
      </x:c>
      <x:c r="P20" s="18" t="n">
        <x:v>6797205657.28</x:v>
      </x:c>
      <x:c r="Q20" s="30" t="n">
        <x:v>0.8</x:v>
      </x:c>
      <x:c r="R20" s="33" t="n">
        <x:v>200000000</x:v>
      </x:c>
      <x:c r="S20" s="18" t="n">
        <x:v>15.998</x:v>
      </x:c>
      <x:c r="T20" s="18" t="n">
        <x:v>3199600000</x:v>
      </x:c>
      <x:c r="U20" s="30" t="n">
        <x:v>0.01</x:v>
      </x:c>
      <x:c r="V20" s="30" t="n">
        <x:v>0.0025</x:v>
      </x:c>
      <x:c r="W20" s="18" t="n">
        <x:v>16.158065663748292</x:v>
      </x:c>
      <x:c r="X20" s="33" t="n">
        <x:v>0</x:v>
      </x:c>
      <x:c r="Y20" s="18" t="n">
        <x:v>3.1996</x:v>
      </x:c>
      <x:c r="Z20" s="18" t="n">
        <x:v>15.998084815592367</x:v>
      </x:c>
      <x:c r="AA20" s="30" t="n">
        <x:v>0</x:v>
      </x:c>
      <x:c r="AB20" s="30" t="n">
        <x:v>0</x:v>
      </x:c>
      <x:c r="AC20" s="30" t="n">
        <x:v>0</x:v>
      </x:c>
      <x:c r="AD20" s="36" t="str">
        <x:v>原网页控筹模型与原表参数</x:v>
      </x:c>
      <x:c r="AE20" s="18" t="str">
        <x:v>原网页模型参数</x:v>
      </x:c>
      <x:c r="AF20" s="36" t="str">
        <x:v>https://api.coingecko.com/api/v3/simple/price?ids=tether,ethereum,binancecoin,solana,hyperliquid,aster-2&amp;vs_currencies=usd</x:v>
      </x:c>
      <x:c r="AG20" s="36" t="str"/>
      <x:c r="AH20" s="30" t="n">
        <x:v>0.1</x:v>
      </x:c>
      <x:c r="AI20" s="18" t="n">
        <x:v>0.01</x:v>
      </x:c>
      <x:c r="AJ20" s="27" t="str">
        <x:v>input</x:v>
      </x:c>
      <x:c r="AK20" s="36" t="str">
        <x:v>PancakeSwap LP 费从输入币扣取；外盘买税扣输出 TOKEN，卖税扣输入 TOKEN</x:v>
      </x:c>
      <x:c r="AL20" s="36" t="str">
        <x:v>https://docs.pancakeswap.finance/trade/pancakeswap-exchange/trade</x:v>
      </x:c>
    </x:row>
    <x:row r="21" ht="58" customHeight="1">
      <x:c r="A21" s="5"/>
      <x:c r="B21" s="5"/>
      <x:c r="C21" s="18" t="str">
        <x:v>Flap / USD1</x:v>
      </x:c>
      <x:c r="D21" s="27" t="str">
        <x:v>flap-usd1</x:v>
      </x:c>
      <x:c r="E21" s="27" t="str">
        <x:v>USD1</x:v>
      </x:c>
      <x:c r="F21" s="27" t="str">
        <x:v>BNB</x:v>
      </x:c>
      <x:c r="G21" s="36" t="str"/>
      <x:c r="H21" s="21" t="n">
        <x:v>1.0003961568781237</x:v>
      </x:c>
      <x:c r="I21" s="21" t="n">
        <x:v>752.7981080507881</x:v>
      </x:c>
      <x:c r="J21" s="24" t="n">
        <x:v>46285.27349457176</x:v>
      </x:c>
      <x:c r="K21" s="36" t="str">
        <x:v>https://api.coingecko.com/api/v3/simple/price?ids=tether,ethereum,binancecoin,solana,hyperliquid,aster-2&amp;vs_currencies=usd</x:v>
      </x:c>
      <x:c r="L21" s="27" t="str">
        <x:v>flap</x:v>
      </x:c>
      <x:c r="M21" s="33" t="n">
        <x:v>1000000000</x:v>
      </x:c>
      <x:c r="N21" s="33" t="n">
        <x:v>1107036752</x:v>
      </x:c>
      <x:c r="O21" s="18" t="n">
        <x:v>3837</x:v>
      </x:c>
      <x:c r="P21" s="18" t="n">
        <x:v>4247700017424</x:v>
      </x:c>
      <x:c r="Q21" s="30" t="n">
        <x:v>0.8</x:v>
      </x:c>
      <x:c r="R21" s="33" t="n">
        <x:v>199600000</x:v>
      </x:c>
      <x:c r="S21" s="18" t="n">
        <x:v>9997.5</x:v>
      </x:c>
      <x:c r="T21" s="18" t="n">
        <x:v>1995501000000</x:v>
      </x:c>
      <x:c r="U21" s="30" t="n">
        <x:v>0.01</x:v>
      </x:c>
      <x:c r="V21" s="30" t="n">
        <x:v>0.0025</x:v>
      </x:c>
      <x:c r="W21" s="18" t="n">
        <x:v>10097.475236449869</x:v>
      </x:c>
      <x:c r="X21" s="33" t="n">
        <x:v>0</x:v>
      </x:c>
      <x:c r="Y21" s="18" t="n">
        <x:v>1995.501</x:v>
      </x:c>
      <x:c r="Z21" s="18" t="n">
        <x:v>9997.500234108782</x:v>
      </x:c>
      <x:c r="AA21" s="30" t="n">
        <x:v>0</x:v>
      </x:c>
      <x:c r="AB21" s="30" t="n">
        <x:v>0</x:v>
      </x:c>
      <x:c r="AC21" s="30" t="n">
        <x:v>0</x:v>
      </x:c>
      <x:c r="AD21" s="36" t="str">
        <x:v>原网页控筹模型与原表参数</x:v>
      </x:c>
      <x:c r="AE21" s="18" t="str">
        <x:v>原网页模型参数</x:v>
      </x:c>
      <x:c r="AF21" s="36" t="str">
        <x:v>https://api.coingecko.com/api/v3/simple/price?ids=tether,ethereum,binancecoin,solana,hyperliquid,aster-2&amp;vs_currencies=usd</x:v>
      </x:c>
      <x:c r="AG21" s="36" t="str"/>
      <x:c r="AH21" s="30" t="n">
        <x:v>0.1</x:v>
      </x:c>
      <x:c r="AI21" s="18" t="n">
        <x:v>0.01</x:v>
      </x:c>
      <x:c r="AJ21" s="27" t="str">
        <x:v>input</x:v>
      </x:c>
      <x:c r="AK21" s="36" t="str">
        <x:v>PancakeSwap LP 费从输入币扣取；外盘买税扣输出 TOKEN，卖税扣输入 TOKEN</x:v>
      </x:c>
      <x:c r="AL21" s="36" t="str">
        <x:v>https://docs.pancakeswap.finance/trade/pancakeswap-exchange/trade</x:v>
      </x:c>
    </x:row>
    <x:row r="22" ht="58" customHeight="1">
      <x:c r="A22" s="5"/>
      <x:c r="B22" s="5"/>
      <x:c r="C22" s="19" t="str">
        <x:v>Pons V2 / ETH</x:v>
      </x:c>
      <x:c r="D22" s="28" t="str">
        <x:v>ponsv2-eth</x:v>
      </x:c>
      <x:c r="E22" s="28" t="str">
        <x:v>ETH</x:v>
      </x:c>
      <x:c r="F22" s="28" t="str">
        <x:v>ETH</x:v>
      </x:c>
      <x:c r="G22" s="37" t="str"/>
      <x:c r="H22" s="22" t="n">
        <x:v>2580.0817123580937</x:v>
      </x:c>
      <x:c r="I22" s="22" t="n">
        <x:v>2580.0817123580937</x:v>
      </x:c>
      <x:c r="J22" s="25" t="n">
        <x:v>46285.27349457176</x:v>
      </x:c>
      <x:c r="K22" s="37" t="str">
        <x:v>https://api.coingecko.com/api/v3/simple/price?ids=tether,ethereum,binancecoin,solana,hyperliquid,aster-2&amp;vs_currencies=usd</x:v>
      </x:c>
      <x:c r="L22" s="28" t="str">
        <x:v>pons</x:v>
      </x:c>
      <x:c r="M22" s="34" t="n">
        <x:v>1000000000</x:v>
      </x:c>
      <x:c r="N22" s="34" t="n">
        <x:v>1000000000</x:v>
      </x:c>
      <x:c r="O22" s="19" t="n">
        <x:v>1.68</x:v>
      </x:c>
      <x:c r="P22" s="19" t="n">
        <x:v>1680000000</x:v>
      </x:c>
      <x:c r="Q22" s="31" t="n">
        <x:v>0.7142857142857143</x:v>
      </x:c>
      <x:c r="R22" s="34" t="n">
        <x:v>204081632.65306124</x:v>
      </x:c>
      <x:c r="S22" s="19" t="n">
        <x:v>4.2</x:v>
      </x:c>
      <x:c r="T22" s="19" t="n">
        <x:v>857142857.1428572</x:v>
      </x:c>
      <x:c r="U22" s="31" t="n">
        <x:v>0.01</x:v>
      </x:c>
      <x:c r="V22" s="31" t="n">
        <x:v>0.01</x:v>
      </x:c>
      <x:c r="W22" s="19" t="n">
        <x:v>4.242424242424242</x:v>
      </x:c>
      <x:c r="X22" s="34" t="n">
        <x:v>81632653.06122449</x:v>
      </x:c>
      <x:c r="Y22" s="19" t="n">
        <x:v>0.9333333333333333</x:v>
      </x:c>
      <x:c r="Z22" s="19" t="n">
        <x:v>4.2</x:v>
      </x:c>
      <x:c r="AA22" s="31" t="n">
        <x:v>0</x:v>
      </x:c>
      <x:c r="AB22" s="31" t="n">
        <x:v>0</x:v>
      </x:c>
      <x:c r="AC22" s="31" t="n">
        <x:v>0</x:v>
      </x:c>
      <x:c r="AD22" s="37" t="str">
        <x:v>原网页 Pons V2 模型；Launch Tx 0x849e7774fefd74c09e7ec67fea785367dd0ca2e5612099f5084bf08c65839c2f</x:v>
      </x:c>
      <x:c r="AE22" s="19" t="str">
        <x:v>原网页模型参数</x:v>
      </x:c>
      <x:c r="AF22" s="37" t="str">
        <x:v>https://api.coingecko.com/api/v3/simple/price?ids=tether,ethereum,binancecoin,solana,hyperliquid,aster-2&amp;vs_currencies=usd</x:v>
      </x:c>
      <x:c r="AG22" s="37" t="str"/>
      <x:c r="AH22" s="31" t="n">
        <x:v>0.1</x:v>
      </x:c>
      <x:c r="AI22" s="19" t="n">
        <x:v>0.005</x:v>
      </x:c>
      <x:c r="AJ22" s="28" t="str">
        <x:v>quote</x:v>
      </x:c>
      <x:c r="AK22" s="37" t="str">
        <x:v>Pons V2 手续费始终按 Quote leg 计收；Hook 暂存的 Meme 费用会在池内转换回 Quote</x:v>
      </x:c>
      <x:c r="AL22" s="37" t="str">
        <x:v>https://docs.ponsfamily.com/v2</x:v>
      </x:c>
    </x:row>
    <x:row r="23">
      <x:c r="C23" t="str">
        <x:v>Pons V2 / USDG</x:v>
      </x:c>
      <x:c r="D23" t="str">
        <x:v>ponsv2-usdg</x:v>
      </x:c>
      <x:c r="E23" t="str">
        <x:v>USDG</x:v>
      </x:c>
      <x:c r="F23" t="str">
        <x:v>ETH</x:v>
      </x:c>
      <x:c r="G23" t="str">
        <x:v>0x5fc5360D0400a0Fd4f2af552ADD042D716F1d168</x:v>
      </x:c>
      <x:c r="H23" t="n">
        <x:v>1.0003961568781237</x:v>
      </x:c>
      <x:c r="I23" t="n">
        <x:v>2580.0817123580937</x:v>
      </x:c>
      <x:c r="J23" t="n">
        <x:v>46285.27349457176</x:v>
      </x:c>
      <x:c r="K23" t="str">
        <x:v>USDG 按 1 USD 估算；https://www.coingecko.com/en/coins/global-dollar</x:v>
      </x:c>
      <x:c r="L23" t="str">
        <x:v>pons</x:v>
      </x:c>
      <x:c r="M23" t="n">
        <x:v>1000000000</x:v>
      </x:c>
      <x:c r="N23" t="n">
        <x:v>1000000000</x:v>
      </x:c>
      <x:c r="O23" t="n">
        <x:v>202.25</x:v>
      </x:c>
      <x:c r="P23" t="n">
        <x:v>202250000000</x:v>
      </x:c>
      <x:c r="Q23" t="n">
        <x:v>0.7142857142857143</x:v>
      </x:c>
      <x:c r="R23" t="n">
        <x:v>204081632.65306124</x:v>
      </x:c>
      <x:c r="S23" t="n">
        <x:v>505.625</x:v>
      </x:c>
      <x:c r="T23" t="n">
        <x:v>103188775510.20409</x:v>
      </x:c>
      <x:c r="U23" t="n">
        <x:v>0.01</x:v>
      </x:c>
      <x:c r="V23" t="n">
        <x:v>0.01</x:v>
      </x:c>
      <x:c r="W23" t="n">
        <x:v>510.7323232323232</x:v>
      </x:c>
      <x:c r="X23" t="n">
        <x:v>81632653.06122449</x:v>
      </x:c>
      <x:c r="Y23" t="n">
        <x:v>112.36111111111111</x:v>
      </x:c>
      <x:c r="Z23" t="n">
        <x:v>505.625</x:v>
      </x:c>
      <x:c r="AA23" t="n">
        <x:v>0</x:v>
      </x:c>
      <x:c r="AB23" t="n">
        <x:v>0</x:v>
      </x:c>
      <x:c r="AC23" t="n">
        <x:v>0</x:v>
      </x:c>
      <x:c r="AD23" t="str">
        <x:v>https://robinhoodchain.blockscout.com/address/0x7eD598BcEf8bd9Edd8C97A195C6d13f40801EC7e?tab=read_contract</x:v>
      </x:c>
      <x:c r="AE23" t="str">
        <x:v>区块 68,708,148；USDG 6 decimals</x:v>
      </x:c>
      <x:c r="AF23" t="str">
        <x:v>https://api.coingecko.com/api/v3/simple/price?ids=tether,ethereum,binancecoin,solana,hyperliquid,aster-2&amp;vs_currencies=usd</x:v>
      </x:c>
      <x:c r="AG23"/>
      <x:c r="AH23" t="n">
        <x:v>0.1</x:v>
      </x:c>
      <x:c r="AI23" t="n">
        <x:v>0.005</x:v>
      </x:c>
      <x:c r="AJ23" t="str">
        <x:v>quote</x:v>
      </x:c>
      <x:c r="AK23" t="str">
        <x:v>Pons V2 手续费始终按 Quote leg 计收；Hook 暂存的 Meme 费用会在池内转换回 Quote</x:v>
      </x:c>
      <x:c r="AL23" t="str">
        <x:v>https://docs.ponsfamily.com/v2</x:v>
      </x:c>
    </x:row>
  </x:sheetData>
  <x:mergeCells>
    <x:mergeCell ref="C3:M3"/>
    <x:mergeCell ref="D11:M11"/>
  </x:mergeCells>
  <x:pageMargins left="0.7" right="0.7" top="0.75" bottom="0.75" header="0.3" footer="0.3"/>
</x:worksheet>
</file>