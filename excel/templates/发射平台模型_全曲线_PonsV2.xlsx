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11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7d91331a948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币价" sheetId="1" r:id="R4e8f3fa6680e4a8d"/>
    <x:sheet xmlns:r="http://schemas.openxmlformats.org/officeDocument/2006/relationships" name="Pump_SOL" sheetId="2" r:id="Rf1e815de4b924f5d"/>
    <x:sheet xmlns:r="http://schemas.openxmlformats.org/officeDocument/2006/relationships" name="Bonk_USD1" sheetId="3" r:id="R49cf3f317da64ddc"/>
    <x:sheet xmlns:r="http://schemas.openxmlformats.org/officeDocument/2006/relationships" name="Four_USD1" sheetId="4" r:id="Rdc06d8cd2192415f"/>
    <x:sheet xmlns:r="http://schemas.openxmlformats.org/officeDocument/2006/relationships" name="Four_BNB" sheetId="5" r:id="Rdbd6a5c151f248c3"/>
    <x:sheet xmlns:r="http://schemas.openxmlformats.org/officeDocument/2006/relationships" name="Four_ASTER" sheetId="6" r:id="R04ca9864fb724b2c"/>
    <x:sheet xmlns:r="http://schemas.openxmlformats.org/officeDocument/2006/relationships" name="Hyper_HYPE" sheetId="7" r:id="R37d0adf99c3c48ff"/>
    <x:sheet xmlns:r="http://schemas.openxmlformats.org/officeDocument/2006/relationships" name="Flap_BNB" sheetId="8" r:id="Rdfb7d6b2c7c4495f"/>
    <x:sheet xmlns:r="http://schemas.openxmlformats.org/officeDocument/2006/relationships" name="Flap_USD1" sheetId="9" r:id="Rbe6b3358c4284e7a"/>
    <x:sheet xmlns:r="http://schemas.openxmlformats.org/officeDocument/2006/relationships" name="校验" sheetId="10" r:id="Rf3f6ae80d1ea4bcd"/>
    <x:sheet xmlns:r="http://schemas.openxmlformats.org/officeDocument/2006/relationships" name="PonsV2_ETH" sheetId="11" r:id="R5cfe8ce77de34ced"/>
    <x:sheet xmlns:r="http://schemas.openxmlformats.org/officeDocument/2006/relationships" name="PonsV2_Quotes" sheetId="12" r:id="R8a7baeb42815463a"/>
  </x:sheets>
</x:workbook>
</file>

<file path=xl/comments1.xml><?xml version="1.0" encoding="utf-8"?>
<x:comments xmlns:x="http://schemas.openxmlformats.org/spreadsheetml/2006/main">
  <x:authors>
    <x:author>tc={ADFFB39D-F942-488D-B177-94CFF5664CC3}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CoinGecko Ethereum price page, checked 2026-09-03. This is a refreshable reference price used only for USD conversion.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tc={37449375-7C03-426E-B712-018E00B9C7A3}</x:author>
  </x:authors>
  <x:commentList>
    <x:comment ref="B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Independent reference calculated from current V2 parameters: 90% actual wallet control, 1% hook fee, Creator Tax 0%.</x:t>
        </x:r>
      </x:text>
    </x:comment>
  </x:commentList>
</x:comments>
</file>

<file path=xl/comments3.xml><?xml version="1.0" encoding="utf-8"?>
<x:comments xmlns:x="http://schemas.openxmlformats.org/spreadsheetml/2006/main">
  <x:authors>
    <x:author>tc={7982CE5C-D6C3-4A1C-AFAA-F61D2D3BCDCE}</x:author>
    <x:author>tc={D5E8BF29-DE9C-44CD-B8E5-BE2A1629D1ED}</x:author>
    <x:author>tc={5DD06E3C-4866-43F7-8386-0026D055941A}</x:author>
    <x:author>tc={3126541F-4A9A-48A3-A6B7-A7CF7414807F}</x:author>
    <x:author>tc={C196C57F-703E-4975-A460-CB06B220CB51}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value phantomQuote = 1.68 ETH.</x:t>
        </x:r>
      </x:text>
    </x:comment>
    <x:comment ref="B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graduationThreshold = 4.2 ETH.</x:t>
        </x:r>
      </x:text>
    </x:comment>
    <x:comment ref="B8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Creator Tax is editable. Contract cap is 10%; the model applies it to both curve-stage gross input and post-graduation token output.</x:t>
        </x:r>
      </x:text>
    </x:comment>
    <x:comment ref="E7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current V2 Hook policy, hookFeeBps = 100 (1%). Exact-input buys take this fee from token output, so it changes actual wallet control rather than requiring extra Quote directly.</x:t>
        </x:r>
      </x:text>
    </x:comment>
    <x:comment ref="H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0">
    <x:numFmt numFmtId="200" formatCode="$#,##0.0000"/>
    <x:numFmt numFmtId="201" formatCode="#,##0.0000"/>
    <x:numFmt numFmtId="202" formatCode="0.00%"/>
    <x:numFmt numFmtId="203" formatCode="0.0%"/>
    <x:numFmt numFmtId="204" formatCode="#,##0"/>
    <x:numFmt numFmtId="205" formatCode="0.0000E+00"/>
    <x:numFmt numFmtId="206" formatCode="0.0000000000"/>
    <x:numFmt numFmtId="207" formatCode="#,##0.00"/>
    <x:numFmt numFmtId="208" formatCode="$#,##0.00"/>
    <x:numFmt numFmtId="209" formatCode="0.0000"/>
    <x:numFmt numFmtId="210" formatCode="0"/>
    <x:numFmt numFmtId="211" formatCode="0.00000000"/>
    <x:numFmt numFmtId="212" formatCode="0.0000%"/>
    <x:numFmt numFmtId="213" formatCode="#,##0.00000000"/>
    <x:numFmt numFmtId="214" formatCode="@"/>
    <x:numFmt numFmtId="215" formatCode="0.000000000"/>
    <x:numFmt numFmtId="216" formatCode="0.0000x"/>
    <x:numFmt numFmtId="217" formatCode="General"/>
    <x:numFmt numFmtId="218" formatCode="0.000000"/>
    <x:numFmt numFmtId="219" formatCode="#,##0.000000"/>
  </x:numFmts>
  <x:fonts count="3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202A"/>
      <x:name val="Carlito"/>
    </x:font>
    <x:font>
      <x:b/>
      <x:sz val="11"/>
      <x:color rgb="FF17365D"/>
      <x:name val="Carlito"/>
    </x:font>
    <x:font>
      <x:b/>
      <x:sz val="11"/>
      <x:color rgb="FF5B2C0C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b/>
      <x:sz val="11"/>
      <x:color rgb="FF374151"/>
      <x:name val="Carlito"/>
    </x:font>
    <x:font>
      <x:b/>
      <x:sz val="11"/>
      <x:color rgb="FF1F4E78"/>
      <x:name val="Carlito"/>
    </x:font>
    <x:font>
      <x:sz val="11"/>
      <x:color rgb="FF375623"/>
      <x:name val="Carlito"/>
    </x:font>
    <x:font>
      <x:b/>
      <x:sz val="18"/>
      <x:color rgb="FFFFFFFF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  <x:font>
      <x:sz val="11"/>
      <x:color rgb="FF38434A"/>
      <x:name val="Carlito"/>
    </x:font>
    <x:font>
      <x:sz val="11"/>
      <x:color rgb="FF008000"/>
      <x:name val="Carlito"/>
    </x:font>
    <x:font>
      <x:b/>
      <x:sz val="16"/>
      <x:color rgb="FFFFFFFF"/>
      <x:name val="Arial"/>
    </x:font>
    <x:font>
      <x:b/>
      <x:sz val="10"/>
      <x:color rgb="FF1F4E78"/>
      <x:name val="Arial"/>
    </x:font>
    <x:font>
      <x:sz val="10"/>
      <x:color rgb="FF008000"/>
      <x:name val="Arial"/>
    </x:font>
    <x:font>
      <x:b/>
      <x:sz val="10"/>
      <x:color rgb="FF22313F"/>
      <x:name val="Arial"/>
    </x:font>
    <x:font>
      <x:sz val="10"/>
      <x:name val="Arial"/>
    </x:font>
    <x:font>
      <x:b/>
      <x:sz val="10"/>
      <x:color rgb="FF008000"/>
      <x:name val="Arial"/>
    </x:font>
    <x:font>
      <x:i/>
      <x:sz val="10"/>
      <x:color rgb="FF6B7280"/>
      <x:name val="Arial"/>
    </x:font>
    <x:font>
      <x:sz val="9"/>
      <x:color rgb="FF008000"/>
      <x:name val="Arial"/>
    </x:font>
    <x:font>
      <x:b/>
      <x:sz val="11"/>
      <x:color rgb="FF17202A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sz val="11"/>
      <x:color rgb="FF111827"/>
      <x:name val="Carlito"/>
    </x:font>
    <x:font>
      <x:b/>
      <x:sz val="11"/>
      <x:color rgb="FF5B2C0C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8F6"/>
      </x:patternFill>
    </x:fill>
    <x:fill>
      <x:patternFill patternType="solid">
        <x:fgColor rgb="FFF6D2B8"/>
      </x:patternFill>
    </x:fill>
    <x:fill>
      <x:patternFill patternType="solid">
        <x:fgColor rgb="FF7A2334"/>
      </x:patternFill>
    </x:fill>
    <x:fill>
      <x:patternFill patternType="solid">
        <x:fgColor rgb="FFA9CBE8"/>
      </x:patternFill>
    </x:fill>
    <x:fill>
      <x:patternFill patternType="solid">
        <x:fgColor rgb="FF466A2A"/>
      </x:patternFill>
    </x:fill>
    <x:fill>
      <x:patternFill patternType="solid">
        <x:fgColor rgb="FFEDF5E5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BDD7EE"/>
      </x:patternFill>
    </x:fill>
    <x:fill>
      <x:patternFill patternType="solid">
        <x:fgColor rgb="FF8B2635"/>
      </x:patternFill>
    </x:fill>
    <x:fill>
      <x:patternFill patternType="solid">
        <x:fgColor rgb="FFF8CBAD"/>
      </x:patternFill>
    </x:fill>
    <x:fill>
      <x:patternFill patternType="solid">
        <x:fgColor rgb="FFF3F8EF"/>
      </x:patternFill>
    </x:fill>
    <x:fill>
      <x:patternFill patternType="solid">
        <x:fgColor rgb="FFF4F7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8F6"/>
      </x:patternFill>
    </x:fill>
    <x:fill>
      <x:patternFill patternType="solid">
        <x:fgColor rgb="FF466A2A"/>
      </x:patternFill>
    </x:fill>
    <x:fill>
      <x:patternFill patternType="solid">
        <x:fgColor rgb="FFA9CBE8"/>
      </x:patternFill>
    </x:fill>
    <x:fill>
      <x:patternFill patternType="solid">
        <x:fgColor rgb="FFEDF5E5"/>
      </x:patternFill>
    </x:fill>
    <x:fill>
      <x:patternFill patternType="solid">
        <x:fgColor rgb="FFFFFFFF"/>
      </x:patternFill>
    </x:fill>
    <x:fill>
      <x:patternFill patternType="solid">
        <x:fgColor rgb="FFF6D2B8"/>
      </x:patternFill>
    </x:fill>
    <x:fill>
      <x:patternFill patternType="solid">
        <x:fgColor rgb="FFD9EAF7"/>
      </x:patternFill>
    </x:fill>
    <x:fill>
      <x:patternFill patternType="solid">
        <x:fgColor rgb="FF548235"/>
      </x:patternFill>
    </x:fill>
    <x:fill>
      <x:patternFill patternType="solid">
        <x:fgColor rgb="FFE2F0D9"/>
      </x:patternFill>
    </x:fill>
    <x:fill>
      <x:patternFill patternType="solid">
        <x:fgColor rgb="FFBDD7EE"/>
      </x:patternFill>
    </x:fill>
    <x:fill>
      <x:patternFill patternType="solid">
        <x:fgColor rgb="FFF8CBAD"/>
      </x:patternFill>
    </x:fill>
  </x:fills>
  <x:borders count="17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B9C8D6"/>
      </x:left>
      <x:right style="thin">
        <x:color rgb="FFB9C8D6"/>
      </x:right>
      <x:top style="thin">
        <x:color rgb="FFB9C8D6"/>
      </x:top>
      <x:bottom style="thin">
        <x:color rgb="FFB9C8D6"/>
      </x:bottom>
    </x:border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A47C"/>
      </x:left>
      <x:right style="thin">
        <x:color rgb="FFD6A47C"/>
      </x:right>
      <x:top style="thin">
        <x:color rgb="FFD6A47C"/>
      </x:top>
      <x:bottom style="thin">
        <x:color rgb="FFD6A47C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7FA34A"/>
      </x:left>
      <x:right style="thin">
        <x:color rgb="FF7FA34A"/>
      </x:right>
      <x:top style="thin">
        <x:color rgb="FF7FA34A"/>
      </x:top>
      <x:bottom style="thin">
        <x:color rgb="FF7FA34A"/>
      </x:bottom>
    </x:border>
    <x:border>
      <x:left style="thin">
        <x:color rgb="FFA8C28A"/>
      </x:left>
      <x:right style="thin">
        <x:color rgb="FFA8C28A"/>
      </x:right>
      <x:top style="thin">
        <x:color rgb="FFA8C28A"/>
      </x:top>
      <x:bottom style="thin">
        <x:color rgb="FFA8C28A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A9C49A"/>
      </x:left>
      <x:right style="thin">
        <x:color rgb="FFA9C49A"/>
      </x:right>
      <x:top style="thin">
        <x:color rgb="FFA9C49A"/>
      </x:top>
      <x:bottom style="thin">
        <x:color rgb="FFA9C49A"/>
      </x:bottom>
    </x:border>
    <x:border>
      <x:left style="thin">
        <x:color rgb="FFAFC3D3"/>
      </x:left>
      <x:right style="thin">
        <x:color rgb="FFAFC3D3"/>
      </x:right>
      <x:top style="thin">
        <x:color rgb="FFAFC3D3"/>
      </x:top>
      <x:bottom style="thin">
        <x:color rgb="FFAFC3D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7DEE3"/>
      </x:left>
      <x:right style="thin">
        <x:color rgb="FFD7DEE3"/>
      </x:right>
      <x:top style="thin">
        <x:color rgb="FFD7DEE3"/>
      </x:top>
      <x:bottom style="thin">
        <x:color rgb="FFD7DEE3"/>
      </x:bottom>
    </x:border>
    <x:border>
      <x:left style="thin">
        <x:color rgb="FFAFC7D9"/>
      </x:left>
      <x:right style="thin">
        <x:color rgb="FFAFC7D9"/>
      </x:right>
      <x:top style="thin">
        <x:color rgb="FFAFC7D9"/>
      </x:top>
      <x:bottom style="thin">
        <x:color rgb="FFAFC7D9"/>
      </x:bottom>
    </x:border>
    <x:border>
      <x:bottom style="thin">
        <x:color rgb="FFE6EDF2"/>
      </x:bottom>
    </x:border>
    <x:border>
      <x:top style="thin">
        <x:color rgb="FFE6EDF2"/>
      </x:top>
      <x:bottom style="thin">
        <x:color rgb="FFE6EDF2"/>
      </x:bottom>
    </x:border>
    <x:border>
      <x:top style="thin">
        <x:color rgb="FFE6EDF2"/>
      </x:top>
      <x:bottom style="thin">
        <x:color rgb="FFD7DEE3"/>
      </x:bottom>
    </x:border>
  </x:borders>
  <x:cellStyleXfs count="1">
    <x:xf numFmtId="0" fontId="0" fillId="0" borderId="0"/>
  </x:cellStyleXfs>
  <x:cellXfs count="5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0" fillId="0" borderId="3" xfId="0" applyNumberFormat="1" applyFont="1" applyFill="1" applyBorder="1"/>
    <x:xf numFmtId="0" fontId="3" fillId="3" borderId="3" xfId="0" applyNumberFormat="1" applyFont="1" applyFill="1" applyBorder="1"/>
    <x:xf numFmtId="200" fontId="3" fillId="3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201" fontId="4" fillId="4" borderId="4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left"/>
    </x:xf>
    <x:xf numFmtId="0" fontId="5" fillId="5" borderId="0" xfId="0" applyNumberFormat="1" applyFont="1" applyFill="1" applyBorder="1" applyAlignment="1">
      <x:alignment horizontal="left" vertical="center"/>
    </x:xf>
    <x:xf numFmtId="0" fontId="0" fillId="0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2" fillId="6" borderId="3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5" fillId="7" borderId="6" xfId="0" applyNumberFormat="1" applyFont="1" applyFill="1" applyBorder="1" applyAlignment="1">
      <x:alignment horizontal="center" vertical="center" wrapText="1"/>
    </x:xf>
    <x:xf numFmtId="0" fontId="2" fillId="8" borderId="5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6" fillId="8" borderId="5" xfId="0" applyNumberFormat="1" applyFont="1" applyFill="1" applyBorder="1" applyAlignment="1">
      <x:alignment vertical="center"/>
    </x:xf>
    <x:xf numFmtId="0" fontId="6" fillId="8" borderId="3" xfId="0" applyNumberFormat="1" applyFont="1" applyFill="1" applyBorder="1" applyAlignment="1">
      <x:alignment vertical="center"/>
    </x:xf>
    <x:xf numFmtId="0" fontId="6" fillId="8" borderId="7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200" fontId="0" fillId="3" borderId="3" xfId="0" applyNumberFormat="1" applyFont="1" applyFill="1" applyBorder="1"/>
    <x:xf numFmtId="201" fontId="0" fillId="3" borderId="3" xfId="0" applyNumberFormat="1" applyFont="1" applyFill="1" applyBorder="1"/>
    <x:xf numFmtId="202" fontId="0" fillId="3" borderId="3" xfId="0" applyNumberFormat="1" applyFont="1" applyFill="1" applyBorder="1"/>
    <x:xf numFmtId="201" fontId="3" fillId="3" borderId="3" xfId="0" applyNumberFormat="1" applyFont="1" applyFill="1" applyBorder="1"/>
    <x:xf numFmtId="202" fontId="3" fillId="3" borderId="3" xfId="0" applyNumberFormat="1" applyFont="1" applyFill="1" applyBorder="1"/>
    <x:xf numFmtId="200" fontId="3" fillId="3" borderId="2" xfId="0" applyNumberFormat="1" applyFont="1" applyFill="1" applyBorder="1"/>
    <x:xf numFmtId="201" fontId="3" fillId="3" borderId="2" xfId="0" applyNumberFormat="1" applyFont="1" applyFill="1" applyBorder="1"/>
    <x:xf numFmtId="202" fontId="3" fillId="3" borderId="2" xfId="0" applyNumberFormat="1" applyFont="1" applyFill="1" applyBorder="1"/>
    <x:xf numFmtId="201" fontId="0" fillId="3" borderId="0" xfId="0" applyNumberFormat="1" applyFont="1" applyFill="1" applyBorder="1"/>
    <x:xf numFmtId="201" fontId="3" fillId="3" borderId="0" xfId="0" applyNumberFormat="1" applyFont="1" applyFill="1" applyBorder="1"/>
    <x:xf numFmtId="0" fontId="7" fillId="0" borderId="3" xfId="0" applyNumberFormat="1" applyFont="1" applyFill="1" applyBorder="1"/>
    <x:xf numFmtId="0" fontId="7" fillId="0" borderId="0" xfId="0" applyNumberFormat="1" applyFont="1" applyFill="1" applyBorder="1"/>
    <x:xf numFmtId="203" fontId="2" fillId="6" borderId="5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2" fillId="3" borderId="1" xfId="0" applyNumberFormat="1" applyFont="1" applyFill="1" applyBorder="1" applyAlignment="1">
      <x:alignment horizontal="center" vertical="center" wrapText="1"/>
    </x:xf>
    <x:xf numFmtId="203" fontId="5" fillId="5" borderId="0" xfId="0" applyNumberFormat="1" applyFont="1" applyFill="1" applyBorder="1" applyAlignment="1">
      <x:alignment horizontal="left" vertical="center"/>
    </x:xf>
    <x:xf numFmtId="203" fontId="4" fillId="4" borderId="4" xfId="0" applyNumberFormat="1" applyFont="1" applyFill="1" applyBorder="1" applyAlignment="1">
      <x:alignment vertical="center"/>
    </x:xf>
    <x:xf numFmtId="204" fontId="2" fillId="6" borderId="5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4" fontId="2" fillId="3" borderId="1" xfId="0" applyNumberFormat="1" applyFont="1" applyFill="1" applyBorder="1" applyAlignment="1">
      <x:alignment horizontal="center" vertical="center" wrapText="1"/>
    </x:xf>
    <x:xf numFmtId="204" fontId="5" fillId="5" borderId="0" xfId="0" applyNumberFormat="1" applyFont="1" applyFill="1" applyBorder="1" applyAlignment="1">
      <x:alignment horizontal="left" vertical="center"/>
    </x:xf>
    <x:xf numFmtId="204" fontId="4" fillId="4" borderId="4" xfId="0" applyNumberFormat="1" applyFont="1" applyFill="1" applyBorder="1" applyAlignment="1">
      <x:alignment vertical="center"/>
    </x:xf>
    <x:xf numFmtId="201" fontId="2" fillId="6" borderId="5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2" fillId="3" borderId="1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left" vertical="center"/>
    </x:xf>
    <x:xf numFmtId="201" fontId="4" fillId="4" borderId="4" xfId="0" applyNumberFormat="1" applyFont="1" applyFill="1" applyBorder="1" applyAlignment="1">
      <x:alignment vertical="center"/>
    </x:xf>
    <x:xf numFmtId="205" fontId="2" fillId="6" borderId="5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2" fillId="3" borderId="1" xfId="0" applyNumberFormat="1" applyFont="1" applyFill="1" applyBorder="1" applyAlignment="1">
      <x:alignment horizontal="center" vertical="center" wrapText="1"/>
    </x:xf>
    <x:xf numFmtId="205" fontId="5" fillId="5" borderId="0" xfId="0" applyNumberFormat="1" applyFont="1" applyFill="1" applyBorder="1" applyAlignment="1">
      <x:alignment horizontal="left" vertical="center"/>
    </x:xf>
    <x:xf numFmtId="205" fontId="4" fillId="4" borderId="4" xfId="0" applyNumberFormat="1" applyFont="1" applyFill="1" applyBorder="1" applyAlignment="1">
      <x:alignment vertical="center"/>
    </x:xf>
    <x:xf numFmtId="206" fontId="2" fillId="6" borderId="5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06" fontId="2" fillId="3" borderId="1" xfId="0" applyNumberFormat="1" applyFont="1" applyFill="1" applyBorder="1" applyAlignment="1">
      <x:alignment horizontal="center" vertical="center" wrapText="1"/>
    </x:xf>
    <x:xf numFmtId="206" fontId="5" fillId="5" borderId="0" xfId="0" applyNumberFormat="1" applyFont="1" applyFill="1" applyBorder="1" applyAlignment="1">
      <x:alignment horizontal="left" vertical="center"/>
    </x:xf>
    <x:xf numFmtId="206" fontId="4" fillId="4" borderId="4" xfId="0" applyNumberFormat="1" applyFont="1" applyFill="1" applyBorder="1" applyAlignment="1">
      <x:alignment vertical="center"/>
    </x:xf>
    <x:xf numFmtId="207" fontId="2" fillId="6" borderId="5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7" fontId="2" fillId="3" borderId="1" xfId="0" applyNumberFormat="1" applyFont="1" applyFill="1" applyBorder="1" applyAlignment="1">
      <x:alignment horizontal="center" vertical="center" wrapText="1"/>
    </x:xf>
    <x:xf numFmtId="207" fontId="5" fillId="5" borderId="0" xfId="0" applyNumberFormat="1" applyFont="1" applyFill="1" applyBorder="1" applyAlignment="1">
      <x:alignment horizontal="left" vertical="center"/>
    </x:xf>
    <x:xf numFmtId="207" fontId="4" fillId="4" borderId="4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8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9" xfId="0" applyNumberFormat="1" applyFont="1" applyFill="1" applyBorder="1"/>
    <x:xf numFmtId="209" fontId="8" fillId="9" borderId="8" xfId="0" applyNumberFormat="1" applyFont="1" applyFill="1" applyBorder="1"/>
    <x:xf numFmtId="210" fontId="8" fillId="9" borderId="8" xfId="0" applyNumberFormat="1" applyFont="1" applyFill="1" applyBorder="1"/>
    <x:xf numFmtId="202" fontId="9" fillId="10" borderId="9" xfId="0" applyNumberFormat="1" applyFont="1" applyFill="1" applyBorder="1"/>
    <x:xf numFmtId="202" fontId="8" fillId="9" borderId="8" xfId="0" applyNumberFormat="1" applyFont="1" applyFill="1" applyBorder="1"/>
    <x:xf numFmtId="211" fontId="9" fillId="10" borderId="9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left"/>
    </x:xf>
    <x:xf numFmtId="0" fontId="10" fillId="11" borderId="0" xfId="0" applyNumberFormat="1" applyFont="1" applyFill="1" applyBorder="1" applyAlignment="1">
      <x:alignment horizontal="left" vertical="center"/>
    </x:xf>
    <x:xf numFmtId="0" fontId="11" fillId="9" borderId="0" xfId="0" applyNumberFormat="1" applyFont="1" applyFill="1" applyBorder="1"/>
    <x:xf numFmtId="0" fontId="11" fillId="9" borderId="10" xfId="0" applyNumberFormat="1" applyFont="1" applyFill="1" applyBorder="1"/>
    <x:xf numFmtId="0" fontId="11" fillId="9" borderId="10" xfId="0" applyNumberFormat="1" applyFont="1" applyFill="1" applyBorder="1" applyAlignment="1">
      <x:alignment horizontal="center"/>
    </x:xf>
    <x:xf numFmtId="0" fontId="11" fillId="9" borderId="10" xfId="0" applyNumberFormat="1" applyFont="1" applyFill="1" applyBorder="1" applyAlignment="1">
      <x:alignment horizontal="center" vertical="center"/>
    </x:xf>
    <x:xf numFmtId="0" fontId="11" fillId="12" borderId="10" xfId="0" applyNumberFormat="1" applyFont="1" applyFill="1" applyBorder="1" applyAlignment="1">
      <x:alignment horizontal="center" vertical="center"/>
    </x:xf>
    <x:xf numFmtId="0" fontId="5" fillId="12" borderId="10" xfId="0" applyNumberFormat="1" applyFont="1" applyFill="1" applyBorder="1" applyAlignment="1">
      <x:alignment horizontal="center" vertical="center"/>
    </x:xf>
    <x:xf numFmtId="0" fontId="5" fillId="10" borderId="1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/>
    <x:xf numFmtId="0" fontId="12" fillId="10" borderId="1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3" fillId="13" borderId="0" xfId="0" applyNumberFormat="1" applyFont="1" applyFill="1" applyBorder="1"/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211" fontId="8" fillId="9" borderId="8" xfId="0" applyNumberFormat="1" applyFont="1" applyFill="1" applyBorder="1"/>
    <x:xf numFmtId="212" fontId="9" fillId="10" borderId="9" xfId="0" applyNumberFormat="1" applyFont="1" applyFill="1" applyBorder="1"/>
    <x:xf numFmtId="212" fontId="0" fillId="0" borderId="0" xfId="0" applyNumberFormat="1" applyFont="1" applyFill="1" applyBorder="1"/>
    <x:xf numFmtId="212" fontId="13" fillId="13" borderId="0" xfId="0" applyNumberFormat="1" applyFont="1" applyFill="1" applyBorder="1"/>
    <x:xf numFmtId="212" fontId="14" fillId="15" borderId="0" xfId="0" applyNumberFormat="1" applyFont="1" applyFill="1" applyBorder="1"/>
    <x:xf numFmtId="204" fontId="13" fillId="13" borderId="0" xfId="0" applyNumberFormat="1" applyFont="1" applyFill="1" applyBorder="1"/>
    <x:xf numFmtId="204" fontId="11" fillId="9" borderId="10" xfId="0" applyNumberFormat="1" applyFont="1" applyFill="1" applyBorder="1" applyAlignment="1">
      <x:alignment horizontal="center" vertical="center"/>
    </x:xf>
    <x:xf numFmtId="204" fontId="5" fillId="14" borderId="0" xfId="0" applyNumberFormat="1" applyFont="1" applyFill="1" applyBorder="1"/>
    <x:xf numFmtId="204" fontId="14" fillId="15" borderId="0" xfId="0" applyNumberFormat="1" applyFont="1" applyFill="1" applyBorder="1"/>
    <x:xf numFmtId="201" fontId="13" fillId="13" borderId="0" xfId="0" applyNumberFormat="1" applyFont="1" applyFill="1" applyBorder="1"/>
    <x:xf numFmtId="201" fontId="11" fillId="9" borderId="10" xfId="0" applyNumberFormat="1" applyFont="1" applyFill="1" applyBorder="1" applyAlignment="1">
      <x:alignment horizontal="center" vertical="center"/>
    </x:xf>
    <x:xf numFmtId="201" fontId="5" fillId="14" borderId="0" xfId="0" applyNumberFormat="1" applyFont="1" applyFill="1" applyBorder="1"/>
    <x:xf numFmtId="201" fontId="14" fillId="15" borderId="0" xfId="0" applyNumberFormat="1" applyFont="1" applyFill="1" applyBorder="1"/>
    <x:xf numFmtId="205" fontId="13" fillId="13" borderId="0" xfId="0" applyNumberFormat="1" applyFont="1" applyFill="1" applyBorder="1"/>
    <x:xf numFmtId="205" fontId="11" fillId="9" borderId="10" xfId="0" applyNumberFormat="1" applyFont="1" applyFill="1" applyBorder="1" applyAlignment="1">
      <x:alignment horizontal="center" vertical="center"/>
    </x:xf>
    <x:xf numFmtId="205" fontId="5" fillId="14" borderId="0" xfId="0" applyNumberFormat="1" applyFont="1" applyFill="1" applyBorder="1"/>
    <x:xf numFmtId="205" fontId="14" fillId="15" borderId="0" xfId="0" applyNumberFormat="1" applyFont="1" applyFill="1" applyBorder="1"/>
    <x:xf numFmtId="206" fontId="13" fillId="13" borderId="0" xfId="0" applyNumberFormat="1" applyFont="1" applyFill="1" applyBorder="1"/>
    <x:xf numFmtId="206" fontId="11" fillId="9" borderId="10" xfId="0" applyNumberFormat="1" applyFont="1" applyFill="1" applyBorder="1" applyAlignment="1">
      <x:alignment horizontal="center" vertical="center"/>
    </x:xf>
    <x:xf numFmtId="206" fontId="5" fillId="14" borderId="0" xfId="0" applyNumberFormat="1" applyFont="1" applyFill="1" applyBorder="1"/>
    <x:xf numFmtId="206" fontId="14" fillId="15" borderId="0" xfId="0" applyNumberFormat="1" applyFont="1" applyFill="1" applyBorder="1"/>
    <x:xf numFmtId="208" fontId="13" fillId="13" borderId="0" xfId="0" applyNumberFormat="1" applyFont="1" applyFill="1" applyBorder="1"/>
    <x:xf numFmtId="208" fontId="11" fillId="9" borderId="10" xfId="0" applyNumberFormat="1" applyFont="1" applyFill="1" applyBorder="1" applyAlignment="1">
      <x:alignment horizontal="center" vertical="center"/>
    </x:xf>
    <x:xf numFmtId="208" fontId="5" fillId="14" borderId="0" xfId="0" applyNumberFormat="1" applyFont="1" applyFill="1" applyBorder="1"/>
    <x:xf numFmtId="208" fontId="14" fillId="15" borderId="0" xfId="0" applyNumberFormat="1" applyFont="1" applyFill="1" applyBorder="1"/>
    <x:xf numFmtId="213" fontId="0" fillId="0" borderId="0" xfId="0" applyNumberFormat="1" applyFont="1" applyFill="1" applyBorder="1"/>
    <x:xf numFmtId="213" fontId="12" fillId="10" borderId="0" xfId="0" applyNumberFormat="1" applyFont="1" applyFill="1" applyBorder="1"/>
    <x:xf numFmtId="213" fontId="13" fillId="13" borderId="0" xfId="0" applyNumberFormat="1" applyFont="1" applyFill="1" applyBorder="1"/>
    <x:xf numFmtId="213" fontId="11" fillId="9" borderId="10" xfId="0" applyNumberFormat="1" applyFont="1" applyFill="1" applyBorder="1" applyAlignment="1">
      <x:alignment horizontal="center" vertical="center"/>
    </x:xf>
    <x:xf numFmtId="213" fontId="12" fillId="10" borderId="10" xfId="0" applyNumberFormat="1" applyFont="1" applyFill="1" applyBorder="1" applyAlignment="1">
      <x:alignment horizontal="center" vertical="center"/>
    </x:xf>
    <x:xf numFmtId="213" fontId="5" fillId="14" borderId="0" xfId="0" applyNumberFormat="1" applyFont="1" applyFill="1" applyBorder="1"/>
    <x:xf numFmtId="213" fontId="14" fillId="15" borderId="0" xfId="0" applyNumberFormat="1" applyFont="1" applyFill="1" applyBorder="1"/>
    <x:xf numFmtId="212" fontId="0" fillId="16" borderId="0" xfId="0" applyNumberFormat="1" applyFont="1" applyFill="1" applyBorder="1"/>
    <x:xf numFmtId="204" fontId="0" fillId="16" borderId="0" xfId="0" applyNumberFormat="1" applyFont="1" applyFill="1" applyBorder="1"/>
    <x:xf numFmtId="201" fontId="0" fillId="16" borderId="0" xfId="0" applyNumberFormat="1" applyFont="1" applyFill="1" applyBorder="1"/>
    <x:xf numFmtId="205" fontId="0" fillId="16" borderId="0" xfId="0" applyNumberFormat="1" applyFont="1" applyFill="1" applyBorder="1"/>
    <x:xf numFmtId="206" fontId="0" fillId="16" borderId="0" xfId="0" applyNumberFormat="1" applyFont="1" applyFill="1" applyBorder="1"/>
    <x:xf numFmtId="208" fontId="0" fillId="16" borderId="0" xfId="0" applyNumberFormat="1" applyFont="1" applyFill="1" applyBorder="1"/>
    <x:xf numFmtId="213" fontId="0" fillId="16" borderId="0" xfId="0" applyNumberFormat="1" applyFont="1" applyFill="1" applyBorder="1"/>
    <x:xf numFmtId="212" fontId="12" fillId="16" borderId="0" xfId="0" applyNumberFormat="1" applyFont="1" applyFill="1" applyBorder="1"/>
    <x:xf numFmtId="204" fontId="12" fillId="16" borderId="0" xfId="0" applyNumberFormat="1" applyFont="1" applyFill="1" applyBorder="1"/>
    <x:xf numFmtId="201" fontId="12" fillId="16" borderId="0" xfId="0" applyNumberFormat="1" applyFont="1" applyFill="1" applyBorder="1"/>
    <x:xf numFmtId="205" fontId="12" fillId="16" borderId="0" xfId="0" applyNumberFormat="1" applyFont="1" applyFill="1" applyBorder="1"/>
    <x:xf numFmtId="206" fontId="12" fillId="16" borderId="0" xfId="0" applyNumberFormat="1" applyFont="1" applyFill="1" applyBorder="1"/>
    <x:xf numFmtId="208" fontId="12" fillId="16" borderId="0" xfId="0" applyNumberFormat="1" applyFont="1" applyFill="1" applyBorder="1"/>
    <x:xf numFmtId="213" fontId="12" fillId="16" borderId="0" xfId="0" applyNumberFormat="1" applyFont="1" applyFill="1" applyBorder="1"/>
    <x:xf numFmtId="212" fontId="12" fillId="16" borderId="11" xfId="0" applyNumberFormat="1" applyFont="1" applyFill="1" applyBorder="1"/>
    <x:xf numFmtId="204" fontId="12" fillId="16" borderId="11" xfId="0" applyNumberFormat="1" applyFont="1" applyFill="1" applyBorder="1"/>
    <x:xf numFmtId="201" fontId="12" fillId="16" borderId="11" xfId="0" applyNumberFormat="1" applyFont="1" applyFill="1" applyBorder="1"/>
    <x:xf numFmtId="205" fontId="12" fillId="16" borderId="11" xfId="0" applyNumberFormat="1" applyFont="1" applyFill="1" applyBorder="1"/>
    <x:xf numFmtId="206" fontId="12" fillId="16" borderId="11" xfId="0" applyNumberFormat="1" applyFont="1" applyFill="1" applyBorder="1"/>
    <x:xf numFmtId="208" fontId="12" fillId="16" borderId="11" xfId="0" applyNumberFormat="1" applyFont="1" applyFill="1" applyBorder="1"/>
    <x:xf numFmtId="213" fontId="12" fillId="16" borderId="11" xfId="0" applyNumberFormat="1" applyFont="1" applyFill="1" applyBorder="1"/>
    <x:xf numFmtId="213" fontId="12" fillId="10" borderId="11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left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12" xfId="0" applyNumberFormat="1" applyFont="1" applyFill="1" applyBorder="1"/>
    <x:xf numFmtId="0" fontId="15" fillId="17" borderId="12" xfId="0" applyNumberFormat="1" applyFont="1" applyFill="1" applyBorder="1" applyAlignment="1">
      <x:alignment wrapText="1"/>
    </x:xf>
    <x:xf numFmtId="0" fontId="16" fillId="17" borderId="12" xfId="0" applyNumberFormat="1" applyFont="1" applyFill="1" applyBorder="1" applyAlignment="1">
      <x:alignment wrapText="1"/>
    </x:xf>
    <x:xf numFmtId="214" fontId="16" fillId="17" borderId="12" xfId="0" applyNumberFormat="1" applyFont="1" applyFill="1" applyBorder="1" applyAlignment="1">
      <x:alignment wrapText="1"/>
    </x:xf>
    <x:xf numFmtId="214" fontId="15" fillId="17" borderId="12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215" fontId="0" fillId="0" borderId="11" xfId="0" applyNumberFormat="1" applyFont="1" applyFill="1" applyBorder="1"/>
    <x:xf numFmtId="212" fontId="0" fillId="0" borderId="11" xfId="0" applyNumberFormat="1" applyFont="1" applyFill="1" applyBorder="1"/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/>
    <x:xf numFmtId="0" fontId="19" fillId="0" borderId="0" xfId="0" applyNumberFormat="1" applyFont="1" applyFill="1" applyBorder="1"/>
    <x:xf numFmtId="204" fontId="19" fillId="0" borderId="0" xfId="0" applyNumberFormat="1" applyFont="1" applyFill="1" applyBorder="1"/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0" fillId="19" borderId="13" xfId="0" applyNumberFormat="1" applyFont="1" applyFill="1" applyBorder="1"/>
    <x:xf numFmtId="0" fontId="20" fillId="19" borderId="13" xfId="0" applyNumberFormat="1" applyFont="1" applyFill="1" applyBorder="1" applyAlignment="1">
      <x:alignment horizontal="center"/>
    </x:xf>
    <x:xf numFmtId="0" fontId="20" fillId="19" borderId="13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14" xfId="0" applyNumberFormat="1" applyFont="1" applyFill="1" applyBorder="1"/>
    <x:xf numFmtId="0" fontId="21" fillId="0" borderId="15" xfId="0" applyNumberFormat="1" applyFont="1" applyFill="1" applyBorder="1"/>
    <x:xf numFmtId="0" fontId="21" fillId="0" borderId="16" xfId="0" applyNumberFormat="1" applyFont="1" applyFill="1" applyBorder="1"/>
    <x:xf numFmtId="0" fontId="21" fillId="0" borderId="14" xfId="0" applyNumberFormat="1" applyFont="1" applyFill="1" applyBorder="1" applyAlignment="1">
      <x:alignment vertical="center"/>
    </x:xf>
    <x:xf numFmtId="0" fontId="21" fillId="0" borderId="15" xfId="0" applyNumberFormat="1" applyFont="1" applyFill="1" applyBorder="1" applyAlignment="1">
      <x:alignment vertical="center"/>
    </x:xf>
    <x:xf numFmtId="0" fontId="21" fillId="0" borderId="16" xfId="0" applyNumberFormat="1" applyFont="1" applyFill="1" applyBorder="1" applyAlignment="1">
      <x:alignment vertical="center"/>
    </x:xf>
    <x:xf numFmtId="0" fontId="19" fillId="0" borderId="14" xfId="0" applyNumberFormat="1" applyFont="1" applyFill="1" applyBorder="1" applyAlignment="1">
      <x:alignment vertical="center"/>
    </x:xf>
    <x:xf numFmtId="0" fontId="19" fillId="0" borderId="15" xfId="0" applyNumberFormat="1" applyFont="1" applyFill="1" applyBorder="1" applyAlignment="1">
      <x:alignment vertical="center"/>
    </x:xf>
    <x:xf numFmtId="0" fontId="19" fillId="0" borderId="16" xfId="0" applyNumberFormat="1" applyFont="1" applyFill="1" applyBorder="1" applyAlignment="1">
      <x:alignment vertical="center"/>
    </x:xf>
    <x:xf numFmtId="0" fontId="22" fillId="0" borderId="14" xfId="0" applyNumberFormat="1" applyFont="1" applyFill="1" applyBorder="1" applyAlignment="1">
      <x:alignment vertical="center"/>
    </x:xf>
    <x:xf numFmtId="0" fontId="22" fillId="0" borderId="15" xfId="0" applyNumberFormat="1" applyFont="1" applyFill="1" applyBorder="1" applyAlignment="1">
      <x:alignment vertical="center"/>
    </x:xf>
    <x:xf numFmtId="0" fontId="22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vertical="center"/>
    </x:xf>
    <x:xf numFmtId="210" fontId="19" fillId="0" borderId="15" xfId="0" applyNumberFormat="1" applyFont="1" applyFill="1" applyBorder="1" applyAlignment="1">
      <x:alignment vertical="center"/>
    </x:xf>
    <x:xf numFmtId="210" fontId="19" fillId="0" borderId="16" xfId="0" applyNumberFormat="1" applyFont="1" applyFill="1" applyBorder="1" applyAlignment="1">
      <x:alignment vertical="center"/>
    </x:xf>
    <x:xf numFmtId="213" fontId="19" fillId="0" borderId="14" xfId="0" applyNumberFormat="1" applyFont="1" applyFill="1" applyBorder="1" applyAlignment="1">
      <x:alignment vertical="center"/>
    </x:xf>
    <x:xf numFmtId="213" fontId="21" fillId="0" borderId="14" xfId="0" applyNumberFormat="1" applyFont="1" applyFill="1" applyBorder="1" applyAlignment="1">
      <x:alignment vertical="center"/>
    </x:xf>
    <x:xf numFmtId="213" fontId="19" fillId="0" borderId="15" xfId="0" applyNumberFormat="1" applyFont="1" applyFill="1" applyBorder="1" applyAlignment="1">
      <x:alignment vertical="center"/>
    </x:xf>
    <x:xf numFmtId="213" fontId="21" fillId="0" borderId="15" xfId="0" applyNumberFormat="1" applyFont="1" applyFill="1" applyBorder="1" applyAlignment="1">
      <x:alignment vertical="center"/>
    </x:xf>
    <x:xf numFmtId="213" fontId="19" fillId="0" borderId="16" xfId="0" applyNumberFormat="1" applyFont="1" applyFill="1" applyBorder="1" applyAlignment="1">
      <x:alignment vertical="center"/>
    </x:xf>
    <x:xf numFmtId="213" fontId="21" fillId="0" borderId="16" xfId="0" applyNumberFormat="1" applyFont="1" applyFill="1" applyBorder="1" applyAlignment="1">
      <x:alignment vertical="center"/>
    </x:xf>
    <x:xf numFmtId="216" fontId="21" fillId="0" borderId="14" xfId="0" applyNumberFormat="1" applyFont="1" applyFill="1" applyBorder="1" applyAlignment="1">
      <x:alignment vertical="center"/>
    </x:xf>
    <x:xf numFmtId="216" fontId="21" fillId="0" borderId="15" xfId="0" applyNumberFormat="1" applyFont="1" applyFill="1" applyBorder="1" applyAlignment="1">
      <x:alignment vertical="center"/>
    </x:xf>
    <x:xf numFmtId="216" fontId="21" fillId="0" borderId="16" xfId="0" applyNumberFormat="1" applyFont="1" applyFill="1" applyBorder="1" applyAlignment="1">
      <x:alignment vertical="center"/>
    </x:xf>
    <x:xf numFmtId="212" fontId="21" fillId="0" borderId="14" xfId="0" applyNumberFormat="1" applyFont="1" applyFill="1" applyBorder="1" applyAlignment="1">
      <x:alignment vertical="center"/>
    </x:xf>
    <x:xf numFmtId="212" fontId="21" fillId="0" borderId="15" xfId="0" applyNumberFormat="1" applyFont="1" applyFill="1" applyBorder="1" applyAlignment="1">
      <x:alignment vertical="center"/>
    </x:xf>
    <x:xf numFmtId="212" fontId="21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horizontal="right" vertical="center"/>
    </x:xf>
    <x:xf numFmtId="213" fontId="19" fillId="0" borderId="14" xfId="0" applyNumberFormat="1" applyFont="1" applyFill="1" applyBorder="1" applyAlignment="1">
      <x:alignment horizontal="right" vertical="center"/>
    </x:xf>
    <x:xf numFmtId="216" fontId="21" fillId="0" borderId="14" xfId="0" applyNumberFormat="1" applyFont="1" applyFill="1" applyBorder="1" applyAlignment="1">
      <x:alignment horizontal="right" vertical="center"/>
    </x:xf>
    <x:xf numFmtId="213" fontId="21" fillId="0" borderId="14" xfId="0" applyNumberFormat="1" applyFont="1" applyFill="1" applyBorder="1" applyAlignment="1">
      <x:alignment horizontal="right" vertical="center"/>
    </x:xf>
    <x:xf numFmtId="212" fontId="21" fillId="0" borderId="14" xfId="0" applyNumberFormat="1" applyFont="1" applyFill="1" applyBorder="1" applyAlignment="1">
      <x:alignment horizontal="right" vertical="center"/>
    </x:xf>
    <x:xf numFmtId="210" fontId="19" fillId="0" borderId="15" xfId="0" applyNumberFormat="1" applyFont="1" applyFill="1" applyBorder="1" applyAlignment="1">
      <x:alignment horizontal="right" vertical="center"/>
    </x:xf>
    <x:xf numFmtId="213" fontId="19" fillId="0" borderId="15" xfId="0" applyNumberFormat="1" applyFont="1" applyFill="1" applyBorder="1" applyAlignment="1">
      <x:alignment horizontal="right" vertical="center"/>
    </x:xf>
    <x:xf numFmtId="216" fontId="21" fillId="0" borderId="15" xfId="0" applyNumberFormat="1" applyFont="1" applyFill="1" applyBorder="1" applyAlignment="1">
      <x:alignment horizontal="right" vertical="center"/>
    </x:xf>
    <x:xf numFmtId="213" fontId="21" fillId="0" borderId="15" xfId="0" applyNumberFormat="1" applyFont="1" applyFill="1" applyBorder="1" applyAlignment="1">
      <x:alignment horizontal="right" vertical="center"/>
    </x:xf>
    <x:xf numFmtId="212" fontId="21" fillId="0" borderId="15" xfId="0" applyNumberFormat="1" applyFont="1" applyFill="1" applyBorder="1" applyAlignment="1">
      <x:alignment horizontal="right" vertical="center"/>
    </x:xf>
    <x:xf numFmtId="210" fontId="19" fillId="0" borderId="16" xfId="0" applyNumberFormat="1" applyFont="1" applyFill="1" applyBorder="1" applyAlignment="1">
      <x:alignment horizontal="right" vertical="center"/>
    </x:xf>
    <x:xf numFmtId="213" fontId="19" fillId="0" borderId="16" xfId="0" applyNumberFormat="1" applyFont="1" applyFill="1" applyBorder="1" applyAlignment="1">
      <x:alignment horizontal="right" vertical="center"/>
    </x:xf>
    <x:xf numFmtId="216" fontId="21" fillId="0" borderId="16" xfId="0" applyNumberFormat="1" applyFont="1" applyFill="1" applyBorder="1" applyAlignment="1">
      <x:alignment horizontal="right" vertical="center"/>
    </x:xf>
    <x:xf numFmtId="213" fontId="21" fillId="0" borderId="16" xfId="0" applyNumberFormat="1" applyFont="1" applyFill="1" applyBorder="1" applyAlignment="1">
      <x:alignment horizontal="right" vertical="center"/>
    </x:xf>
    <x:xf numFmtId="212" fontId="21" fillId="0" borderId="16" xfId="0" applyNumberFormat="1" applyFont="1" applyFill="1" applyBorder="1" applyAlignment="1">
      <x:alignment horizontal="right" vertical="center"/>
    </x:xf>
    <x:xf numFmtId="0" fontId="19" fillId="0" borderId="14" xfId="0" applyNumberFormat="1" applyFont="1" applyFill="1" applyBorder="1" applyAlignment="1">
      <x:alignment horizontal="left" vertical="center"/>
    </x:xf>
    <x:xf numFmtId="0" fontId="19" fillId="0" borderId="15" xfId="0" applyNumberFormat="1" applyFont="1" applyFill="1" applyBorder="1" applyAlignment="1">
      <x:alignment horizontal="left" vertical="center"/>
    </x:xf>
    <x:xf numFmtId="0" fontId="19" fillId="0" borderId="16" xfId="0" applyNumberFormat="1" applyFont="1" applyFill="1" applyBorder="1" applyAlignment="1">
      <x:alignment horizontal="left" vertical="center"/>
    </x:xf>
    <x:xf numFmtId="0" fontId="22" fillId="0" borderId="14" xfId="0" applyNumberFormat="1" applyFont="1" applyFill="1" applyBorder="1" applyAlignment="1">
      <x:alignment horizontal="center" vertical="center"/>
    </x:xf>
    <x:xf numFmtId="0" fontId="22" fillId="0" borderId="15" xfId="0" applyNumberFormat="1" applyFont="1" applyFill="1" applyBorder="1" applyAlignment="1">
      <x:alignment horizontal="center" vertical="center"/>
    </x:xf>
    <x:xf numFmtId="0" fontId="22" fillId="0" borderId="16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7" fillId="20" borderId="0" xfId="0" applyNumberFormat="1" applyFont="1" applyFill="1" applyBorder="1"/>
    <x:xf numFmtId="0" fontId="17" fillId="20" borderId="0" xfId="0" applyNumberFormat="1" applyFont="1" applyFill="1" applyBorder="1" applyAlignment="1">
      <x:alignment vertical="center"/>
    </x:xf>
    <x:xf numFmtId="214" fontId="19" fillId="0" borderId="0" xfId="0" applyNumberFormat="1" applyFont="1" applyFill="1" applyBorder="1"/>
    <x:xf numFmtId="0" fontId="0" fillId="21" borderId="0" xfId="0" applyNumberFormat="1" applyFont="1" applyFill="1" applyBorder="1"/>
    <x:xf numFmtId="0" fontId="20" fillId="21" borderId="0" xfId="0" applyNumberFormat="1" applyFont="1" applyFill="1" applyBorder="1"/>
    <x:xf numFmtId="0" fontId="20" fillId="21" borderId="13" xfId="0" applyNumberFormat="1" applyFont="1" applyFill="1" applyBorder="1"/>
    <x:xf numFmtId="0" fontId="20" fillId="21" borderId="13" xfId="0" applyNumberFormat="1" applyFont="1" applyFill="1" applyBorder="1" applyAlignment="1">
      <x:alignment horizontal="center"/>
    </x:xf>
    <x:xf numFmtId="0" fontId="20" fillId="21" borderId="13" xfId="0" applyNumberFormat="1" applyFont="1" applyFill="1" applyBorder="1" applyAlignment="1">
      <x:alignment horizontal="center" vertical="center"/>
    </x:xf>
    <x:xf numFmtId="214" fontId="19" fillId="0" borderId="14" xfId="0" applyNumberFormat="1" applyFont="1" applyFill="1" applyBorder="1" applyAlignment="1">
      <x:alignment vertical="center"/>
    </x:xf>
    <x:xf numFmtId="214" fontId="19" fillId="0" borderId="15" xfId="0" applyNumberFormat="1" applyFont="1" applyFill="1" applyBorder="1" applyAlignment="1">
      <x:alignment vertical="center"/>
    </x:xf>
    <x:xf numFmtId="214" fontId="19" fillId="0" borderId="16" xfId="0" applyNumberFormat="1" applyFont="1" applyFill="1" applyBorder="1" applyAlignment="1">
      <x:alignment vertical="center"/>
    </x:xf>
    <x:xf numFmtId="214" fontId="19" fillId="0" borderId="14" xfId="0" applyNumberFormat="1" applyFont="1" applyFill="1" applyBorder="1" applyAlignment="1">
      <x:alignment horizontal="left" vertical="center"/>
    </x:xf>
    <x:xf numFmtId="214" fontId="19" fillId="0" borderId="15" xfId="0" applyNumberFormat="1" applyFont="1" applyFill="1" applyBorder="1" applyAlignment="1">
      <x:alignment horizontal="left" vertical="center"/>
    </x:xf>
    <x:xf numFmtId="214" fontId="19" fillId="0" borderId="16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17" fillId="22" borderId="0" xfId="0" applyNumberFormat="1" applyFont="1" applyFill="1" applyBorder="1"/>
    <x:xf numFmtId="0" fontId="17" fillId="22" borderId="0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13" xfId="0" applyNumberFormat="1" applyFont="1" applyFill="1" applyBorder="1"/>
    <x:xf numFmtId="0" fontId="20" fillId="23" borderId="13" xfId="0" applyNumberFormat="1" applyFont="1" applyFill="1" applyBorder="1" applyAlignment="1">
      <x:alignment horizontal="center"/>
    </x:xf>
    <x:xf numFmtId="0" fontId="20" fillId="23" borderId="13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17" fillId="24" borderId="0" xfId="0" applyNumberFormat="1" applyFont="1" applyFill="1" applyBorder="1"/>
    <x:xf numFmtId="0" fontId="17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20" fillId="25" borderId="0" xfId="0" applyNumberFormat="1" applyFont="1" applyFill="1" applyBorder="1"/>
    <x:xf numFmtId="0" fontId="20" fillId="25" borderId="13" xfId="0" applyNumberFormat="1" applyFont="1" applyFill="1" applyBorder="1"/>
    <x:xf numFmtId="0" fontId="20" fillId="25" borderId="13" xfId="0" applyNumberFormat="1" applyFont="1" applyFill="1" applyBorder="1" applyAlignment="1">
      <x:alignment horizontal="center"/>
    </x:xf>
    <x:xf numFmtId="0" fontId="20" fillId="25" borderId="13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17" fillId="26" borderId="0" xfId="0" applyNumberFormat="1" applyFont="1" applyFill="1" applyBorder="1"/>
    <x:xf numFmtId="0" fontId="17" fillId="26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14" fontId="23" fillId="0" borderId="0" xfId="0" applyNumberFormat="1" applyFont="1" applyFill="1" applyBorder="1"/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13" xfId="0" applyNumberFormat="1" applyFont="1" applyFill="1" applyBorder="1"/>
    <x:xf numFmtId="0" fontId="20" fillId="27" borderId="13" xfId="0" applyNumberFormat="1" applyFont="1" applyFill="1" applyBorder="1" applyAlignment="1">
      <x:alignment horizontal="center"/>
    </x:xf>
    <x:xf numFmtId="0" fontId="20" fillId="27" borderId="13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13" xfId="0" applyNumberFormat="1" applyFont="1" applyFill="1" applyBorder="1"/>
    <x:xf numFmtId="0" fontId="20" fillId="28" borderId="13" xfId="0" applyNumberFormat="1" applyFont="1" applyFill="1" applyBorder="1" applyAlignment="1">
      <x:alignment horizontal="center"/>
    </x:xf>
    <x:xf numFmtId="0" fontId="20" fillId="28" borderId="13" xfId="0" applyNumberFormat="1" applyFont="1" applyFill="1" applyBorder="1" applyAlignment="1">
      <x:alignment horizontal="center" vertical="center"/>
    </x:xf>
    <x:xf numFmtId="202" fontId="21" fillId="0" borderId="14" xfId="0" applyNumberFormat="1" applyFont="1" applyFill="1" applyBorder="1" applyAlignment="1">
      <x:alignment vertical="center"/>
    </x:xf>
    <x:xf numFmtId="202" fontId="21" fillId="0" borderId="15" xfId="0" applyNumberFormat="1" applyFont="1" applyFill="1" applyBorder="1" applyAlignment="1">
      <x:alignment vertical="center"/>
    </x:xf>
    <x:xf numFmtId="202" fontId="21" fillId="0" borderId="16" xfId="0" applyNumberFormat="1" applyFont="1" applyFill="1" applyBorder="1" applyAlignment="1">
      <x:alignment vertical="center"/>
    </x:xf>
    <x:xf numFmtId="202" fontId="21" fillId="0" borderId="14" xfId="0" applyNumberFormat="1" applyFont="1" applyFill="1" applyBorder="1" applyAlignment="1">
      <x:alignment horizontal="right" vertical="center"/>
    </x:xf>
    <x:xf numFmtId="202" fontId="21" fillId="0" borderId="15" xfId="0" applyNumberFormat="1" applyFont="1" applyFill="1" applyBorder="1" applyAlignment="1">
      <x:alignment horizontal="right" vertical="center"/>
    </x:xf>
    <x:xf numFmtId="202" fontId="21" fillId="0" borderId="16" xfId="0" applyNumberFormat="1" applyFont="1" applyFill="1" applyBorder="1" applyAlignment="1">
      <x:alignment horizontal="right" vertical="center"/>
    </x:xf>
    <x:xf numFmtId="0" fontId="24" fillId="0" borderId="14" xfId="0" applyNumberFormat="1" applyFont="1" applyFill="1" applyBorder="1" applyAlignment="1">
      <x:alignment vertical="center"/>
    </x:xf>
    <x:xf numFmtId="0" fontId="24" fillId="0" borderId="15" xfId="0" applyNumberFormat="1" applyFont="1" applyFill="1" applyBorder="1" applyAlignment="1">
      <x:alignment vertical="center"/>
    </x:xf>
    <x:xf numFmtId="0" fontId="24" fillId="0" borderId="16" xfId="0" applyNumberFormat="1" applyFont="1" applyFill="1" applyBorder="1" applyAlignment="1">
      <x:alignment vertical="center"/>
    </x:xf>
    <x:xf numFmtId="0" fontId="24" fillId="0" borderId="14" xfId="0" applyNumberFormat="1" applyFont="1" applyFill="1" applyBorder="1" applyAlignment="1">
      <x:alignment vertical="center" wrapText="1"/>
    </x:xf>
    <x:xf numFmtId="0" fontId="24" fillId="0" borderId="15" xfId="0" applyNumberFormat="1" applyFont="1" applyFill="1" applyBorder="1" applyAlignment="1">
      <x:alignment vertical="center" wrapText="1"/>
    </x:xf>
    <x:xf numFmtId="0" fontId="24" fillId="0" borderId="16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0"/>
    </x:xf>
    <x:xf numFmtId="207" fontId="2" fillId="6" borderId="5" xfId="0" applyNumberFormat="1" applyFont="1" applyFill="1" applyBorder="1" applyAlignment="1">
      <x:alignment vertical="center" wrapText="0"/>
    </x:xf>
    <x:xf numFmtId="207" fontId="0" fillId="0" borderId="3" xfId="0" applyNumberFormat="1" applyFont="1" applyFill="1" applyBorder="1" applyAlignment="1">
      <x:alignment vertical="center" wrapText="0"/>
    </x:xf>
    <x:xf numFmtId="206" fontId="2" fillId="3" borderId="1" xfId="0" applyNumberFormat="1" applyFont="1" applyFill="1" applyBorder="1" applyAlignment="1">
      <x:alignment horizontal="center" vertical="center" wrapText="0"/>
    </x:xf>
    <x:xf numFmtId="206" fontId="2" fillId="6" borderId="5" xfId="0" applyNumberFormat="1" applyFont="1" applyFill="1" applyBorder="1" applyAlignment="1">
      <x:alignment vertical="center" wrapText="0"/>
    </x:xf>
    <x:xf numFmtId="206" fontId="0" fillId="0" borderId="3" xfId="0" applyNumberFormat="1" applyFont="1" applyFill="1" applyBorder="1" applyAlignment="1">
      <x:alignment vertical="center" wrapText="0"/>
    </x:xf>
    <x:xf numFmtId="207" fontId="2" fillId="3" borderId="1" xfId="0" applyNumberFormat="1" applyFont="1" applyFill="1" applyBorder="1" applyAlignment="1">
      <x:alignment horizontal="center" vertical="center" wrapText="0"/>
    </x:xf>
    <x:xf numFmtId="207" fontId="4" fillId="4" borderId="4" xfId="0" applyNumberFormat="1" applyFont="1" applyFill="1" applyBorder="1" applyAlignment="1">
      <x:alignment vertical="center" wrapText="0"/>
    </x:xf>
    <x:xf numFmtId="206" fontId="4" fillId="4" borderId="4" xfId="0" applyNumberFormat="1" applyFont="1" applyFill="1" applyBorder="1" applyAlignment="1">
      <x:alignment vertical="center" wrapText="0"/>
    </x:xf>
    <x:xf numFmtId="0" fontId="11" fillId="9" borderId="10" xfId="0" applyNumberFormat="1" applyFont="1" applyFill="1" applyBorder="1" applyAlignment="1">
      <x:alignment horizontal="center" vertical="center" wrapText="0"/>
    </x:xf>
    <x:xf numFmtId="201" fontId="0" fillId="0" borderId="0" xfId="0" applyNumberFormat="1" applyFont="1" applyFill="1" applyBorder="1" applyAlignment="1">
      <x:alignment wrapText="0"/>
    </x:xf>
    <x:xf numFmtId="201" fontId="13" fillId="13" borderId="0" xfId="0" applyNumberFormat="1" applyFont="1" applyFill="1" applyBorder="1" applyAlignment="1">
      <x:alignment wrapText="0"/>
    </x:xf>
    <x:xf numFmtId="206" fontId="11" fillId="9" borderId="10" xfId="0" applyNumberFormat="1" applyFont="1" applyFill="1" applyBorder="1" applyAlignment="1">
      <x:alignment horizontal="center" vertical="center" wrapText="0"/>
    </x:xf>
    <x:xf numFmtId="206" fontId="0" fillId="0" borderId="0" xfId="0" applyNumberFormat="1" applyFont="1" applyFill="1" applyBorder="1" applyAlignment="1">
      <x:alignment wrapText="0"/>
    </x:xf>
    <x:xf numFmtId="206" fontId="13" fillId="13" borderId="0" xfId="0" applyNumberFormat="1" applyFont="1" applyFill="1" applyBorder="1" applyAlignment="1">
      <x:alignment wrapText="0"/>
    </x:xf>
    <x:xf numFmtId="201" fontId="11" fillId="9" borderId="10" xfId="0" applyNumberFormat="1" applyFont="1" applyFill="1" applyBorder="1" applyAlignment="1">
      <x:alignment horizontal="center" vertical="center" wrapText="0"/>
    </x:xf>
    <x:xf numFmtId="201" fontId="12" fillId="16" borderId="11" xfId="0" applyNumberFormat="1" applyFont="1" applyFill="1" applyBorder="1" applyAlignment="1">
      <x:alignment wrapText="0"/>
    </x:xf>
    <x:xf numFmtId="206" fontId="12" fillId="16" borderId="11" xfId="0" applyNumberFormat="1" applyFont="1" applyFill="1" applyBorder="1" applyAlignment="1">
      <x:alignment wrapText="0"/>
    </x:xf>
    <x:xf numFmtId="201" fontId="14" fillId="15" borderId="0" xfId="0" applyNumberFormat="1" applyFont="1" applyFill="1" applyBorder="1" applyAlignment="1">
      <x:alignment wrapText="0"/>
    </x:xf>
    <x:xf numFmtId="206" fontId="14" fillId="15" borderId="0" xfId="0" applyNumberFormat="1" applyFont="1" applyFill="1" applyBorder="1" applyAlignment="1">
      <x:alignment wrapText="0"/>
    </x:xf>
    <x:xf numFmtId="0" fontId="2" fillId="29" borderId="1" xfId="0" applyNumberFormat="1" applyFont="1" applyFill="1" applyBorder="1" applyAlignment="1">
      <x:alignment horizontal="center" vertical="center" wrapText="1"/>
    </x:xf>
    <x:xf numFmtId="0" fontId="25" fillId="29" borderId="1" xfId="0" applyNumberFormat="1" applyFont="1" applyFill="1" applyBorder="1" applyAlignment="1">
      <x:alignment horizontal="center" vertical="center" wrapText="1"/>
    </x:xf>
    <x:xf numFmtId="217" fontId="25" fillId="29" borderId="1" xfId="0" applyNumberFormat="1" applyFont="1" applyFill="1" applyBorder="1" applyAlignment="1">
      <x:alignment horizontal="center" vertical="center" wrapText="1"/>
    </x:xf>
    <x:xf numFmtId="206" fontId="2" fillId="29" borderId="1" xfId="0" applyNumberFormat="1" applyFont="1" applyFill="1" applyBorder="1" applyAlignment="1">
      <x:alignment horizontal="center" vertical="center" wrapText="0"/>
    </x:xf>
    <x:xf numFmtId="206" fontId="25" fillId="29" borderId="1" xfId="0" applyNumberFormat="1" applyFont="1" applyFill="1" applyBorder="1" applyAlignment="1">
      <x:alignment horizontal="center" vertical="center" wrapText="0"/>
    </x:xf>
    <x:xf numFmtId="217" fontId="25" fillId="29" borderId="1" xfId="0" applyNumberFormat="1" applyFont="1" applyFill="1" applyBorder="1" applyAlignment="1">
      <x:alignment horizontal="center" vertical="center" wrapText="0"/>
    </x:xf>
    <x:xf numFmtId="0" fontId="5" fillId="29" borderId="6" xfId="0" applyNumberFormat="1" applyFont="1" applyFill="1" applyBorder="1" applyAlignment="1">
      <x:alignment horizontal="center" vertical="center" wrapText="1"/>
    </x:xf>
    <x:xf numFmtId="0" fontId="25" fillId="29" borderId="6" xfId="0" applyNumberFormat="1" applyFont="1" applyFill="1" applyBorder="1" applyAlignment="1">
      <x:alignment horizontal="center" vertical="center" wrapText="1"/>
    </x:xf>
    <x:xf numFmtId="217" fontId="25" fillId="29" borderId="6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26" fillId="30" borderId="0" xfId="0" applyNumberFormat="1" applyFont="1" applyFill="1" applyBorder="1"/>
    <x:xf numFmtId="217" fontId="26" fillId="30" borderId="0" xfId="0" applyNumberFormat="1" applyFont="1" applyFill="1" applyBorder="1"/>
    <x:xf numFmtId="217" fontId="26" fillId="30" borderId="0" xfId="0" applyNumberFormat="1" applyFont="1" applyFill="1" applyBorder="1" applyAlignment="1">
      <x:alignment wrapText="1"/>
    </x:xf>
    <x:xf numFmtId="217" fontId="26" fillId="30" borderId="0" xfId="0" applyNumberFormat="1" applyFont="1" applyFill="1" applyBorder="1" applyAlignment="1">
      <x:alignment horizontal="center" wrapText="1"/>
    </x:xf>
    <x:xf numFmtId="217" fontId="26" fillId="30" borderId="0" xfId="0" applyNumberFormat="1" applyFont="1" applyFill="1" applyBorder="1" applyAlignment="1">
      <x:alignment horizontal="center" vertical="center" wrapText="1"/>
    </x:xf>
    <x:xf numFmtId="217" fontId="26" fillId="30" borderId="6" xfId="0" applyNumberFormat="1" applyFont="1" applyFill="1" applyBorder="1" applyAlignment="1">
      <x:alignment horizontal="center" vertical="center" wrapText="1"/>
    </x:xf>
    <x:xf numFmtId="206" fontId="2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 wrapText="0"/>
    </x:xf>
    <x:xf numFmtId="206" fontId="25" fillId="31" borderId="5" xfId="0" applyNumberFormat="1" applyFont="1" applyFill="1" applyBorder="1" applyAlignment="1">
      <x:alignment horizontal="right" vertical="center" wrapText="0"/>
    </x:xf>
    <x:xf numFmtId="206" fontId="2" fillId="31" borderId="5" xfId="0" applyNumberFormat="1" applyFont="1" applyFill="1" applyBorder="1" applyAlignment="1">
      <x:alignment vertical="center" wrapText="0"/>
    </x:xf>
    <x:xf numFmtId="207" fontId="2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 wrapText="0"/>
    </x:xf>
    <x:xf numFmtId="207" fontId="25" fillId="31" borderId="5" xfId="0" applyNumberFormat="1" applyFont="1" applyFill="1" applyBorder="1" applyAlignment="1">
      <x:alignment horizontal="right" vertical="center" wrapText="0"/>
    </x:xf>
    <x:xf numFmtId="0" fontId="2" fillId="31" borderId="5" xfId="0" applyNumberFormat="1" applyFont="1" applyFill="1" applyBorder="1" applyAlignment="1">
      <x:alignment vertical="center"/>
    </x:xf>
    <x:xf numFmtId="0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 wrapText="0"/>
    </x:xf>
    <x:xf numFmtId="217" fontId="25" fillId="31" borderId="5" xfId="0" applyNumberFormat="1" applyFont="1" applyFill="1" applyBorder="1" applyAlignment="1">
      <x:alignment horizontal="right" vertical="center" wrapText="0"/>
    </x:xf>
    <x:xf numFmtId="0" fontId="6" fillId="31" borderId="7" xfId="0" applyNumberFormat="1" applyFont="1" applyFill="1" applyBorder="1" applyAlignment="1">
      <x:alignment vertical="center"/>
    </x:xf>
    <x:xf numFmtId="0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 wrapText="0"/>
    </x:xf>
    <x:xf numFmtId="217" fontId="25" fillId="31" borderId="7" xfId="0" applyNumberFormat="1" applyFont="1" applyFill="1" applyBorder="1" applyAlignment="1">
      <x:alignment horizontal="right" vertical="center" wrapText="0"/>
    </x:xf>
    <x:xf numFmtId="0" fontId="0" fillId="32" borderId="0" xfId="0" applyNumberFormat="1" applyFont="1" applyFill="1" applyBorder="1"/>
    <x:xf numFmtId="0" fontId="27" fillId="32" borderId="0" xfId="0" applyNumberFormat="1" applyFont="1" applyFill="1" applyBorder="1"/>
    <x:xf numFmtId="217" fontId="27" fillId="32" borderId="0" xfId="0" applyNumberFormat="1" applyFont="1" applyFill="1" applyBorder="1"/>
    <x:xf numFmtId="217" fontId="27" fillId="32" borderId="0" xfId="0" applyNumberFormat="1" applyFont="1" applyFill="1" applyBorder="1" applyAlignment="1">
      <x:alignment wrapText="0"/>
    </x:xf>
    <x:xf numFmtId="217" fontId="27" fillId="32" borderId="0" xfId="0" applyNumberFormat="1" applyFont="1" applyFill="1" applyBorder="1" applyAlignment="1">
      <x:alignment horizontal="right" wrapText="0"/>
    </x:xf>
    <x:xf numFmtId="217" fontId="27" fillId="32" borderId="0" xfId="0" applyNumberFormat="1" applyFont="1" applyFill="1" applyBorder="1" applyAlignment="1">
      <x:alignment horizontal="right" vertical="center" wrapText="0"/>
    </x:xf>
    <x:xf numFmtId="217" fontId="27" fillId="32" borderId="7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 wrapText="0"/>
    </x:xf>
    <x:xf numFmtId="206" fontId="28" fillId="33" borderId="3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 wrapText="0"/>
    </x:xf>
    <x:xf numFmtId="207" fontId="0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 wrapText="0"/>
    </x:xf>
    <x:xf numFmtId="207" fontId="28" fillId="33" borderId="3" xfId="0" applyNumberFormat="1" applyFont="1" applyFill="1" applyBorder="1" applyAlignment="1">
      <x:alignment horizontal="right" vertical="center" wrapText="0"/>
    </x:xf>
    <x:xf numFmtId="0" fontId="0" fillId="33" borderId="3" xfId="0" applyNumberFormat="1" applyFont="1" applyFill="1" applyBorder="1" applyAlignment="1">
      <x:alignment vertical="center"/>
    </x:xf>
    <x:xf numFmtId="0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 wrapText="0"/>
    </x:xf>
    <x:xf numFmtId="217" fontId="28" fillId="33" borderId="3" xfId="0" applyNumberFormat="1" applyFont="1" applyFill="1" applyBorder="1" applyAlignment="1">
      <x:alignment horizontal="right" vertical="center" wrapText="0"/>
    </x:xf>
    <x:xf numFmtId="0" fontId="6" fillId="33" borderId="7" xfId="0" applyNumberFormat="1" applyFont="1" applyFill="1" applyBorder="1" applyAlignment="1">
      <x:alignment vertical="center"/>
    </x:xf>
    <x:xf numFmtId="0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 wrapText="0"/>
    </x:xf>
    <x:xf numFmtId="217" fontId="28" fillId="33" borderId="7" xfId="0" applyNumberFormat="1" applyFont="1" applyFill="1" applyBorder="1" applyAlignment="1">
      <x:alignment horizontal="right" vertical="center" wrapText="0"/>
    </x:xf>
    <x:xf numFmtId="206" fontId="2" fillId="29" borderId="1" xfId="0" applyNumberFormat="1" applyFont="1" applyFill="1" applyBorder="1" applyAlignment="1">
      <x:alignment horizontal="center" vertical="center" wrapText="1"/>
    </x:xf>
    <x:xf numFmtId="206" fontId="25" fillId="29" borderId="1" xfId="0" applyNumberFormat="1" applyFont="1" applyFill="1" applyBorder="1" applyAlignment="1">
      <x:alignment horizontal="center" vertical="center" wrapText="1"/>
    </x:xf>
    <x:xf numFmtId="207" fontId="2" fillId="29" borderId="1" xfId="0" applyNumberFormat="1" applyFont="1" applyFill="1" applyBorder="1" applyAlignment="1">
      <x:alignment horizontal="center" vertical="center" wrapText="1"/>
    </x:xf>
    <x:xf numFmtId="207" fontId="25" fillId="29" borderId="1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25" fillId="29" borderId="0" xfId="0" applyNumberFormat="1" applyFont="1" applyFill="1" applyBorder="1"/>
    <x:xf numFmtId="217" fontId="25" fillId="29" borderId="0" xfId="0" applyNumberFormat="1" applyFont="1" applyFill="1" applyBorder="1"/>
    <x:xf numFmtId="217" fontId="25" fillId="29" borderId="0" xfId="0" applyNumberFormat="1" applyFont="1" applyFill="1" applyBorder="1" applyAlignment="1">
      <x:alignment wrapText="1"/>
    </x:xf>
    <x:xf numFmtId="217" fontId="25" fillId="29" borderId="0" xfId="0" applyNumberFormat="1" applyFont="1" applyFill="1" applyBorder="1" applyAlignment="1">
      <x:alignment horizontal="center" wrapText="1"/>
    </x:xf>
    <x:xf numFmtId="217" fontId="25" fillId="29" borderId="0" xfId="0" applyNumberFormat="1" applyFont="1" applyFill="1" applyBorder="1" applyAlignment="1">
      <x:alignment horizontal="center" vertical="center" wrapText="1"/>
    </x:xf>
    <x:xf numFmtId="203" fontId="0" fillId="33" borderId="3" xfId="0" applyNumberFormat="1" applyFont="1" applyFill="1" applyBorder="1" applyAlignment="1">
      <x:alignment vertical="center"/>
    </x:xf>
    <x:xf numFmtId="203" fontId="28" fillId="33" borderId="3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28" fillId="33" borderId="0" xfId="0" applyNumberFormat="1" applyFont="1" applyFill="1" applyBorder="1"/>
    <x:xf numFmtId="203" fontId="28" fillId="33" borderId="0" xfId="0" applyNumberFormat="1" applyFont="1" applyFill="1" applyBorder="1"/>
    <x:xf numFmtId="203" fontId="28" fillId="33" borderId="0" xfId="0" applyNumberFormat="1" applyFont="1" applyFill="1" applyBorder="1" applyAlignment="1">
      <x:alignment wrapText="0"/>
    </x:xf>
    <x:xf numFmtId="203" fontId="28" fillId="33" borderId="0" xfId="0" applyNumberFormat="1" applyFont="1" applyFill="1" applyBorder="1" applyAlignment="1">
      <x:alignment horizontal="right" wrapText="0"/>
    </x:xf>
    <x:xf numFmtId="203" fontId="28" fillId="33" borderId="0" xfId="0" applyNumberFormat="1" applyFont="1" applyFill="1" applyBorder="1" applyAlignment="1">
      <x:alignment horizontal="right" vertical="center" wrapText="0"/>
    </x:xf>
    <x:xf numFmtId="203" fontId="28" fillId="33" borderId="3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 wrapText="0"/>
    </x:xf>
    <x:xf numFmtId="206" fontId="29" fillId="34" borderId="4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 wrapText="0"/>
    </x:xf>
    <x:xf numFmtId="207" fontId="4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 wrapText="0"/>
    </x:xf>
    <x:xf numFmtId="207" fontId="29" fillId="34" borderId="4" xfId="0" applyNumberFormat="1" applyFont="1" applyFill="1" applyBorder="1" applyAlignment="1">
      <x:alignment horizontal="right" vertical="center" wrapText="0"/>
    </x:xf>
    <x:xf numFmtId="203" fontId="4" fillId="34" borderId="4" xfId="0" applyNumberFormat="1" applyFont="1" applyFill="1" applyBorder="1" applyAlignment="1">
      <x:alignment vertical="center"/>
    </x:xf>
    <x:xf numFmtId="203" fontId="29" fillId="34" borderId="4" xfId="0" applyNumberFormat="1" applyFont="1" applyFill="1" applyBorder="1" applyAlignment="1">
      <x:alignment vertical="center"/>
    </x:xf>
    <x:xf numFmtId="0" fontId="4" fillId="34" borderId="4" xfId="0" applyNumberFormat="1" applyFont="1" applyFill="1" applyBorder="1"/>
    <x:xf numFmtId="0" fontId="29" fillId="34" borderId="4" xfId="0" applyNumberFormat="1" applyFont="1" applyFill="1" applyBorder="1"/>
    <x:xf numFmtId="203" fontId="29" fillId="34" borderId="4" xfId="0" applyNumberFormat="1" applyFont="1" applyFill="1" applyBorder="1"/>
    <x:xf numFmtId="203" fontId="29" fillId="34" borderId="4" xfId="0" applyNumberFormat="1" applyFont="1" applyFill="1" applyBorder="1" applyAlignment="1">
      <x:alignment wrapText="0"/>
    </x:xf>
    <x:xf numFmtId="203" fontId="29" fillId="34" borderId="4" xfId="0" applyNumberFormat="1" applyFont="1" applyFill="1" applyBorder="1" applyAlignment="1">
      <x:alignment horizontal="right" wrapText="0"/>
    </x:xf>
    <x:xf numFmtId="203" fontId="29" fillId="34" borderId="4" xfId="0" applyNumberFormat="1" applyFont="1" applyFill="1" applyBorder="1" applyAlignment="1">
      <x:alignment horizontal="right" vertical="center" wrapText="0"/>
    </x:xf>
    <x:xf numFmtId="201" fontId="4" fillId="34" borderId="4" xfId="0" applyNumberFormat="1" applyFont="1" applyFill="1" applyBorder="1"/>
    <x:xf numFmtId="201" fontId="29" fillId="34" borderId="4" xfId="0" applyNumberFormat="1" applyFont="1" applyFill="1" applyBorder="1"/>
    <x:xf numFmtId="217" fontId="29" fillId="34" borderId="4" xfId="0" applyNumberFormat="1" applyFont="1" applyFill="1" applyBorder="1"/>
    <x:xf numFmtId="217" fontId="29" fillId="34" borderId="4" xfId="0" applyNumberFormat="1" applyFont="1" applyFill="1" applyBorder="1" applyAlignment="1">
      <x:alignment wrapText="0"/>
    </x:xf>
    <x:xf numFmtId="217" fontId="29" fillId="34" borderId="4" xfId="0" applyNumberFormat="1" applyFont="1" applyFill="1" applyBorder="1" applyAlignment="1">
      <x:alignment horizontal="right" wrapText="0"/>
    </x:xf>
    <x:xf numFmtId="217" fontId="29" fillId="34" borderId="4" xfId="0" applyNumberFormat="1" applyFont="1" applyFill="1" applyBorder="1" applyAlignment="1">
      <x:alignment horizontal="right" vertical="center" wrapText="0"/>
    </x:xf>
    <x:xf numFmtId="0" fontId="0" fillId="34" borderId="0" xfId="0" applyNumberFormat="1" applyFont="1" applyFill="1" applyBorder="1"/>
    <x:xf numFmtId="0" fontId="29" fillId="34" borderId="0" xfId="0" applyNumberFormat="1" applyFont="1" applyFill="1" applyBorder="1"/>
    <x:xf numFmtId="201" fontId="29" fillId="34" borderId="0" xfId="0" applyNumberFormat="1" applyFont="1" applyFill="1" applyBorder="1"/>
    <x:xf numFmtId="201" fontId="29" fillId="34" borderId="0" xfId="0" applyNumberFormat="1" applyFont="1" applyFill="1" applyBorder="1" applyAlignment="1">
      <x:alignment wrapText="0"/>
    </x:xf>
    <x:xf numFmtId="201" fontId="29" fillId="34" borderId="0" xfId="0" applyNumberFormat="1" applyFont="1" applyFill="1" applyBorder="1" applyAlignment="1">
      <x:alignment horizontal="right" wrapText="0"/>
    </x:xf>
    <x:xf numFmtId="201" fontId="29" fillId="34" borderId="0" xfId="0" applyNumberFormat="1" applyFont="1" applyFill="1" applyBorder="1" applyAlignment="1">
      <x:alignment horizontal="right" vertical="center" wrapText="0"/>
    </x:xf>
    <x:xf numFmtId="201" fontId="29" fillId="34" borderId="4" xfId="0" applyNumberFormat="1" applyFont="1" applyFill="1" applyBorder="1" applyAlignment="1">
      <x:alignment horizontal="right" vertical="center" wrapText="0"/>
    </x:xf>
    <x:xf numFmtId="0" fontId="11" fillId="35" borderId="10" xfId="0" applyNumberFormat="1" applyFont="1" applyFill="1" applyBorder="1" applyAlignment="1">
      <x:alignment horizontal="center" vertical="center"/>
    </x:xf>
    <x:xf numFmtId="0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 wrapText="0"/>
    </x:xf>
    <x:xf numFmtId="206" fontId="11" fillId="35" borderId="10" xfId="0" applyNumberFormat="1" applyFont="1" applyFill="1" applyBorder="1" applyAlignment="1">
      <x:alignment horizontal="center" vertical="center" wrapText="0"/>
    </x:xf>
    <x:xf numFmtId="206" fontId="30" fillId="35" borderId="10" xfId="0" applyNumberFormat="1" applyFont="1" applyFill="1" applyBorder="1" applyAlignment="1">
      <x:alignment horizontal="center" vertical="center" wrapText="0"/>
    </x:xf>
    <x:xf numFmtId="0" fontId="5" fillId="35" borderId="1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26" fillId="36" borderId="0" xfId="0" applyNumberFormat="1" applyFont="1" applyFill="1" applyBorder="1"/>
    <x:xf numFmtId="217" fontId="26" fillId="36" borderId="0" xfId="0" applyNumberFormat="1" applyFont="1" applyFill="1" applyBorder="1"/>
    <x:xf numFmtId="217" fontId="26" fillId="36" borderId="0" xfId="0" applyNumberFormat="1" applyFont="1" applyFill="1" applyBorder="1" applyAlignment="1">
      <x:alignment wrapText="0"/>
    </x:xf>
    <x:xf numFmtId="217" fontId="26" fillId="36" borderId="0" xfId="0" applyNumberFormat="1" applyFont="1" applyFill="1" applyBorder="1" applyAlignment="1">
      <x:alignment horizontal="center" wrapText="0"/>
    </x:xf>
    <x:xf numFmtId="217" fontId="26" fillId="36" borderId="0" xfId="0" applyNumberFormat="1" applyFont="1" applyFill="1" applyBorder="1" applyAlignment="1">
      <x:alignment horizontal="center" vertical="center" wrapText="0"/>
    </x:xf>
    <x:xf numFmtId="217" fontId="26" fillId="36" borderId="10" xfId="0" applyNumberFormat="1" applyFont="1" applyFill="1" applyBorder="1" applyAlignment="1">
      <x:alignment horizontal="center" vertical="center" wrapText="0"/>
    </x:xf>
    <x:xf numFmtId="206" fontId="0" fillId="33" borderId="0" xfId="0" applyNumberFormat="1" applyFont="1" applyFill="1" applyBorder="1"/>
    <x:xf numFmtId="206" fontId="28" fillId="33" borderId="0" xfId="0" applyNumberFormat="1" applyFont="1" applyFill="1" applyBorder="1"/>
    <x:xf numFmtId="206" fontId="28" fillId="33" borderId="0" xfId="0" applyNumberFormat="1" applyFont="1" applyFill="1" applyBorder="1" applyAlignment="1">
      <x:alignment wrapText="0"/>
    </x:xf>
    <x:xf numFmtId="206" fontId="28" fillId="33" borderId="0" xfId="0" applyNumberFormat="1" applyFont="1" applyFill="1" applyBorder="1" applyAlignment="1">
      <x:alignment horizontal="right" wrapText="0"/>
    </x:xf>
    <x:xf numFmtId="206" fontId="28" fillId="33" borderId="0" xfId="0" applyNumberFormat="1" applyFont="1" applyFill="1" applyBorder="1" applyAlignment="1">
      <x:alignment horizontal="right" vertical="center" wrapText="0"/>
    </x:xf>
    <x:xf numFmtId="206" fontId="28" fillId="33" xfId="0" applyNumberFormat="1" applyFont="1" applyFill="1" applyBorder="0" applyAlignment="1">
      <x:alignment horizontal="right" vertical="center" wrapText="0"/>
    </x:xf>
    <x:xf numFmtId="206" fontId="0" fillId="33" borderId="0" xfId="0" applyNumberFormat="1" applyFont="1" applyFill="1" applyBorder="1" applyAlignment="1">
      <x:alignment wrapText="0"/>
    </x:xf>
    <x:xf numFmtId="208" fontId="0" fillId="33" borderId="0" xfId="0" applyNumberFormat="1" applyFont="1" applyFill="1" applyBorder="1"/>
    <x:xf numFmtId="208" fontId="28" fillId="33" borderId="0" xfId="0" applyNumberFormat="1" applyFont="1" applyFill="1" applyBorder="1"/>
    <x:xf numFmtId="201" fontId="28" fillId="33" borderId="0" xfId="0" applyNumberFormat="1" applyFont="1" applyFill="1" applyBorder="1"/>
    <x:xf numFmtId="201" fontId="28" fillId="33" borderId="0" xfId="0" applyNumberFormat="1" applyFont="1" applyFill="1" applyBorder="1" applyAlignment="1">
      <x:alignment wrapText="0"/>
    </x:xf>
    <x:xf numFmtId="201" fontId="28" fillId="33" borderId="0" xfId="0" applyNumberFormat="1" applyFont="1" applyFill="1" applyBorder="1" applyAlignment="1">
      <x:alignment horizontal="right" wrapText="0"/>
    </x:xf>
    <x:xf numFmtId="201" fontId="28" fillId="33" borderId="0" xfId="0" applyNumberFormat="1" applyFont="1" applyFill="1" applyBorder="1" applyAlignment="1">
      <x:alignment horizontal="right" vertical="center" wrapText="0"/>
    </x:xf>
    <x:xf numFmtId="201" fontId="28" fillId="33" xfId="0" applyNumberFormat="1" applyFont="1" applyFill="1" applyBorder="0" applyAlignment="1">
      <x:alignment horizontal="right" vertical="center" wrapText="0"/>
    </x:xf>
    <x:xf numFmtId="213" fontId="0" fillId="33" borderId="0" xfId="0" applyNumberFormat="1" applyFont="1" applyFill="1" applyBorder="1"/>
    <x:xf numFmtId="213" fontId="28" fillId="33" borderId="0" xfId="0" applyNumberFormat="1" applyFont="1" applyFill="1" applyBorder="1"/>
    <x:xf numFmtId="208" fontId="28" fillId="33" borderId="0" xfId="0" applyNumberFormat="1" applyFont="1" applyFill="1" applyBorder="1" applyAlignment="1">
      <x:alignment wrapText="0"/>
    </x:xf>
    <x:xf numFmtId="208" fontId="28" fillId="33" borderId="0" xfId="0" applyNumberFormat="1" applyFont="1" applyFill="1" applyBorder="1" applyAlignment="1">
      <x:alignment horizontal="right" wrapText="0"/>
    </x:xf>
    <x:xf numFmtId="208" fontId="28" fillId="33" borderId="0" xfId="0" applyNumberFormat="1" applyFont="1" applyFill="1" applyBorder="1" applyAlignment="1">
      <x:alignment horizontal="right" vertical="center" wrapText="0"/>
    </x:xf>
    <x:xf numFmtId="208" fontId="28" fillId="33" xfId="0" applyNumberFormat="1" applyFont="1" applyFill="1" applyBorder="0" applyAlignment="1">
      <x:alignment horizontal="right" vertical="center" wrapText="0"/>
    </x:xf>
    <x:xf numFmtId="213" fontId="28" fillId="33" borderId="0" xfId="0" applyNumberFormat="1" applyFont="1" applyFill="1" applyBorder="1" applyAlignment="1">
      <x:alignment wrapText="0"/>
    </x:xf>
    <x:xf numFmtId="213" fontId="28" fillId="33" borderId="0" xfId="0" applyNumberFormat="1" applyFont="1" applyFill="1" applyBorder="1" applyAlignment="1">
      <x:alignment horizontal="right" wrapText="0"/>
    </x:xf>
    <x:xf numFmtId="213" fontId="28" fillId="33" borderId="0" xfId="0" applyNumberFormat="1" applyFont="1" applyFill="1" applyBorder="1" applyAlignment="1">
      <x:alignment horizontal="right" vertical="center" wrapText="0"/>
    </x:xf>
    <x:xf numFmtId="213" fontId="28" fillId="33" xfId="0" applyNumberFormat="1" applyFont="1" applyFill="1" applyBorder="0" applyAlignment="1">
      <x:alignment horizontal="right" vertical="center" wrapText="0"/>
    </x:xf>
    <x:xf numFmtId="213" fontId="12" fillId="33" borderId="0" xfId="0" applyNumberFormat="1" applyFont="1" applyFill="1" applyBorder="1"/>
    <x:xf numFmtId="0" fontId="0" fillId="37" borderId="0" xfId="0" applyNumberFormat="1" applyFont="1" applyFill="1" applyBorder="1"/>
    <x:xf numFmtId="0" fontId="31" fillId="37" borderId="0" xfId="0" applyNumberFormat="1" applyFont="1" applyFill="1" applyBorder="1"/>
    <x:xf numFmtId="213" fontId="31" fillId="37" borderId="0" xfId="0" applyNumberFormat="1" applyFont="1" applyFill="1" applyBorder="1"/>
    <x:xf numFmtId="213" fontId="31" fillId="37" borderId="0" xfId="0" applyNumberFormat="1" applyFont="1" applyFill="1" applyBorder="1" applyAlignment="1">
      <x:alignment wrapText="0"/>
    </x:xf>
    <x:xf numFmtId="213" fontId="31" fillId="37" borderId="0" xfId="0" applyNumberFormat="1" applyFont="1" applyFill="1" applyBorder="1" applyAlignment="1">
      <x:alignment horizontal="right" wrapText="0"/>
    </x:xf>
    <x:xf numFmtId="213" fontId="31" fillId="37" borderId="0" xfId="0" applyNumberFormat="1" applyFont="1" applyFill="1" applyBorder="1" applyAlignment="1">
      <x:alignment horizontal="right" vertical="center" wrapText="0"/>
    </x:xf>
    <x:xf numFmtId="213" fontId="31" fillId="37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/>
    <x:xf numFmtId="206" fontId="32" fillId="38" borderId="0" xfId="0" applyNumberFormat="1" applyFont="1" applyFill="1" applyBorder="1"/>
    <x:xf numFmtId="206" fontId="32" fillId="38" borderId="0" xfId="0" applyNumberFormat="1" applyFont="1" applyFill="1" applyBorder="1" applyAlignment="1">
      <x:alignment wrapText="0"/>
    </x:xf>
    <x:xf numFmtId="206" fontId="32" fillId="38" borderId="0" xfId="0" applyNumberFormat="1" applyFont="1" applyFill="1" applyBorder="1" applyAlignment="1">
      <x:alignment horizontal="right" wrapText="0"/>
    </x:xf>
    <x:xf numFmtId="206" fontId="32" fillId="38" borderId="0" xfId="0" applyNumberFormat="1" applyFont="1" applyFill="1" applyBorder="1" applyAlignment="1">
      <x:alignment horizontal="right" vertical="center" wrapText="0"/>
    </x:xf>
    <x:xf numFmtId="206" fontId="32" fillId="38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 applyAlignment="1">
      <x:alignment wrapText="0"/>
    </x:xf>
    <x:xf numFmtId="208" fontId="13" fillId="38" borderId="0" xfId="0" applyNumberFormat="1" applyFont="1" applyFill="1" applyBorder="1"/>
    <x:xf numFmtId="208" fontId="32" fillId="38" borderId="0" xfId="0" applyNumberFormat="1" applyFont="1" applyFill="1" applyBorder="1"/>
    <x:xf numFmtId="201" fontId="32" fillId="38" borderId="0" xfId="0" applyNumberFormat="1" applyFont="1" applyFill="1" applyBorder="1"/>
    <x:xf numFmtId="201" fontId="32" fillId="38" borderId="0" xfId="0" applyNumberFormat="1" applyFont="1" applyFill="1" applyBorder="1" applyAlignment="1">
      <x:alignment wrapText="0"/>
    </x:xf>
    <x:xf numFmtId="201" fontId="32" fillId="38" borderId="0" xfId="0" applyNumberFormat="1" applyFont="1" applyFill="1" applyBorder="1" applyAlignment="1">
      <x:alignment horizontal="right" wrapText="0"/>
    </x:xf>
    <x:xf numFmtId="201" fontId="32" fillId="38" borderId="0" xfId="0" applyNumberFormat="1" applyFont="1" applyFill="1" applyBorder="1" applyAlignment="1">
      <x:alignment horizontal="right" vertical="center" wrapText="0"/>
    </x:xf>
    <x:xf numFmtId="201" fontId="32" fillId="38" xfId="0" applyNumberFormat="1" applyFont="1" applyFill="1" applyBorder="0" applyAlignment="1">
      <x:alignment horizontal="right" vertical="center" wrapText="0"/>
    </x:xf>
    <x:xf numFmtId="213" fontId="13" fillId="38" borderId="0" xfId="0" applyNumberFormat="1" applyFont="1" applyFill="1" applyBorder="1"/>
    <x:xf numFmtId="213" fontId="32" fillId="38" borderId="0" xfId="0" applyNumberFormat="1" applyFont="1" applyFill="1" applyBorder="1"/>
    <x:xf numFmtId="208" fontId="32" fillId="38" borderId="0" xfId="0" applyNumberFormat="1" applyFont="1" applyFill="1" applyBorder="1" applyAlignment="1">
      <x:alignment wrapText="0"/>
    </x:xf>
    <x:xf numFmtId="208" fontId="32" fillId="38" borderId="0" xfId="0" applyNumberFormat="1" applyFont="1" applyFill="1" applyBorder="1" applyAlignment="1">
      <x:alignment horizontal="right" wrapText="0"/>
    </x:xf>
    <x:xf numFmtId="208" fontId="32" fillId="38" borderId="0" xfId="0" applyNumberFormat="1" applyFont="1" applyFill="1" applyBorder="1" applyAlignment="1">
      <x:alignment horizontal="right" vertical="center" wrapText="0"/>
    </x:xf>
    <x:xf numFmtId="208" fontId="32" fillId="38" xfId="0" applyNumberFormat="1" applyFont="1" applyFill="1" applyBorder="0" applyAlignment="1">
      <x:alignment horizontal="right" vertical="center" wrapText="0"/>
    </x:xf>
    <x:xf numFmtId="213" fontId="32" fillId="38" borderId="0" xfId="0" applyNumberFormat="1" applyFont="1" applyFill="1" applyBorder="1" applyAlignment="1">
      <x:alignment wrapText="0"/>
    </x:xf>
    <x:xf numFmtId="213" fontId="32" fillId="38" borderId="0" xfId="0" applyNumberFormat="1" applyFont="1" applyFill="1" applyBorder="1" applyAlignment="1">
      <x:alignment horizontal="right" wrapText="0"/>
    </x:xf>
    <x:xf numFmtId="213" fontId="32" fillId="38" borderId="0" xfId="0" applyNumberFormat="1" applyFont="1" applyFill="1" applyBorder="1" applyAlignment="1">
      <x:alignment horizontal="right" vertical="center" wrapText="0"/>
    </x:xf>
    <x:xf numFmtId="213" fontId="32" fillId="38" xfId="0" applyNumberFormat="1" applyFont="1" applyFill="1" applyBorder="0" applyAlignment="1">
      <x:alignment horizontal="right" vertical="center" wrapText="0"/>
    </x:xf>
    <x:xf numFmtId="0" fontId="0" fillId="38" borderId="0" xfId="0" applyNumberFormat="1" applyFont="1" applyFill="1" applyBorder="1"/>
    <x:xf numFmtId="0" fontId="32" fillId="38" borderId="0" xfId="0" applyNumberFormat="1" applyFont="1" applyFill="1" applyBorder="1"/>
    <x:xf numFmtId="206" fontId="11" fillId="35" borderId="10" xfId="0" applyNumberFormat="1" applyFont="1" applyFill="1" applyBorder="1" applyAlignment="1">
      <x:alignment horizontal="center" vertical="center"/>
    </x:xf>
    <x:xf numFmtId="206" fontId="30" fillId="35" borderId="10" xfId="0" applyNumberFormat="1" applyFont="1" applyFill="1" applyBorder="1" applyAlignment="1">
      <x:alignment horizontal="center" vertical="center"/>
    </x:xf>
    <x:xf numFmtId="208" fontId="11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 wrapText="0"/>
    </x:xf>
    <x:xf numFmtId="213" fontId="11" fillId="35" borderId="10" xfId="0" applyNumberFormat="1" applyFont="1" applyFill="1" applyBorder="1" applyAlignment="1">
      <x:alignment horizontal="center" vertical="center"/>
    </x:xf>
    <x:xf numFmtId="213" fontId="30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 wrapText="0"/>
    </x:xf>
    <x:xf numFmtId="213" fontId="30" fillId="35" borderId="10" xfId="0" applyNumberFormat="1" applyFont="1" applyFill="1" applyBorder="1" applyAlignment="1">
      <x:alignment horizontal="center" vertical="center" wrapText="0"/>
    </x:xf>
    <x:xf numFmtId="213" fontId="12" fillId="35" borderId="10" xfId="0" applyNumberFormat="1" applyFont="1" applyFill="1" applyBorder="1" applyAlignment="1">
      <x:alignment horizontal="center" vertical="center"/>
    </x:xf>
    <x:xf numFmtId="213" fontId="31" fillId="37" borderId="0" xfId="0" applyNumberFormat="1" applyFont="1" applyFill="1" applyBorder="1" applyAlignment="1">
      <x:alignment horizontal="center" wrapText="0"/>
    </x:xf>
    <x:xf numFmtId="213" fontId="31" fillId="37" borderId="0" xfId="0" applyNumberFormat="1" applyFont="1" applyFill="1" applyBorder="1" applyAlignment="1">
      <x:alignment horizontal="center" vertical="center" wrapText="0"/>
    </x:xf>
    <x:xf numFmtId="213" fontId="31" fillId="37" borderId="10" xfId="0" applyNumberFormat="1" applyFont="1" applyFill="1" applyBorder="1" applyAlignment="1">
      <x:alignment horizontal="center" vertical="center" wrapText="0"/>
    </x:xf>
    <x:xf numFmtId="213" fontId="31" fillId="37" borderId="11" xfId="0" applyNumberFormat="1" applyFont="1" applyFill="1" applyBorder="1" applyAlignment="1">
      <x:alignment horizontal="right" vertical="center" wrapText="0"/>
    </x:xf>
    <x:xf numFmtId="206" fontId="14" fillId="39" borderId="0" xfId="0" applyNumberFormat="1" applyFont="1" applyFill="1" applyBorder="1"/>
    <x:xf numFmtId="206" fontId="33" fillId="39" borderId="0" xfId="0" applyNumberFormat="1" applyFont="1" applyFill="1" applyBorder="1"/>
    <x:xf numFmtId="206" fontId="33" fillId="39" borderId="0" xfId="0" applyNumberFormat="1" applyFont="1" applyFill="1" applyBorder="1" applyAlignment="1">
      <x:alignment wrapText="0"/>
    </x:xf>
    <x:xf numFmtId="206" fontId="33" fillId="39" borderId="0" xfId="0" applyNumberFormat="1" applyFont="1" applyFill="1" applyBorder="1" applyAlignment="1">
      <x:alignment horizontal="right" wrapText="0"/>
    </x:xf>
    <x:xf numFmtId="206" fontId="33" fillId="39" borderId="0" xfId="0" applyNumberFormat="1" applyFont="1" applyFill="1" applyBorder="1" applyAlignment="1">
      <x:alignment horizontal="right" vertical="center" wrapText="0"/>
    </x:xf>
    <x:xf numFmtId="206" fontId="33" fillId="39" xfId="0" applyNumberFormat="1" applyFont="1" applyFill="1" applyBorder="0" applyAlignment="1">
      <x:alignment horizontal="right" vertical="center" wrapText="0"/>
    </x:xf>
    <x:xf numFmtId="206" fontId="14" fillId="39" borderId="0" xfId="0" applyNumberFormat="1" applyFont="1" applyFill="1" applyBorder="1" applyAlignment="1">
      <x:alignment wrapText="0"/>
    </x:xf>
    <x:xf numFmtId="208" fontId="14" fillId="39" borderId="0" xfId="0" applyNumberFormat="1" applyFont="1" applyFill="1" applyBorder="1"/>
    <x:xf numFmtId="208" fontId="33" fillId="39" borderId="0" xfId="0" applyNumberFormat="1" applyFont="1" applyFill="1" applyBorder="1"/>
    <x:xf numFmtId="201" fontId="33" fillId="39" borderId="0" xfId="0" applyNumberFormat="1" applyFont="1" applyFill="1" applyBorder="1"/>
    <x:xf numFmtId="201" fontId="33" fillId="39" borderId="0" xfId="0" applyNumberFormat="1" applyFont="1" applyFill="1" applyBorder="1" applyAlignment="1">
      <x:alignment wrapText="0"/>
    </x:xf>
    <x:xf numFmtId="201" fontId="33" fillId="39" borderId="0" xfId="0" applyNumberFormat="1" applyFont="1" applyFill="1" applyBorder="1" applyAlignment="1">
      <x:alignment horizontal="right" wrapText="0"/>
    </x:xf>
    <x:xf numFmtId="201" fontId="33" fillId="39" borderId="0" xfId="0" applyNumberFormat="1" applyFont="1" applyFill="1" applyBorder="1" applyAlignment="1">
      <x:alignment horizontal="right" vertical="center" wrapText="0"/>
    </x:xf>
    <x:xf numFmtId="201" fontId="33" fillId="39" xfId="0" applyNumberFormat="1" applyFont="1" applyFill="1" applyBorder="0" applyAlignment="1">
      <x:alignment horizontal="right" vertical="center" wrapText="0"/>
    </x:xf>
    <x:xf numFmtId="213" fontId="14" fillId="39" borderId="0" xfId="0" applyNumberFormat="1" applyFont="1" applyFill="1" applyBorder="1"/>
    <x:xf numFmtId="213" fontId="33" fillId="39" borderId="0" xfId="0" applyNumberFormat="1" applyFont="1" applyFill="1" applyBorder="1"/>
    <x:xf numFmtId="208" fontId="33" fillId="39" borderId="0" xfId="0" applyNumberFormat="1" applyFont="1" applyFill="1" applyBorder="1" applyAlignment="1">
      <x:alignment wrapText="0"/>
    </x:xf>
    <x:xf numFmtId="208" fontId="33" fillId="39" borderId="0" xfId="0" applyNumberFormat="1" applyFont="1" applyFill="1" applyBorder="1" applyAlignment="1">
      <x:alignment horizontal="right" wrapText="0"/>
    </x:xf>
    <x:xf numFmtId="208" fontId="33" fillId="39" borderId="0" xfId="0" applyNumberFormat="1" applyFont="1" applyFill="1" applyBorder="1" applyAlignment="1">
      <x:alignment horizontal="right" vertical="center" wrapText="0"/>
    </x:xf>
    <x:xf numFmtId="208" fontId="33" fillId="39" xfId="0" applyNumberFormat="1" applyFont="1" applyFill="1" applyBorder="0" applyAlignment="1">
      <x:alignment horizontal="right" vertical="center" wrapText="0"/>
    </x:xf>
    <x:xf numFmtId="213" fontId="33" fillId="39" borderId="0" xfId="0" applyNumberFormat="1" applyFont="1" applyFill="1" applyBorder="1" applyAlignment="1">
      <x:alignment wrapText="0"/>
    </x:xf>
    <x:xf numFmtId="213" fontId="33" fillId="39" borderId="0" xfId="0" applyNumberFormat="1" applyFont="1" applyFill="1" applyBorder="1" applyAlignment="1">
      <x:alignment horizontal="right" wrapText="0"/>
    </x:xf>
    <x:xf numFmtId="213" fontId="33" fillId="39" borderId="0" xfId="0" applyNumberFormat="1" applyFont="1" applyFill="1" applyBorder="1" applyAlignment="1">
      <x:alignment horizontal="right" vertical="center" wrapText="0"/>
    </x:xf>
    <x:xf numFmtId="213" fontId="33" fillId="39" xfId="0" applyNumberFormat="1" applyFont="1" applyFill="1" applyBorder="0" applyAlignment="1">
      <x:alignment horizontal="right" vertical="center" wrapText="0"/>
    </x:xf>
    <x:xf numFmtId="0" fontId="0" fillId="39" borderId="0" xfId="0" applyNumberFormat="1" applyFont="1" applyFill="1" applyBorder="1"/>
    <x:xf numFmtId="0" fontId="33" fillId="39" borderId="0" xfId="0" applyNumberFormat="1" applyFont="1" applyFill="1" applyBorder="1"/>
    <x:xf numFmtId="218" fontId="0" fillId="0" borderId="0" xfId="0" applyNumberFormat="1" applyFont="1" applyFill="1" applyBorder="1"/>
    <x:xf numFmtId="204" fontId="8" fillId="9" borderId="8" xfId="0" applyNumberFormat="1" applyFont="1" applyFill="1" applyBorder="1"/>
    <x:xf numFmtId="219" fontId="9" fillId="10" borderId="9" xfId="0" applyNumberFormat="1" applyFont="1" applyFill="1" applyBorder="1"/>
    <x:xf numFmtId="219" fontId="0" fillId="0" borderId="0" xfId="0" applyNumberFormat="1" applyFont="1" applyFill="1" applyBorder="1"/>
    <x:xf numFmtId="219" fontId="2" fillId="6" borderId="5" xfId="0" applyNumberFormat="1" applyFont="1" applyFill="1" applyBorder="1" applyAlignment="1">
      <x:alignment vertical="center"/>
    </x:xf>
    <x:xf numFmtId="219" fontId="0" fillId="0" borderId="3" xfId="0" applyNumberFormat="1" applyFont="1" applyFill="1" applyBorder="1" applyAlignment="1">
      <x:alignment vertical="center"/>
    </x:xf>
    <x:xf numFmtId="219" fontId="2" fillId="6" borderId="5" xfId="0" applyNumberFormat="1" applyFont="1" applyFill="1" applyBorder="1" applyAlignment="1">
      <x:alignment horizontal="right" vertical="center" wrapText="0"/>
    </x:xf>
    <x:xf numFmtId="219" fontId="28" fillId="33" borderId="3" xfId="0" applyNumberFormat="1" applyFont="1" applyFill="1" applyBorder="1" applyAlignment="1">
      <x:alignment horizontal="right" vertical="center" wrapText="0"/>
    </x:xf>
    <x:xf numFmtId="219" fontId="6" fillId="8" borderId="7" xfId="0" applyNumberFormat="1" applyFont="1" applyFill="1" applyBorder="1" applyAlignment="1">
      <x:alignment horizontal="right" vertical="center" wrapText="0"/>
    </x:xf>
    <x:xf numFmtId="204" fontId="2" fillId="6" borderId="5" xfId="0" applyNumberFormat="1" applyFont="1" applyFill="1" applyBorder="1" applyAlignment="1">
      <x:alignment horizontal="right" vertical="center" wrapText="0"/>
    </x:xf>
    <x:xf numFmtId="204" fontId="28" fillId="33" borderId="3" xfId="0" applyNumberFormat="1" applyFont="1" applyFill="1" applyBorder="1" applyAlignment="1">
      <x:alignment horizontal="right" vertical="center" wrapText="0"/>
    </x:xf>
    <x:xf numFmtId="219" fontId="4" fillId="4" borderId="4" xfId="0" applyNumberFormat="1" applyFont="1" applyFill="1" applyBorder="1" applyAlignment="1">
      <x:alignment vertical="center"/>
    </x:xf>
    <x:xf numFmtId="219" fontId="4" fillId="4" borderId="4" xfId="0" applyNumberFormat="1" applyFont="1" applyFill="1" applyBorder="1" applyAlignment="1">
      <x:alignment horizontal="right" vertical="center" wrapText="0"/>
    </x:xf>
    <x:xf numFmtId="204" fontId="4" fillId="4" borderId="4" xfId="0" applyNumberFormat="1" applyFont="1" applyFill="1" applyBorder="1" applyAlignment="1">
      <x:alignment horizontal="right" vertical="center" wrapText="0"/>
    </x:xf>
    <x:xf numFmtId="204" fontId="9" fillId="10" borderId="9" xfId="0" applyNumberFormat="1" applyFont="1" applyFill="1" applyBorder="1"/>
    <x:xf numFmtId="204" fontId="6" fillId="8" borderId="7" xfId="0" applyNumberFormat="1" applyFont="1" applyFill="1" applyBorder="1" applyAlignment="1">
      <x:alignment horizontal="right" vertical="center" wrapText="0"/>
    </x:xf>
    <x:xf numFmtId="219" fontId="13" fillId="13" borderId="0" xfId="0" applyNumberFormat="1" applyFont="1" applyFill="1" applyBorder="1"/>
    <x:xf numFmtId="219" fontId="28" fillId="33" xfId="0" applyNumberFormat="1" applyFont="1" applyFill="1" applyBorder="0" applyAlignment="1">
      <x:alignment horizontal="right" vertical="center" wrapText="0"/>
    </x:xf>
    <x:xf numFmtId="219" fontId="13" fillId="13" xfId="0" applyNumberFormat="1" applyFont="1" applyFill="1" applyBorder="0" applyAlignment="1">
      <x:alignment horizontal="right" vertical="center" wrapText="0"/>
    </x:xf>
    <x:xf numFmtId="219" fontId="12" fillId="10" xfId="0" applyNumberFormat="1" applyFont="1" applyFill="1" applyBorder="0" applyAlignment="1">
      <x:alignment horizontal="right" vertical="center" wrapText="0"/>
    </x:xf>
    <x:xf numFmtId="204" fontId="28" fillId="33" xfId="0" applyNumberFormat="1" applyFont="1" applyFill="1" applyBorder="0" applyAlignment="1">
      <x:alignment horizontal="right" vertical="center" wrapText="0"/>
    </x:xf>
    <x:xf numFmtId="204" fontId="13" fillId="13" xfId="0" applyNumberFormat="1" applyFont="1" applyFill="1" applyBorder="0" applyAlignment="1">
      <x:alignment horizontal="right" vertical="center" wrapText="0"/>
    </x:xf>
    <x:xf numFmtId="219" fontId="12" fillId="16" borderId="11" xfId="0" applyNumberFormat="1" applyFont="1" applyFill="1" applyBorder="1"/>
    <x:xf numFmtId="219" fontId="12" fillId="10" borderId="11" xfId="0" applyNumberFormat="1" applyFont="1" applyFill="1" applyBorder="1"/>
    <x:xf numFmtId="219" fontId="12" fillId="10" borderId="11" xfId="0" applyNumberFormat="1" applyFont="1" applyFill="1" applyBorder="1" applyAlignment="1">
      <x:alignment horizontal="right" vertical="center" wrapText="0"/>
    </x:xf>
    <x:xf numFmtId="219" fontId="14" fillId="15" borderId="0" xfId="0" applyNumberFormat="1" applyFont="1" applyFill="1" applyBorder="1"/>
    <x:xf numFmtId="219" fontId="14" fillId="15" xfId="0" applyNumberFormat="1" applyFont="1" applyFill="1" applyBorder="0" applyAlignment="1">
      <x:alignment horizontal="right" vertical="center" wrapText="0"/>
    </x:xf>
    <x:xf numFmtId="204" fontId="14" fillId="15" xfId="0" applyNumberFormat="1" applyFont="1" applyFill="1" applyBorder="0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b1ed6029fd4a23" /><Relationship Type="http://schemas.openxmlformats.org/officeDocument/2006/relationships/theme" Target="/xl/theme/theme1.xml" Id="R54da712ed19f4722" /><Relationship Type="http://schemas.openxmlformats.org/officeDocument/2006/relationships/sharedStrings" Target="/xl/sharedStrings.xml" Id="R5045aeefd6124c36" /><Relationship Type="http://schemas.openxmlformats.org/officeDocument/2006/relationships/worksheet" Target="/xl/worksheets/sheet1.xml" Id="R4e8f3fa6680e4a8d" /><Relationship Type="http://schemas.openxmlformats.org/officeDocument/2006/relationships/worksheet" Target="/xl/worksheets/sheet2.xml" Id="Rf1e815de4b924f5d" /><Relationship Type="http://schemas.openxmlformats.org/officeDocument/2006/relationships/worksheet" Target="/xl/worksheets/sheet3.xml" Id="R49cf3f317da64ddc" /><Relationship Type="http://schemas.openxmlformats.org/officeDocument/2006/relationships/worksheet" Target="/xl/worksheets/sheet4.xml" Id="Rdc06d8cd2192415f" /><Relationship Type="http://schemas.openxmlformats.org/officeDocument/2006/relationships/worksheet" Target="/xl/worksheets/sheet5.xml" Id="Rdbd6a5c151f248c3" /><Relationship Type="http://schemas.openxmlformats.org/officeDocument/2006/relationships/worksheet" Target="/xl/worksheets/sheet6.xml" Id="R04ca9864fb724b2c" /><Relationship Type="http://schemas.openxmlformats.org/officeDocument/2006/relationships/worksheet" Target="/xl/worksheets/sheet7.xml" Id="R37d0adf99c3c48ff" /><Relationship Type="http://schemas.openxmlformats.org/officeDocument/2006/relationships/worksheet" Target="/xl/worksheets/sheet8.xml" Id="Rdfb7d6b2c7c4495f" /><Relationship Type="http://schemas.openxmlformats.org/officeDocument/2006/relationships/worksheet" Target="/xl/worksheets/sheet9.xml" Id="Rbe6b3358c4284e7a" /><Relationship Type="http://schemas.openxmlformats.org/officeDocument/2006/relationships/worksheet" Target="/xl/worksheets/sheet10.xml" Id="Rf3f6ae80d1ea4bcd" /><Relationship Type="http://schemas.openxmlformats.org/officeDocument/2006/relationships/worksheet" Target="/xl/worksheets/sheet11.xml" Id="R5cfe8ce77de34ced" /><Relationship Type="http://schemas.openxmlformats.org/officeDocument/2006/relationships/worksheet" Target="/xl/worksheets/sheet12.xml" Id="R8a7baeb42815463a" /><Relationship Type="http://schemas.microsoft.com/office/2017/10/relationships/person" Target="/xl/persons/person.xml" Id="Rd4deda8e467c4dff" /></Relationships>
</file>

<file path=xl/persons/person.xml><?xml version="1.0" encoding="utf-8"?>
<xltc:personList xmlns:xltc="http://schemas.microsoft.com/office/spreadsheetml/2018/threadedcomments">
  <xltc:person displayName="Model Research" id="{5252C0D2-CE75-4369-93C3-0A2A03D427B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9-04T09:53:39.254" personId="{5252C0D2-CE75-4369-93C3-0A2A03D427B0}" id="{ADFFB39D-F942-488D-B177-94CFF5664CC3}">
    <xltc:text>Source: CoinGecko Ethereum price page, checked 2026-09-03. This is a refreshable reference price used only for USD conversion.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11" dT="2026-09-04T09:53:39.314" personId="{5252C0D2-CE75-4369-93C3-0A2A03D427B0}" id="{37449375-7C03-426E-B712-018E00B9C7A3}">
    <xltc:text>Independent reference calculated from current V2 parameters: 90% actual wallet control, 1% hook fee, Creator Tax 0%.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5" dT="2026-09-04T09:53:39.313" personId="{5252C0D2-CE75-4369-93C3-0A2A03D427B0}" id="{7982CE5C-D6C3-4A1C-AFAA-F61D2D3BCDCE}">
    <xltc:text>Source: Pons V2 Factory getLaunchConfig(0), current on-chain value phantomQuote = 1.68 ETH.</xltc:text>
  </xltc:threadedComment>
  <xltc:threadedComment ref="B6" dT="2026-09-04T09:53:39.313" personId="{5252C0D2-CE75-4369-93C3-0A2A03D427B0}" id="{D5E8BF29-DE9C-44CD-B8E5-BE2A1629D1ED}">
    <xltc:text>Source: Pons V2 Factory getLaunchConfig(0), current on-chain graduationThreshold = 4.2 ETH.</xltc:text>
  </xltc:threadedComment>
  <xltc:threadedComment ref="B8" dT="2026-09-04T09:53:39.313" personId="{5252C0D2-CE75-4369-93C3-0A2A03D427B0}" id="{5DD06E3C-4866-43F7-8386-0026D055941A}">
    <xltc:text>Creator Tax is editable. Contract cap is 10%; the model applies it to both curve-stage gross input and post-graduation token output.</xltc:text>
  </xltc:threadedComment>
  <xltc:threadedComment ref="E7" dT="2026-09-04T09:53:39.313" personId="{5252C0D2-CE75-4369-93C3-0A2A03D427B0}" id="{3126541F-4A9A-48A3-A6B7-A7CF7414807F}">
    <xltc:text>Source: current V2 Hook policy, hookFeeBps = 100 (1%). Exact-input buys take this fee from token output, so it changes actual wallet control rather than requiring extra Quote directly.</xltc:text>
  </xltc:threadedComment>
  <xltc:threadedComment ref="H3" dT="2026-09-04T09:53:39.314" personId="{5252C0D2-CE75-4369-93C3-0A2A03D427B0}" id="{C196C57F-703E-4975-A460-CB06B220CB51}">
    <xltc:text>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2770f653870405e" /><Relationship Type="http://schemas.openxmlformats.org/officeDocument/2006/relationships/vmlDrawing" Target="/xl/drawings/vmldrawing.vml" Id="Rc907a8a1464f4a9a" /><Relationship Type="http://schemas.microsoft.com/office/2017/10/relationships/threadedComment" Target="/xl/threadedcomments/threadedcomment.xml" Id="Rbf6175c9412448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9c6c95665da747d7" /><Relationship Type="http://schemas.openxmlformats.org/officeDocument/2006/relationships/vmlDrawing" Target="/xl/drawings/vmldrawing2.vml" Id="R1ddca8a476e14d2d" /><Relationship Type="http://schemas.microsoft.com/office/2017/10/relationships/threadedComment" Target="/xl/threadedcomments/threadedcomment2.xml" Id="R3d75fd6cc0b345e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3.xml" Id="R3e421013dc174770" /><Relationship Type="http://schemas.openxmlformats.org/officeDocument/2006/relationships/vmlDrawing" Target="/xl/drawings/vmldrawing3.vml" Id="R4a422ff181ab4594" /><Relationship Type="http://schemas.microsoft.com/office/2017/10/relationships/threadedComment" Target="/xl/threadedcomments/threadedcomment3.xml" Id="Ra846560eed854e6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6" hidden="0" customWidth="1"/>
    <x:col min="4" max="4" width="18" hidden="0" customWidth="1"/>
  </x:cols>
  <x:sheetData>
    <x:row r="1" ht="28" customHeight="1">
      <x:c r="A1" s="4" t="str">
        <x:v>每日币价假设 / DAILY PRICE INPUTS</x:v>
      </x:c>
      <x:c r="B1" s="4"/>
      <x:c r="C1" s="4"/>
      <x:c r="D1" s="4"/>
    </x:row>
    <x:row r="2">
      <x:c r="A2" s="10" t="str">
        <x:v>资产</x:v>
      </x:c>
      <x:c r="B2" s="10" t="str">
        <x:v>USD 价格</x:v>
      </x:c>
      <x:c r="C2" s="10" t="str">
        <x:v>取价日期</x:v>
      </x:c>
      <x:c r="D2" s="10" t="str">
        <x:v>CoinGecko ID</x:v>
      </x:c>
    </x:row>
    <x:row r="3">
      <x:c r="A3" s="13" t="str">
        <x:v>SOL</x:v>
      </x:c>
      <x:c r="B3" s="15" t="n">
        <x:v>106.09</x:v>
      </x:c>
      <x:c r="C3" s="13" t="n">
        <x:v>46283.376137210646</x:v>
      </x:c>
      <x:c r="D3" s="13" t="str">
        <x:v>solana</x:v>
      </x:c>
    </x:row>
    <x:row r="4">
      <x:c r="A4" s="13" t="str">
        <x:v>BNB</x:v>
      </x:c>
      <x:c r="B4" s="15" t="n">
        <x:v>753.88</x:v>
      </x:c>
      <x:c r="C4" s="13" t="n">
        <x:v>46283.376137210646</x:v>
      </x:c>
      <x:c r="D4" s="13" t="str">
        <x:v>binancecoin</x:v>
      </x:c>
    </x:row>
    <x:row r="5">
      <x:c r="A5" s="13" t="str">
        <x:v>HYPE</x:v>
      </x:c>
      <x:c r="B5" s="15" t="n">
        <x:v>88.57</x:v>
      </x:c>
      <x:c r="C5" s="13" t="n">
        <x:v>46283.376137210646</x:v>
      </x:c>
      <x:c r="D5" s="13" t="str">
        <x:v>hyperliquid</x:v>
      </x:c>
    </x:row>
    <x:row r="6">
      <x:c r="A6" s="13" t="str">
        <x:v>ASTER</x:v>
      </x:c>
      <x:c r="B6" s="15" t="n">
        <x:v>0.754061</x:v>
      </x:c>
      <x:c r="C6" s="13" t="n">
        <x:v>46283.376137210646</x:v>
      </x:c>
      <x:c r="D6" s="13" t="str">
        <x:v>aster-2</x:v>
      </x:c>
    </x:row>
    <x:row r="7">
      <x:c r="A7" t="str">
        <x:v>ETH</x:v>
      </x:c>
      <x:c r="B7" s="92" t="n">
        <x:v>2500.87</x:v>
      </x:c>
      <x:c r="C7" t="n">
        <x:v>46283.376137210646</x:v>
      </x:c>
      <x:c r="D7" t="str">
        <x:v>ethereum</x:v>
      </x:c>
    </x:row>
    <x:row r="8">
      <x:c r="A8" t="str">
        <x:v>说明</x:v>
      </x:c>
      <x:c r="B8" t="str">
        <x:v>蓝色价格单元格可更新，所有模型的“市值 / USD”会自动重算。</x:v>
      </x:c>
      <x:c r="C8"/>
      <x:c r="D8"/>
    </x:row>
    <x:row r="9">
      <x:c r="A9" t="str">
        <x:v>数据源</x:v>
      </x:c>
      <x:c r="B9" t="str">
        <x:v>CoinGecko Simple Price API</x:v>
      </x:c>
      <x:c r="C9"/>
      <x:c r="D9"/>
    </x:row>
    <x:row r="10">
      <x:c r="A10" t="str">
        <x:v>接口</x:v>
      </x:c>
      <x:c r="B10" t="str">
        <x:v>https://api.coingecko.com/api/v3/simple/price</x:v>
      </x:c>
      <x:c r="C10"/>
      <x:c r="D10"/>
    </x:row>
    <x:row r="12">
      <x:c r="A12" t="str">
        <x:v>USDT / USD</x:v>
      </x:c>
      <x:c r="B12" s="552" t="n">
        <x:v>0.999164</x:v>
      </x:c>
      <x:c r="C12" t="str">
        <x:v>汇率快照</x:v>
      </x:c>
      <x:c r="D12" t="n">
        <x:v>46283.376137210646</x:v>
      </x:c>
    </x:row>
    <x:row r="13">
      <x:c r="A13" t="str">
        <x:v>汇率来源</x:v>
      </x:c>
      <x:c r="B13" t="str">
        <x:v>https://api.coingecko.com/api/v3/simple/price?ids=tether&amp;vs_currencies=usd</x:v>
      </x:c>
      <x:c r="C13"/>
      <x:c r="D13"/>
    </x:row>
    <x:row r="14">
      <x:c r="A14" t="str">
        <x:v>使用说明</x:v>
      </x:c>
      <x:c r="B14" t="str">
        <x:v>网页与本表采用同一每日快照；资金预留为 10,000 USDT ÷ Quote 价格向上取整。下载文件不联网刷新。</x:v>
      </x:c>
      <x:c r="C14"/>
      <x:c r="D14"/>
    </x:row>
    <x:row r="15">
      <x:c r="A15" t="str">
        <x:v>预留预算 / USDT</x:v>
      </x:c>
      <x:c r="B15" s="65" t="n">
        <x:v>10000</x:v>
      </x:c>
    </x:row>
  </x:sheetData>
  <x:mergeCells>
    <x:mergeCell ref="A1:D1"/>
  </x:mergeCells>
  <x:pageMargins left="0.7" right="0.7" top="0.75" bottom="0.75" header="0.3" footer="0.3"/>
  <x:legacyDrawing xmlns:r="http://schemas.openxmlformats.org/officeDocument/2006/relationships" r:id="Rc907a8a1464f4a9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0" hidden="0" customWidth="1"/>
    <x:col min="7" max="7" width="16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4" t="str">
        <x:v>Pump.fun / SOL · 发射控筹模型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55" t="str">
        <x:v>Quote USD 价格</x:v>
      </x:c>
      <x:c r="B3" s="50" t="n">
        <x:f>'币价'!$B$3</x:f>
        <x:v>106.09</x:v>
      </x:c>
      <x:c r="C3" s="56" t="str">
        <x:v>内盘 k</x:v>
      </x:c>
      <x:c r="D3" s="51" t="n">
        <x:v>32190005730</x:v>
      </x:c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s="55" t="str">
        <x:v>total supply</x:v>
      </x:c>
      <x:c r="B4" s="51" t="n">
        <x:v>1000000000</x:v>
      </x:c>
      <x:c r="C4" s="56" t="str">
        <x:v>外盘初始 token</x:v>
      </x:c>
      <x:c r="D4" s="51" t="n">
        <x:v>206900000</x:v>
      </x:c>
      <x:c r="G4" t="str">
        <x:v>单地址 Gas / SOL</x:v>
      </x:c>
      <x:c r="H4" s="99" t="n">
        <x:v>0.1</x:v>
      </x:c>
      <x:c r="I4" t="str">
        <x:v>Holder 地址</x:v>
      </x:c>
      <x:c r="J4" s="100" t="n">
        <x:v>150</x:v>
      </x:c>
    </x:row>
    <x:row r="5">
      <x:c r="A5" s="55" t="str">
        <x:v>内盘毕业所需</x:v>
      </x:c>
      <x:c r="B5" s="51" t="n">
        <x:f>K21</x:f>
        <x:v>86.0678673134596</x:v>
      </x:c>
      <x:c r="C5" s="56" t="str">
        <x:v>外盘初始 Quote</x:v>
      </x:c>
      <x:c r="D5" s="51" t="n">
        <x:v>84.990360474</x:v>
      </x:c>
      <x:c r="G5" t="str">
        <x:v>资金预留 / SOL</x:v>
      </x:c>
      <x:c r="H5" s="553" t="n">
        <x:f>IF($B$3&gt;0,ROUNDUP('币价'!$B$15/($B$3/'币价'!$B$12),0),"")</x:f>
        <x:v>95</x:v>
      </x:c>
      <x:c r="I5" t="str">
        <x:v>默认目标控筹率</x:v>
      </x:c>
      <x:c r="J5" s="102" t="n">
        <x:v>0.94</x:v>
      </x:c>
    </x:row>
    <x:row r="6">
      <x:c r="A6" s="55" t="str">
        <x:v>毕业控筹率</x:v>
      </x:c>
      <x:c r="B6" s="52" t="n">
        <x:v>0.7931</x:v>
      </x:c>
      <x:c r="C6" s="56" t="str">
        <x:v>外盘 k</x:v>
      </x:c>
      <x:c r="D6" s="51" t="n">
        <x:v>17584505582.0706</x:v>
      </x:c>
      <x:c r="G6" t="str">
        <x:v>洗筹口径</x:v>
      </x:c>
      <x:c r="H6" s="95" t="str">
        <x:v>FDV × 外盘费率 × 2</x:v>
      </x:c>
      <x:c r="I6" t="str">
        <x:v>目标 +1% 理论资金</x:v>
      </x:c>
      <x:c r="J6" s="554" t="n">
        <x:f>INDEX($K$25:$K$65,ROUND(($J$5+1%-80%)/0.5%,0)+1)</x:f>
        <x:v>356.1013653704639</x:v>
      </x:c>
    </x:row>
    <x:row r="7">
      <x:c r="A7" s="55" t="str">
        <x:v>内盘交易手续费</x:v>
      </x:c>
      <x:c r="B7" s="52" t="n">
        <x:v>0.0125</x:v>
      </x:c>
      <x:c r="C7"/>
      <x:c r="D7"/>
      <x:c r="G7" t="str">
        <x:v>内盘地址 / 套</x:v>
      </x:c>
      <x:c r="H7" s="100" t="n">
        <x:v>20</x:v>
      </x:c>
      <x:c r="I7" t="str">
        <x:v>额外内盘资金</x:v>
      </x:c>
      <x:c r="J7" s="554" t="n">
        <x:f>$B$5*($H$8-1)</x:f>
        <x:v>86.0678673134596</x:v>
      </x:c>
    </x:row>
    <x:row r="8">
      <x:c r="A8" s="55" t="str">
        <x:v>外盘交易手续费</x:v>
      </x:c>
      <x:c r="B8" s="52" t="n">
        <x:v>0.0125</x:v>
      </x:c>
      <x:c r="C8"/>
      <x:c r="D8"/>
      <x:c r="G8" t="str">
        <x:v>内盘套数</x:v>
      </x:c>
      <x:c r="H8" s="100" t="n">
        <x:v>2</x:v>
      </x:c>
      <x:c r="I8" t="str">
        <x:v>动态洗筹手续费</x:v>
      </x:c>
      <x:c r="J8" s="554" t="n">
        <x:f>INDEX($G$25:$G$65,ROUND(($J$5+1%-80%)/0.5%,0)+1)*$H$9*2</x:f>
        <x:v>175.84505582070568</x:v>
      </x:c>
    </x:row>
    <x:row r="9">
      <x:c r="A9" s="55" t="str">
        <x:v>内盘初始 token</x:v>
      </x:c>
      <x:c r="B9" s="51" t="n">
        <x:v>1073000191</x:v>
      </x:c>
      <x:c r="C9"/>
      <x:c r="D9"/>
      <x:c r="G9" t="str">
        <x:v>外盘费率</x:v>
      </x:c>
      <x:c r="H9" s="101" t="n">
        <x:f>$B$8</x:f>
        <x:v>0.0125</x:v>
      </x:c>
      <x:c r="I9" t="str">
        <x:v>建议 Quote 资金</x:v>
      </x:c>
      <x:c r="J9" s="554" t="n">
        <x:f>IF(AND(ISNUMBER($J$6),ISNUMBER($H$5)),SUM(J6:J8)+$H$5,"")</x:f>
        <x:v>713.0142885046291</x:v>
      </x:c>
    </x:row>
    <x:row r="10">
      <x:c r="A10" s="55" t="str">
        <x:v>内盘初始 Quote</x:v>
      </x:c>
      <x:c r="B10" s="51" t="n">
        <x:v>30</x:v>
      </x:c>
      <x:c r="C10"/>
      <x:c r="D10"/>
      <x:c r="G10" t="str">
        <x:v>滑点预留</x:v>
      </x:c>
      <x:c r="H10" s="102" t="n">
        <x:v>0</x:v>
      </x:c>
      <x:c r="I10" t="str">
        <x:v>Gas 储备 / SOL</x:v>
      </x:c>
      <x:c r="J10" s="554" t="n">
        <x:f>($H$7*$H$8+$J$3+$J$4)*$H$4</x:f>
        <x:v>22</x:v>
      </x:c>
    </x:row>
    <x:row r="11">
      <x:c r="J11" s="555"/>
    </x:row>
    <x:row r="12" ht="34" customHeight="1">
      <x:c r="A12" s="10" t="str">
        <x:v>控筹率</x:v>
      </x:c>
      <x:c r="B12" s="10" t="str">
        <x:v>pooled token</x:v>
      </x:c>
      <x:c r="C12" s="10" t="str">
        <x:v>pooled SOL</x:v>
      </x:c>
      <x:c r="D12" s="10" t="str">
        <x:v>k</x:v>
      </x:c>
      <x:c r="E12" s="331" t="str">
        <x:v>价格 / SOL</x:v>
      </x:c>
      <x:c r="F12" s="331" t="str">
        <x:v>价格 / USDT</x:v>
      </x:c>
      <x:c r="G12" s="331" t="str">
        <x:v>市值 / SOL</x:v>
      </x:c>
      <x:c r="H12" s="331" t="str">
        <x:v>市值 / USD</x:v>
      </x:c>
      <x:c r="I12" s="331" t="str">
        <x:v>所需 SOL</x:v>
      </x:c>
      <x:c r="J12" s="331" t="str">
        <x:v>加手续费</x:v>
      </x:c>
      <x:c r="K12" s="344" t="str">
        <x:v>理论累计所需</x:v>
      </x:c>
    </x:row>
    <x:row r="13">
      <x:c r="A13" s="57" t="n">
        <x:v>0</x:v>
      </x:c>
      <x:c r="B13" s="63" t="n">
        <x:f>$B$9-A13*$B$4</x:f>
        <x:v>1073000191</x:v>
      </x:c>
      <x:c r="C13" s="556" t="n">
        <x:f>$D$3/B13</x:f>
        <x:v>30</x:v>
      </x:c>
      <x:c r="D13" s="74" t="n">
        <x:f>B13*C13</x:f>
        <x:v>32190005730</x:v>
      </x:c>
      <x:c r="E13" s="348" t="n">
        <x:f>C13/B13</x:f>
        <x:v>2.7958988499378563e-8</x:v>
      </x:c>
      <x:c r="F13" s="348" t="n">
        <x:f>IF(ISNUMBER(E13),E13*$B$3/'币价'!$B$12,"")</x:f>
        <x:v>0.000002968650882036454</x:v>
      </x:c>
      <x:c r="G13" s="558" t="n">
        <x:f>E13*$B$4</x:f>
        <x:v>27.958988499378563</x:v>
      </x:c>
      <x:c r="H13" s="561" t="n">
        <x:f>G13*$B$3</x:f>
        <x:v>2966.169089899072</x:v>
      </x:c>
      <x:c r="I13" s="558" t="n">
        <x:f>0</x:f>
        <x:v>0</x:v>
      </x:c>
      <x:c r="J13" s="558" t="n">
        <x:f>I13*(1+$B$7)</x:f>
        <x:v>0</x:v>
      </x:c>
      <x:c r="K13" s="560" t="n">
        <x:f>0</x:f>
        <x:v>0</x:v>
      </x:c>
    </x:row>
    <x:row r="14">
      <x:c r="A14" s="58" t="n">
        <x:v>0.1</x:v>
      </x:c>
      <x:c r="B14" s="64" t="n">
        <x:f>$B$9-A14*$B$4</x:f>
        <x:v>973000191</x:v>
      </x:c>
      <x:c r="C14" s="557" t="n">
        <x:f>$D$3/B14</x:f>
        <x:v>33.083247082322515</x:v>
      </x:c>
      <x:c r="D14" s="75" t="n">
        <x:f>B14*C14</x:f>
        <x:v>32190005730</x:v>
      </x:c>
      <x:c r="E14" s="374" t="n">
        <x:f>C14/B14</x:f>
        <x:v>3.4001275013441916e-8</x:v>
      </x:c>
      <x:c r="F14" s="374" t="n">
        <x:f>IF(ISNUMBER(E14),E14*$B$3/'币价'!$B$12,"")</x:f>
        <x:v>0.000003610213404582284</x:v>
      </x:c>
      <x:c r="G14" s="559" t="n">
        <x:f>E14*$B$4</x:f>
        <x:v>34.00127501344192</x:v>
      </x:c>
      <x:c r="H14" s="562" t="n">
        <x:f>G14*$B$3</x:f>
        <x:v>3607.1952661760533</x:v>
      </x:c>
      <x:c r="I14" s="559" t="n">
        <x:f>C14-C13</x:f>
        <x:v>3.083247082322515</x:v>
      </x:c>
      <x:c r="J14" s="559" t="n">
        <x:f>I14*(1+$B$7)</x:f>
        <x:v>3.121787670851546</x:v>
      </x:c>
      <x:c r="K14" s="560" t="n">
        <x:f>K13+J14</x:f>
        <x:v>3.121787670851546</x:v>
      </x:c>
    </x:row>
    <x:row r="15">
      <x:c r="A15" s="58" t="n">
        <x:v>0.2</x:v>
      </x:c>
      <x:c r="B15" s="64" t="n">
        <x:f>$B$9-A15*$B$4</x:f>
        <x:v>873000191</x:v>
      </x:c>
      <x:c r="C15" s="557" t="n">
        <x:f>$D$3/B15</x:f>
        <x:v>36.87285072999486</x:v>
      </x:c>
      <x:c r="D15" s="75" t="n">
        <x:f>B15*C15</x:f>
        <x:v>32190005730</x:v>
      </x:c>
      <x:c r="E15" s="374" t="n">
        <x:f>C15/B15</x:f>
        <x:v>4.2236933176106095e-8</x:v>
      </x:c>
      <x:c r="F15" s="374" t="n">
        <x:f>IF(ISNUMBER(E15),E15*$B$3/'币价'!$B$12,"")</x:f>
        <x:v>0.000004484665420945006</x:v>
      </x:c>
      <x:c r="G15" s="559" t="n">
        <x:f>E15*$B$4</x:f>
        <x:v>42.23693317610609</x:v>
      </x:c>
      <x:c r="H15" s="562" t="n">
        <x:f>G15*$B$3</x:f>
        <x:v>4480.916240653096</x:v>
      </x:c>
      <x:c r="I15" s="559" t="n">
        <x:f>C15-C14</x:f>
        <x:v>3.789603647672344</x:v>
      </x:c>
      <x:c r="J15" s="559" t="n">
        <x:f>I15*(1+$B$7)</x:f>
        <x:v>3.836973693268248</x:v>
      </x:c>
      <x:c r="K15" s="560" t="n">
        <x:f>K14+J15</x:f>
        <x:v>6.958761364119795</x:v>
      </x:c>
    </x:row>
    <x:row r="16">
      <x:c r="A16" s="58" t="n">
        <x:v>0.3</x:v>
      </x:c>
      <x:c r="B16" s="64" t="n">
        <x:f>$B$9-A16*$B$4</x:f>
        <x:v>773000191</x:v>
      </x:c>
      <x:c r="C16" s="557" t="n">
        <x:f>$D$3/B16</x:f>
        <x:v>41.64294667037152</x:v>
      </x:c>
      <x:c r="D16" s="75" t="n">
        <x:f>B16*C16</x:f>
        <x:v>32190005730</x:v>
      </x:c>
      <x:c r="E16" s="374" t="n">
        <x:f>C16/B16</x:f>
        <x:v>5.3871845253362326e-8</x:v>
      </x:c>
      <x:c r="F16" s="374" t="n">
        <x:f>IF(ISNUMBER(E16),E16*$B$3/'币价'!$B$12,"")</x:f>
        <x:v>0.0000057200460214031015</x:v>
      </x:c>
      <x:c r="G16" s="559" t="n">
        <x:f>E16*$B$4</x:f>
        <x:v>53.87184525336232</x:v>
      </x:c>
      <x:c r="H16" s="562" t="n">
        <x:f>G16*$B$3</x:f>
        <x:v>5715.264062929209</x:v>
      </x:c>
      <x:c r="I16" s="559" t="n">
        <x:f>C16-C15</x:f>
        <x:v>4.770095940376663</x:v>
      </x:c>
      <x:c r="J16" s="559" t="n">
        <x:f>I16*(1+$B$7)</x:f>
        <x:v>4.829722139631372</x:v>
      </x:c>
      <x:c r="K16" s="560" t="n">
        <x:f>K15+J16</x:f>
        <x:v>11.788483503751166</x:v>
      </x:c>
    </x:row>
    <x:row r="17">
      <x:c r="A17" s="58" t="n">
        <x:v>0.4</x:v>
      </x:c>
      <x:c r="B17" s="64" t="n">
        <x:f>$B$9-A17*$B$4</x:f>
        <x:v>673000191</x:v>
      </x:c>
      <x:c r="C17" s="557" t="n">
        <x:f>$D$3/B17</x:f>
        <x:v>47.83060415208708</x:v>
      </x:c>
      <x:c r="D17" s="75" t="n">
        <x:f>B17*C17</x:f>
        <x:v>32190005730</x:v>
      </x:c>
      <x:c r="E17" s="374" t="n">
        <x:f>C17/B17</x:f>
        <x:v>7.107071408258646e-8</x:v>
      </x:c>
      <x:c r="F17" s="374" t="n">
        <x:f>IF(ISNUMBER(E17),E17*$B$3/'币价'!$B$12,"")</x:f>
        <x:v>0.000007546200680790739</x:v>
      </x:c>
      <x:c r="G17" s="559" t="n">
        <x:f>E17*$B$4</x:f>
        <x:v>71.07071408258646</x:v>
      </x:c>
      <x:c r="H17" s="562" t="n">
        <x:f>G17*$B$3</x:f>
        <x:v>7539.892057021598</x:v>
      </x:c>
      <x:c r="I17" s="559" t="n">
        <x:f>C17-C16</x:f>
        <x:v>6.187657481715561</x:v>
      </x:c>
      <x:c r="J17" s="559" t="n">
        <x:f>I17*(1+$B$7)</x:f>
        <x:v>6.265003200237006</x:v>
      </x:c>
      <x:c r="K17" s="560" t="n">
        <x:f>K16+J17</x:f>
        <x:v>18.05348670398817</x:v>
      </x:c>
    </x:row>
    <x:row r="18">
      <x:c r="A18" s="58" t="n">
        <x:v>0.5</x:v>
      </x:c>
      <x:c r="B18" s="64" t="n">
        <x:f>$B$9-A18*$B$4</x:f>
        <x:v>573000191</x:v>
      </x:c>
      <x:c r="C18" s="557" t="n">
        <x:f>$D$3/B18</x:f>
        <x:v>56.17800174520361</x:v>
      </x:c>
      <x:c r="D18" s="75" t="n">
        <x:f>B18*C18</x:f>
        <x:v>32190005730</x:v>
      </x:c>
      <x:c r="E18" s="374" t="n">
        <x:f>C18/B18</x:f>
        <x:v>9.804185518186609e-8</x:v>
      </x:c>
      <x:c r="F18" s="374" t="n">
        <x:f>IF(ISNUMBER(E18),E18*$B$3/'币价'!$B$12,"")</x:f>
        <x:v>0.000010409963145433757</x:v>
      </x:c>
      <x:c r="G18" s="559" t="n">
        <x:f>E18*$B$4</x:f>
        <x:v>98.04185518186608</x:v>
      </x:c>
      <x:c r="H18" s="562" t="n">
        <x:f>G18*$B$3</x:f>
        <x:v>10401.260416244173</x:v>
      </x:c>
      <x:c r="I18" s="559" t="n">
        <x:f>C18-C17</x:f>
        <x:v>8.347397593116526</x:v>
      </x:c>
      <x:c r="J18" s="559" t="n">
        <x:f>I18*(1+$B$7)</x:f>
        <x:v>8.451740063030481</x:v>
      </x:c>
      <x:c r="K18" s="560" t="n">
        <x:f>K17+J18</x:f>
        <x:v>26.50522676701865</x:v>
      </x:c>
    </x:row>
    <x:row r="19">
      <x:c r="A19" s="58" t="n">
        <x:v>0.6</x:v>
      </x:c>
      <x:c r="B19" s="64" t="n">
        <x:f>$B$9-A19*$B$4</x:f>
        <x:v>473000191</x:v>
      </x:c>
      <x:c r="C19" s="557" t="n">
        <x:f>$D$3/B19</x:f>
        <x:v>68.05495292072726</x:v>
      </x:c>
      <x:c r="D19" s="75" t="n">
        <x:f>B19*C19</x:f>
        <x:v>32190005730</x:v>
      </x:c>
      <x:c r="E19" s="374" t="n">
        <x:f>C19/B19</x:f>
        <x:v>1.4387933496781032e-7</x:v>
      </x:c>
      <x:c r="F19" s="374" t="n">
        <x:f>IF(ISNUMBER(E19),E19*$B$3/'币价'!$B$12,"")</x:f>
        <x:v>0.00001527693016034905</x:v>
      </x:c>
      <x:c r="G19" s="559" t="n">
        <x:f>E19*$B$4</x:f>
        <x:v>143.87933496781034</x:v>
      </x:c>
      <x:c r="H19" s="562" t="n">
        <x:f>G19*$B$3</x:f>
        <x:v>15264.158646734999</x:v>
      </x:c>
      <x:c r="I19" s="559" t="n">
        <x:f>C19-C18</x:f>
        <x:v>11.87695117552365</x:v>
      </x:c>
      <x:c r="J19" s="559" t="n">
        <x:f>I19*(1+$B$7)</x:f>
        <x:v>12.025413065217696</x:v>
      </x:c>
      <x:c r="K19" s="560" t="n">
        <x:f>K18+J19</x:f>
        <x:v>38.530639832236346</x:v>
      </x:c>
    </x:row>
    <x:row r="20">
      <x:c r="A20" s="58" t="n">
        <x:v>0.7</x:v>
      </x:c>
      <x:c r="B20" s="64" t="n">
        <x:f>$B$9-A20*$B$4</x:f>
        <x:v>373000191</x:v>
      </x:c>
      <x:c r="C20" s="557" t="n">
        <x:f>$D$3/B20</x:f>
        <x:v>86.3002392671697</x:v>
      </x:c>
      <x:c r="D20" s="75" t="n">
        <x:f>B20*C20</x:f>
        <x:v>32190005730</x:v>
      </x:c>
      <x:c r="E20" s="374" t="n">
        <x:f>C20/B20</x:f>
        <x:v>2.3136781521693565e-7</x:v>
      </x:c>
      <x:c r="F20" s="374" t="n">
        <x:f>IF(ISNUMBER(E20),E20*$B$3/'币价'!$B$12,"")</x:f>
        <x:v>0.00002456634898411542</x:v>
      </x:c>
      <x:c r="G20" s="559" t="n">
        <x:f>E20*$B$4</x:f>
        <x:v>231.36781521693564</x:v>
      </x:c>
      <x:c r="H20" s="562" t="n">
        <x:f>G20*$B$3</x:f>
        <x:v>24545.8115163647</x:v>
      </x:c>
      <x:c r="I20" s="559" t="n">
        <x:f>C20-C19</x:f>
        <x:v>18.24528634644244</x:v>
      </x:c>
      <x:c r="J20" s="559" t="n">
        <x:f>I20*(1+$B$7)</x:f>
        <x:v>18.47335242577297</x:v>
      </x:c>
      <x:c r="K20" s="560" t="n">
        <x:f>K19+J20</x:f>
        <x:v>57.00399225800932</x:v>
      </x:c>
    </x:row>
    <x:row r="21">
      <x:c r="A21" s="57" t="n">
        <x:v>0.7931</x:v>
      </x:c>
      <x:c r="B21" s="63" t="n">
        <x:f>$B$9-A21*$B$4</x:f>
        <x:v>279900191</x:v>
      </x:c>
      <x:c r="C21" s="556" t="n">
        <x:f>$D$3/B21</x:f>
        <x:v>115.00530105033047</x:v>
      </x:c>
      <x:c r="D21" s="74" t="n">
        <x:f>B21*C21</x:f>
        <x:v>32190005730</x:v>
      </x:c>
      <x:c r="E21" s="348" t="n">
        <x:f>C21/B21</x:f>
        <x:v>4.108796805012915e-7</x:v>
      </x:c>
      <x:c r="F21" s="348" t="n">
        <x:f>IF(ISNUMBER(E21),E21*$B$3/'币价'!$B$12,"")</x:f>
        <x:v>0.00004362669722326066</x:v>
      </x:c>
      <x:c r="G21" s="558" t="n">
        <x:f>E21*$B$4</x:f>
        <x:v>410.8796805012915</x:v>
      </x:c>
      <x:c r="H21" s="561" t="n">
        <x:f>G21*$B$3</x:f>
        <x:v>43590.22530438202</x:v>
      </x:c>
      <x:c r="I21" s="558" t="n">
        <x:f>C21-C20</x:f>
        <x:v>28.705061783160772</x:v>
      </x:c>
      <x:c r="J21" s="558" t="n">
        <x:f>I21*(1+$B$7)</x:f>
        <x:v>29.063875055450282</x:v>
      </x:c>
      <x:c r="K21" s="560" t="n">
        <x:f>K20+J21</x:f>
        <x:v>86.0678673134596</x:v>
      </x:c>
    </x:row>
    <x:row r="22">
      <x:c r="A22" s="59"/>
      <x:c r="B22" s="65"/>
      <x:c r="C22" s="17"/>
      <x:c r="D22" s="76"/>
      <x:c r="E22" s="82"/>
      <x:c r="F22" s="88"/>
      <x:c r="G22" s="88"/>
    </x:row>
    <x:row r="23">
      <x:c r="A23" s="59"/>
      <x:c r="B23" s="65"/>
      <x:c r="C23" s="17"/>
      <x:c r="D23" s="76"/>
      <x:c r="E23" s="82"/>
      <x:c r="F23" s="88"/>
      <x:c r="G23" s="88"/>
    </x:row>
    <x:row r="24" ht="34" customHeight="1">
      <x:c r="A24" s="60" t="str">
        <x:v>控筹率</x:v>
      </x:c>
      <x:c r="B24" s="66" t="str">
        <x:v>pooled token</x:v>
      </x:c>
      <x:c r="C24" s="71" t="str">
        <x:v>pooled SOL</x:v>
      </x:c>
      <x:c r="D24" s="77" t="str">
        <x:v>k</x:v>
      </x:c>
      <x:c r="E24" s="391" t="str">
        <x:v>价格 / SOL</x:v>
      </x:c>
      <x:c r="F24" s="391" t="str">
        <x:v>价格 / USDT</x:v>
      </x:c>
      <x:c r="G24" s="393" t="str">
        <x:v>市值 / SOL</x:v>
      </x:c>
      <x:c r="H24" s="393" t="str">
        <x:v>市值 / USD</x:v>
      </x:c>
      <x:c r="I24" s="331" t="str">
        <x:v>所需 SOL</x:v>
      </x:c>
      <x:c r="J24" s="331" t="str">
        <x:v>加手续费</x:v>
      </x:c>
      <x:c r="K24" s="344" t="str">
        <x:v>理论累计所需</x:v>
      </x:c>
    </x:row>
    <x:row r="25">
      <x:c r="A25" s="57" t="n">
        <x:v>0.8</x:v>
      </x:c>
      <x:c r="B25" s="63" t="n">
        <x:f>IF(A25&gt;=1,"",IF(ABS(A25-$B$6)&lt;0.000001,$D$4,$B$4*(1-A25)))</x:f>
        <x:v>199999999.99999997</x:v>
      </x:c>
      <x:c r="C25" s="556" t="n">
        <x:f>IF(A25&gt;=1,"",IF(ABS(A25-$B$6)&lt;0.000001,$D$5,$D$6/B25))</x:f>
        <x:v>87.92252791035301</x:v>
      </x:c>
      <x:c r="D25" s="74" t="n">
        <x:f>IF(A25&gt;=1,"",B25*C25)</x:f>
        <x:v>17584505582.0706</x:v>
      </x:c>
      <x:c r="E25" s="348" t="n">
        <x:f>IF(A25&gt;=1,"",C25/B25)</x:f>
        <x:v>4.3961263955176514e-7</x:v>
      </x:c>
      <x:c r="F25" s="348" t="n">
        <x:f>IF(ISNUMBER(E25),E25*$B$3/'币价'!$B$12,"")</x:f>
        <x:v>0.000046677527342905434</x:v>
      </x:c>
      <x:c r="G25" s="558" t="n">
        <x:f>IF(A25&gt;=1,"",E25*$B$4)</x:f>
        <x:v>439.61263955176514</x:v>
      </x:c>
      <x:c r="H25" s="561" t="n">
        <x:f>IF(A25&gt;=1,"",G25*$B$3)</x:f>
        <x:v>46638.504930046765</x:v>
      </x:c>
      <x:c r="I25" s="558" t="n">
        <x:f>IF(A25&gt;=1,"",C25-$D$5)</x:f>
        <x:v>2.932167436353012</x:v>
      </x:c>
      <x:c r="J25" s="558" t="n">
        <x:f>IF(A25&gt;=1,"",I25*(1+$B$8))</x:f>
        <x:v>2.968819529307425</x:v>
      </x:c>
      <x:c r="K25" s="560" t="n">
        <x:f>IF(A25&gt;=1,"不可达",$B$5+(C25-$D$5)*(1+$B$8))</x:f>
        <x:v>89.03668684276703</x:v>
      </x:c>
    </x:row>
    <x:row r="26">
      <x:c r="A26" s="58" t="n">
        <x:v>0.805</x:v>
      </x:c>
      <x:c r="B26" s="64" t="n">
        <x:f>IF(A26&gt;=1,"",IF(ABS(A26-$B$6)&lt;0.000001,$D$4,$B$4*(1-A26)))</x:f>
        <x:v>194999999.99999994</x:v>
      </x:c>
      <x:c r="C26" s="557" t="n">
        <x:f>IF(A26&gt;=1,"",IF(ABS(A26-$B$6)&lt;0.000001,$D$5,$D$6/B26))</x:f>
        <x:v>90.17695170292617</x:v>
      </x:c>
      <x:c r="D26" s="75" t="n">
        <x:f>IF(A26&gt;=1,"",B26*C26)</x:f>
        <x:v>17584505582.0706</x:v>
      </x:c>
      <x:c r="E26" s="374" t="n">
        <x:f>IF(A26&gt;=1,"",C26/B26)</x:f>
        <x:v>4.624459061688523e-7</x:v>
      </x:c>
      <x:c r="F26" s="374" t="n">
        <x:f>IF(ISNUMBER(E26),E26*$B$3/'币价'!$B$12,"")</x:f>
        <x:v>0.00004910193540345082</x:v>
      </x:c>
      <x:c r="G26" s="559" t="n">
        <x:f>IF(A26&gt;=1,"",E26*$B$4)</x:f>
        <x:v>462.4459061688523</x:v>
      </x:c>
      <x:c r="H26" s="562" t="n">
        <x:f>IF(A26&gt;=1,"",G26*$B$3)</x:f>
        <x:v>49060.88618545354</x:v>
      </x:c>
      <x:c r="I26" s="559" t="n">
        <x:f>IF(A26&gt;=1,"",C26-C25)</x:f>
        <x:v>2.2544237925731636</x:v>
      </x:c>
      <x:c r="J26" s="559" t="n">
        <x:f>IF(A26&gt;=1,"",I26*(1+$B$8))</x:f>
        <x:v>2.282604089980328</x:v>
      </x:c>
      <x:c r="K26" s="560" t="n">
        <x:f>IF(A26&gt;=1,"不可达",$B$5+(C26-$D$5)*(1+$B$8))</x:f>
        <x:v>91.31929093274735</x:v>
      </x:c>
    </x:row>
    <x:row r="27">
      <x:c r="A27" s="58" t="n">
        <x:v>0.81</x:v>
      </x:c>
      <x:c r="B27" s="64" t="n">
        <x:f>IF(A27&gt;=1,"",IF(ABS(A27-$B$6)&lt;0.000001,$D$4,$B$4*(1-A27)))</x:f>
        <x:v>189999999.99999994</x:v>
      </x:c>
      <x:c r="C27" s="557" t="n">
        <x:f>IF(A27&gt;=1,"",IF(ABS(A27-$B$6)&lt;0.000001,$D$5,$D$6/B27))</x:f>
        <x:v>92.55002937931897</x:v>
      </x:c>
      <x:c r="D27" s="75" t="n">
        <x:f>IF(A27&gt;=1,"",B27*C27)</x:f>
        <x:v>17584505582.0706</x:v>
      </x:c>
      <x:c r="E27" s="374" t="n">
        <x:f>IF(A27&gt;=1,"",C27/B27)</x:f>
        <x:v>4.871054177858895e-7</x:v>
      </x:c>
      <x:c r="F27" s="374" t="n">
        <x:f>IF(ISNUMBER(E27),E27*$B$3/'币价'!$B$12,"")</x:f>
        <x:v>0.00005172025190349634</x:v>
      </x:c>
      <x:c r="G27" s="559" t="n">
        <x:f>IF(A27&gt;=1,"",E27*$B$4)</x:f>
        <x:v>487.1054177858895</x:v>
      </x:c>
      <x:c r="H27" s="562" t="n">
        <x:f>IF(A27&gt;=1,"",G27*$B$3)</x:f>
        <x:v>51677.01377290502</x:v>
      </x:c>
      <x:c r="I27" s="559" t="n">
        <x:f>IF(A27&gt;=1,"",C27-C26)</x:f>
        <x:v>2.3730776763927963</x:v>
      </x:c>
      <x:c r="J27" s="559" t="n">
        <x:f>IF(A27&gt;=1,"",I27*(1+$B$8))</x:f>
        <x:v>2.4027411473477063</x:v>
      </x:c>
      <x:c r="K27" s="560" t="n">
        <x:f>IF(A27&gt;=1,"不可达",$B$5+(C27-$D$5)*(1+$B$8))</x:f>
        <x:v>93.72203208009506</x:v>
      </x:c>
    </x:row>
    <x:row r="28">
      <x:c r="A28" s="58" t="n">
        <x:v>0.815</x:v>
      </x:c>
      <x:c r="B28" s="64" t="n">
        <x:f>IF(A28&gt;=1,"",IF(ABS(A28-$B$6)&lt;0.000001,$D$4,$B$4*(1-A28)))</x:f>
        <x:v>185000000.00000006</x:v>
      </x:c>
      <x:c r="C28" s="557" t="n">
        <x:f>IF(A28&gt;=1,"",IF(ABS(A28-$B$6)&lt;0.000001,$D$5,$D$6/B28))</x:f>
        <x:v>95.0513815247059</x:v>
      </x:c>
      <x:c r="D28" s="75" t="n">
        <x:f>IF(A28&gt;=1,"",B28*C28)</x:f>
        <x:v>17584505582.0706</x:v>
      </x:c>
      <x:c r="E28" s="374" t="n">
        <x:f>IF(A28&gt;=1,"",C28/B28)</x:f>
        <x:v>5.137912514848966e-7</x:v>
      </x:c>
      <x:c r="F28" s="374" t="n">
        <x:f>IF(ISNUMBER(E28),E28*$B$3/'币价'!$B$12,"")</x:f>
        <x:v>0.00005455372078060526</x:v>
      </x:c>
      <x:c r="G28" s="559" t="n">
        <x:f>IF(A28&gt;=1,"",E28*$B$4)</x:f>
        <x:v>513.7912514848966</x:v>
      </x:c>
      <x:c r="H28" s="562" t="n">
        <x:f>IF(A28&gt;=1,"",G28*$B$3)</x:f>
        <x:v>54508.113870032685</x:v>
      </x:c>
      <x:c r="I28" s="559" t="n">
        <x:f>IF(A28&gt;=1,"",C28-C27)</x:f>
        <x:v>2.5013521453869316</x:v>
      </x:c>
      <x:c r="J28" s="559" t="n">
        <x:f>IF(A28&gt;=1,"",I28*(1+$B$8))</x:f>
        <x:v>2.532619047204268</x:v>
      </x:c>
      <x:c r="K28" s="560" t="n">
        <x:f>IF(A28&gt;=1,"不可达",$B$5+(C28-$D$5)*(1+$B$8))</x:f>
        <x:v>96.25465112729933</x:v>
      </x:c>
    </x:row>
    <x:row r="29">
      <x:c r="A29" s="58" t="n">
        <x:v>0.82</x:v>
      </x:c>
      <x:c r="B29" s="64" t="n">
        <x:f>IF(A29&gt;=1,"",IF(ABS(A29-$B$6)&lt;0.000001,$D$4,$B$4*(1-A29)))</x:f>
        <x:v>180000000.00000006</x:v>
      </x:c>
      <x:c r="C29" s="557" t="n">
        <x:f>IF(A29&gt;=1,"",IF(ABS(A29-$B$6)&lt;0.000001,$D$5,$D$6/B29))</x:f>
        <x:v>97.69169767816996</x:v>
      </x:c>
      <x:c r="D29" s="75" t="n">
        <x:f>IF(A29&gt;=1,"",B29*C29)</x:f>
        <x:v>17584505582.0706</x:v>
      </x:c>
      <x:c r="E29" s="374" t="n">
        <x:f>IF(A29&gt;=1,"",C29/B29)</x:f>
        <x:v>5.427316537676107e-7</x:v>
      </x:c>
      <x:c r="F29" s="374" t="n">
        <x:f>IF(ISNUMBER(E29),E29*$B$3/'币价'!$B$12,"")</x:f>
        <x:v>0.00005762657696654986</x:v>
      </x:c>
      <x:c r="G29" s="559" t="n">
        <x:f>IF(A29&gt;=1,"",E29*$B$4)</x:f>
        <x:v>542.7316537676107</x:v>
      </x:c>
      <x:c r="H29" s="562" t="n">
        <x:f>IF(A29&gt;=1,"",G29*$B$3)</x:f>
        <x:v>57578.40114820583</x:v>
      </x:c>
      <x:c r="I29" s="559" t="n">
        <x:f>IF(A29&gt;=1,"",C29-C28)</x:f>
        <x:v>2.640316153464056</x:v>
      </x:c>
      <x:c r="J29" s="559" t="n">
        <x:f>IF(A29&gt;=1,"",I29*(1+$B$8))</x:f>
        <x:v>2.6733201053823565</x:v>
      </x:c>
      <x:c r="K29" s="560" t="n">
        <x:f>IF(A29&gt;=1,"不可达",$B$5+(C29-$D$5)*(1+$B$8))</x:f>
        <x:v>98.92797123268168</x:v>
      </x:c>
    </x:row>
    <x:row r="30">
      <x:c r="A30" s="58" t="n">
        <x:v>0.825</x:v>
      </x:c>
      <x:c r="B30" s="64" t="n">
        <x:f>IF(A30&gt;=1,"",IF(ABS(A30-$B$6)&lt;0.000001,$D$4,$B$4*(1-A30)))</x:f>
        <x:v>175000000.00000003</x:v>
      </x:c>
      <x:c r="C30" s="557" t="n">
        <x:f>IF(A30&gt;=1,"",IF(ABS(A30-$B$6)&lt;0.000001,$D$5,$D$6/B30))</x:f>
        <x:v>100.4828890404034</x:v>
      </x:c>
      <x:c r="D30" s="75" t="n">
        <x:f>IF(A30&gt;=1,"",B30*C30)</x:f>
        <x:v>17584505582.0706</x:v>
      </x:c>
      <x:c r="E30" s="374" t="n">
        <x:f>IF(A30&gt;=1,"",C30/B30)</x:f>
        <x:v>5.741879373737336e-7</x:v>
      </x:c>
      <x:c r="F30" s="374" t="n">
        <x:f>IF(ISNUMBER(E30),E30*$B$3/'币价'!$B$12,"")</x:f>
        <x:v>0.00006096656632542745</x:v>
      </x:c>
      <x:c r="G30" s="559" t="n">
        <x:f>IF(A30&gt;=1,"",E30*$B$4)</x:f>
        <x:v>574.1879373737336</x:v>
      </x:c>
      <x:c r="H30" s="562" t="n">
        <x:f>IF(A30&gt;=1,"",G30*$B$3)</x:f>
        <x:v>60915.5982759794</x:v>
      </x:c>
      <x:c r="I30" s="559" t="n">
        <x:f>IF(A30&gt;=1,"",C30-C29)</x:f>
        <x:v>2.791191362233448</x:v>
      </x:c>
      <x:c r="J30" s="559" t="n">
        <x:f>IF(A30&gt;=1,"",I30*(1+$B$8))</x:f>
        <x:v>2.826081254261366</x:v>
      </x:c>
      <x:c r="K30" s="560" t="n">
        <x:f>IF(A30&gt;=1,"不可达",$B$5+(C30-$D$5)*(1+$B$8))</x:f>
        <x:v>101.75405248694305</x:v>
      </x:c>
    </x:row>
    <x:row r="31">
      <x:c r="A31" s="58" t="n">
        <x:v>0.83</x:v>
      </x:c>
      <x:c r="B31" s="64" t="n">
        <x:f>IF(A31&gt;=1,"",IF(ABS(A31-$B$6)&lt;0.000001,$D$4,$B$4*(1-A31)))</x:f>
        <x:v>170000000.00000003</x:v>
      </x:c>
      <x:c r="C31" s="557" t="n">
        <x:f>IF(A31&gt;=1,"",IF(ABS(A31-$B$6)&lt;0.000001,$D$5,$D$6/B31))</x:f>
        <x:v>103.43826812982704</x:v>
      </x:c>
      <x:c r="D31" s="75" t="n">
        <x:f>IF(A31&gt;=1,"",B31*C31)</x:f>
        <x:v>17584505582.0706</x:v>
      </x:c>
      <x:c r="E31" s="374" t="n">
        <x:f>IF(A31&gt;=1,"",C31/B31)</x:f>
        <x:v>6.084604007636883e-7</x:v>
      </x:c>
      <x:c r="F31" s="374" t="n">
        <x:f>IF(ISNUMBER(E31),E31*$B$3/'币价'!$B$12,"")</x:f>
        <x:v>0.00006460557417703168</x:v>
      </x:c>
      <x:c r="G31" s="559" t="n">
        <x:f>IF(A31&gt;=1,"",E31*$B$4)</x:f>
        <x:v>608.4604007636883</x:v>
      </x:c>
      <x:c r="H31" s="562" t="n">
        <x:f>IF(A31&gt;=1,"",G31*$B$3)</x:f>
        <x:v>64551.563917019696</x:v>
      </x:c>
      <x:c r="I31" s="559" t="n">
        <x:f>IF(A31&gt;=1,"",C31-C30)</x:f>
        <x:v>2.95537908942363</x:v>
      </x:c>
      <x:c r="J31" s="559" t="n">
        <x:f>IF(A31&gt;=1,"",I31*(1+$B$8))</x:f>
        <x:v>2.992321328041425</x:v>
      </x:c>
      <x:c r="K31" s="560" t="n">
        <x:f>IF(A31&gt;=1,"不可达",$B$5+(C31-$D$5)*(1+$B$8))</x:f>
        <x:v>104.74637381498448</x:v>
      </x:c>
    </x:row>
    <x:row r="32">
      <x:c r="A32" s="58" t="n">
        <x:v>0.835</x:v>
      </x:c>
      <x:c r="B32" s="64" t="n">
        <x:f>IF(A32&gt;=1,"",IF(ABS(A32-$B$6)&lt;0.000001,$D$4,$B$4*(1-A32)))</x:f>
        <x:v>165000000.00000003</x:v>
      </x:c>
      <x:c r="C32" s="557" t="n">
        <x:f>IF(A32&gt;=1,"",IF(ABS(A32-$B$6)&lt;0.000001,$D$5,$D$6/B32))</x:f>
        <x:v>106.57276110345815</x:v>
      </x:c>
      <x:c r="D32" s="75" t="n">
        <x:f>IF(A32&gt;=1,"",B32*C32)</x:f>
        <x:v>17584505582.0706</x:v>
      </x:c>
      <x:c r="E32" s="374" t="n">
        <x:f>IF(A32&gt;=1,"",C32/B32)</x:f>
        <x:v>6.458955218391402e-7</x:v>
      </x:c>
      <x:c r="F32" s="374" t="n">
        <x:f>IF(ISNUMBER(E32),E32*$B$3/'币价'!$B$12,"")</x:f>
        <x:v>0.00006858038911721638</x:v>
      </x:c>
      <x:c r="G32" s="559" t="n">
        <x:f>IF(A32&gt;=1,"",E32*$B$4)</x:f>
        <x:v>645.8955218391402</x:v>
      </x:c>
      <x:c r="H32" s="562" t="n">
        <x:f>IF(A32&gt;=1,"",G32*$B$3)</x:f>
        <x:v>68523.05591191439</x:v>
      </x:c>
      <x:c r="I32" s="559" t="n">
        <x:f>IF(A32&gt;=1,"",C32-C31)</x:f>
        <x:v>3.1344929736311116</x:v>
      </x:c>
      <x:c r="J32" s="559" t="n">
        <x:f>IF(A32&gt;=1,"",I32*(1+$B$8))</x:f>
        <x:v>3.1736741358015004</x:v>
      </x:c>
      <x:c r="K32" s="560" t="n">
        <x:f>IF(A32&gt;=1,"不可达",$B$5+(C32-$D$5)*(1+$B$8))</x:f>
        <x:v>107.92004795078597</x:v>
      </x:c>
    </x:row>
    <x:row r="33">
      <x:c r="A33" s="58" t="n">
        <x:v>0.84</x:v>
      </x:c>
      <x:c r="B33" s="64" t="n">
        <x:f>IF(A33&gt;=1,"",IF(ABS(A33-$B$6)&lt;0.000001,$D$4,$B$4*(1-A33)))</x:f>
        <x:v>160000000.00000003</x:v>
      </x:c>
      <x:c r="C33" s="557" t="n">
        <x:f>IF(A33&gt;=1,"",IF(ABS(A33-$B$6)&lt;0.000001,$D$5,$D$6/B33))</x:f>
        <x:v>109.90315988794121</x:v>
      </x:c>
      <x:c r="D33" s="75" t="n">
        <x:f>IF(A33&gt;=1,"",B33*C33)</x:f>
        <x:v>17584505582.0706</x:v>
      </x:c>
      <x:c r="E33" s="374" t="n">
        <x:f>IF(A33&gt;=1,"",C33/B33)</x:f>
        <x:v>6.868947492996325e-7</x:v>
      </x:c>
      <x:c r="F33" s="374" t="n">
        <x:f>IF(ISNUMBER(E33),E33*$B$3/'币价'!$B$12,"")</x:f>
        <x:v>0.00007293363647328967</x:v>
      </x:c>
      <x:c r="G33" s="559" t="n">
        <x:f>IF(A33&gt;=1,"",E33*$B$4)</x:f>
        <x:v>686.8947492996325</x:v>
      </x:c>
      <x:c r="H33" s="562" t="n">
        <x:f>IF(A33&gt;=1,"",G33*$B$3)</x:f>
        <x:v>72872.66395319802</x:v>
      </x:c>
      <x:c r="I33" s="559" t="n">
        <x:f>IF(A33&gt;=1,"",C33-C32)</x:f>
        <x:v>3.330398784483066</x:v>
      </x:c>
      <x:c r="J33" s="559" t="n">
        <x:f>IF(A33&gt;=1,"",I33*(1+$B$8))</x:f>
        <x:v>3.3720287692891038</x:v>
      </x:c>
      <x:c r="K33" s="560" t="n">
        <x:f>IF(A33&gt;=1,"不可达",$B$5+(C33-$D$5)*(1+$B$8))</x:f>
        <x:v>111.29207672007507</x:v>
      </x:c>
    </x:row>
    <x:row r="34">
      <x:c r="A34" s="58" t="n">
        <x:v>0.845</x:v>
      </x:c>
      <x:c r="B34" s="64" t="n">
        <x:f>IF(A34&gt;=1,"",IF(ABS(A34-$B$6)&lt;0.000001,$D$4,$B$4*(1-A34)))</x:f>
        <x:v>155000000.00000003</x:v>
      </x:c>
      <x:c r="C34" s="557" t="n">
        <x:f>IF(A34&gt;=1,"",IF(ABS(A34-$B$6)&lt;0.000001,$D$5,$D$6/B34))</x:f>
        <x:v>113.44842311013288</x:v>
      </x:c>
      <x:c r="D34" s="75" t="n">
        <x:f>IF(A34&gt;=1,"",B34*C34)</x:f>
        <x:v>17584505582.0706</x:v>
      </x:c>
      <x:c r="E34" s="374" t="n">
        <x:f>IF(A34&gt;=1,"",C34/B34)</x:f>
        <x:v>7.31925310387954e-7</x:v>
      </x:c>
      <x:c r="F34" s="374" t="n">
        <x:f>IF(ISNUMBER(E34),E34*$B$3/'币价'!$B$12,"")</x:f>
        <x:v>0.00007771492585707456</x:v>
      </x:c>
      <x:c r="G34" s="559" t="n">
        <x:f>IF(A34&gt;=1,"",E34*$B$4)</x:f>
        <x:v>731.9253103879539</x:v>
      </x:c>
      <x:c r="H34" s="562" t="n">
        <x:f>IF(A34&gt;=1,"",G34*$B$3)</x:f>
        <x:v>77649.95617905803</x:v>
      </x:c>
      <x:c r="I34" s="559" t="n">
        <x:f>IF(A34&gt;=1,"",C34-C33)</x:f>
        <x:v>3.5452632221916645</x:v>
      </x:c>
      <x:c r="J34" s="559" t="n">
        <x:f>IF(A34&gt;=1,"",I34*(1+$B$8))</x:f>
        <x:v>3.58957901246906</x:v>
      </x:c>
      <x:c r="K34" s="560" t="n">
        <x:f>IF(A34&gt;=1,"不可达",$B$5+(C34-$D$5)*(1+$B$8))</x:f>
        <x:v>114.88165573254415</x:v>
      </x:c>
    </x:row>
    <x:row r="35">
      <x:c r="A35" s="58" t="n">
        <x:v>0.85</x:v>
      </x:c>
      <x:c r="B35" s="64" t="n">
        <x:f>IF(A35&gt;=1,"",IF(ABS(A35-$B$6)&lt;0.000001,$D$4,$B$4*(1-A35)))</x:f>
        <x:v>150000000.00000003</x:v>
      </x:c>
      <x:c r="C35" s="557" t="n">
        <x:f>IF(A35&gt;=1,"",IF(ABS(A35-$B$6)&lt;0.000001,$D$5,$D$6/B35))</x:f>
        <x:v>117.23003721380397</x:v>
      </x:c>
      <x:c r="D35" s="75" t="n">
        <x:f>IF(A35&gt;=1,"",B35*C35)</x:f>
        <x:v>17584505582.0706</x:v>
      </x:c>
      <x:c r="E35" s="374" t="n">
        <x:f>IF(A35&gt;=1,"",C35/B35)</x:f>
        <x:v>7.815335814253596e-7</x:v>
      </x:c>
      <x:c r="F35" s="374" t="n">
        <x:f>IF(ISNUMBER(E35),E35*$B$3/'币价'!$B$12,"")</x:f>
        <x:v>0.00008298227083183181</x:v>
      </x:c>
      <x:c r="G35" s="559" t="n">
        <x:f>IF(A35&gt;=1,"",E35*$B$4)</x:f>
        <x:v>781.5335814253597</x:v>
      </x:c>
      <x:c r="H35" s="562" t="n">
        <x:f>IF(A35&gt;=1,"",G35*$B$3)</x:f>
        <x:v>82912.89765341641</x:v>
      </x:c>
      <x:c r="I35" s="559" t="n">
        <x:f>IF(A35&gt;=1,"",C35-C34)</x:f>
        <x:v>3.781614103671089</x:v>
      </x:c>
      <x:c r="J35" s="559" t="n">
        <x:f>IF(A35&gt;=1,"",I35*(1+$B$8))</x:f>
        <x:v>3.828884279966977</x:v>
      </x:c>
      <x:c r="K35" s="560" t="n">
        <x:f>IF(A35&gt;=1,"不可达",$B$5+(C35-$D$5)*(1+$B$8))</x:f>
        <x:v>118.71054001251112</x:v>
      </x:c>
    </x:row>
    <x:row r="36">
      <x:c r="A36" s="58" t="n">
        <x:v>0.855</x:v>
      </x:c>
      <x:c r="B36" s="64" t="n">
        <x:f>IF(A36&gt;=1,"",IF(ABS(A36-$B$6)&lt;0.000001,$D$4,$B$4*(1-A36)))</x:f>
        <x:v>145000000.00000003</x:v>
      </x:c>
      <x:c r="C36" s="557" t="n">
        <x:f>IF(A36&gt;=1,"",IF(ABS(A36-$B$6)&lt;0.000001,$D$5,$D$6/B36))</x:f>
        <x:v>121.27245229014204</x:v>
      </x:c>
      <x:c r="D36" s="75" t="n">
        <x:f>IF(A36&gt;=1,"",B36*C36)</x:f>
        <x:v>17584505582.0706</x:v>
      </x:c>
      <x:c r="E36" s="374" t="n">
        <x:f>IF(A36&gt;=1,"",C36/B36)</x:f>
        <x:v>8.363617399320139e-7</x:v>
      </x:c>
      <x:c r="F36" s="374" t="n">
        <x:f>IF(ISNUMBER(E36),E36*$B$3/'币价'!$B$12,"")</x:f>
        <x:v>0.00008880385701385094</x:v>
      </x:c>
      <x:c r="G36" s="559" t="n">
        <x:f>IF(A36&gt;=1,"",E36*$B$4)</x:f>
        <x:v>836.361739932014</x:v>
      </x:c>
      <x:c r="H36" s="562" t="n">
        <x:f>IF(A36&gt;=1,"",G36*$B$3)</x:f>
        <x:v>88729.61698938736</x:v>
      </x:c>
      <x:c r="I36" s="559" t="n">
        <x:f>IF(A36&gt;=1,"",C36-C35)</x:f>
        <x:v>4.042415076338074</x:v>
      </x:c>
      <x:c r="J36" s="559" t="n">
        <x:f>IF(A36&gt;=1,"",I36*(1+$B$8))</x:f>
        <x:v>4.0929452647922995</x:v>
      </x:c>
      <x:c r="K36" s="560" t="n">
        <x:f>IF(A36&gt;=1,"不可达",$B$5+(C36-$D$5)*(1+$B$8))</x:f>
        <x:v>122.80348527730342</x:v>
      </x:c>
    </x:row>
    <x:row r="37">
      <x:c r="A37" s="58" t="n">
        <x:v>0.86</x:v>
      </x:c>
      <x:c r="B37" s="64" t="n">
        <x:f>IF(A37&gt;=1,"",IF(ABS(A37-$B$6)&lt;0.000001,$D$4,$B$4*(1-A37)))</x:f>
        <x:v>140000000</x:v>
      </x:c>
      <x:c r="C37" s="557" t="n">
        <x:f>IF(A37&gt;=1,"",IF(ABS(A37-$B$6)&lt;0.000001,$D$5,$D$6/B37))</x:f>
        <x:v>125.60361130050427</x:v>
      </x:c>
      <x:c r="D37" s="75" t="n">
        <x:f>IF(A37&gt;=1,"",B37*C37)</x:f>
        <x:v>17584505582.0706</x:v>
      </x:c>
      <x:c r="E37" s="374" t="n">
        <x:f>IF(A37&gt;=1,"",C37/B37)</x:f>
        <x:v>8.97168652146459e-7</x:v>
      </x:c>
      <x:c r="F37" s="374" t="n">
        <x:f>IF(ISNUMBER(E37),E37*$B$3/'币价'!$B$12,"")</x:f>
        <x:v>0.00009526025988348044</x:v>
      </x:c>
      <x:c r="G37" s="559" t="n">
        <x:f>IF(A37&gt;=1,"",E37*$B$4)</x:f>
        <x:v>897.1686521464591</x:v>
      </x:c>
      <x:c r="H37" s="562" t="n">
        <x:f>IF(A37&gt;=1,"",G37*$B$3)</x:f>
        <x:v>95180.62230621785</x:v>
      </x:c>
      <x:c r="I37" s="559" t="n">
        <x:f>IF(A37&gt;=1,"",C37-C36)</x:f>
        <x:v>4.331159010362228</x:v>
      </x:c>
      <x:c r="J37" s="559" t="n">
        <x:f>IF(A37&gt;=1,"",I37*(1+$B$8))</x:f>
        <x:v>4.385298497991756</x:v>
      </x:c>
      <x:c r="K37" s="560" t="n">
        <x:f>IF(A37&gt;=1,"不可达",$B$5+(C37-$D$5)*(1+$B$8))</x:f>
        <x:v>127.18878377529518</x:v>
      </x:c>
    </x:row>
    <x:row r="38">
      <x:c r="A38" s="58" t="n">
        <x:v>0.865</x:v>
      </x:c>
      <x:c r="B38" s="64" t="n">
        <x:f>IF(A38&gt;=1,"",IF(ABS(A38-$B$6)&lt;0.000001,$D$4,$B$4*(1-A38)))</x:f>
        <x:v>135000000</x:v>
      </x:c>
      <x:c r="C38" s="557" t="n">
        <x:f>IF(A38&gt;=1,"",IF(ABS(A38-$B$6)&lt;0.000001,$D$5,$D$6/B38))</x:f>
        <x:v>130.25559690422665</x:v>
      </x:c>
      <x:c r="D38" s="75" t="n">
        <x:f>IF(A38&gt;=1,"",B38*C38)</x:f>
        <x:v>17584505582.0706</x:v>
      </x:c>
      <x:c r="E38" s="374" t="n">
        <x:f>IF(A38&gt;=1,"",C38/B38)</x:f>
        <x:v>9.64856273364642e-7</x:v>
      </x:c>
      <x:c r="F38" s="374" t="n">
        <x:f>IF(ISNUMBER(E38),E38*$B$3/'币价'!$B$12,"")</x:f>
        <x:v>0.00010244724794053315</x:v>
      </x:c>
      <x:c r="G38" s="559" t="n">
        <x:f>IF(A38&gt;=1,"",E38*$B$4)</x:f>
        <x:v>964.8562733646419</x:v>
      </x:c>
      <x:c r="H38" s="562" t="n">
        <x:f>IF(A38&gt;=1,"",G38*$B$3)</x:f>
        <x:v>102361.60204125485</x:v>
      </x:c>
      <x:c r="I38" s="559" t="n">
        <x:f>IF(A38&gt;=1,"",C38-C37)</x:f>
        <x:v>4.65198560372238</x:v>
      </x:c>
      <x:c r="J38" s="559" t="n">
        <x:f>IF(A38&gt;=1,"",I38*(1+$B$8))</x:f>
        <x:v>4.71013542376891</x:v>
      </x:c>
      <x:c r="K38" s="560" t="n">
        <x:f>IF(A38&gt;=1,"不可达",$B$5+(C38-$D$5)*(1+$B$8))</x:f>
        <x:v>131.8989191990641</x:v>
      </x:c>
    </x:row>
    <x:row r="39">
      <x:c r="A39" s="58" t="n">
        <x:v>0.87</x:v>
      </x:c>
      <x:c r="B39" s="64" t="n">
        <x:f>IF(A39&gt;=1,"",IF(ABS(A39-$B$6)&lt;0.000001,$D$4,$B$4*(1-A39)))</x:f>
        <x:v>130000000</x:v>
      </x:c>
      <x:c r="C39" s="557" t="n">
        <x:f>IF(A39&gt;=1,"",IF(ABS(A39-$B$6)&lt;0.000001,$D$5,$D$6/B39))</x:f>
        <x:v>135.26542755438922</x:v>
      </x:c>
      <x:c r="D39" s="75" t="n">
        <x:f>IF(A39&gt;=1,"",B39*C39)</x:f>
        <x:v>17584505582.0706</x:v>
      </x:c>
      <x:c r="E39" s="374" t="n">
        <x:f>IF(A39&gt;=1,"",C39/B39)</x:f>
        <x:v>0.000001040503288879917</x:v>
      </x:c>
      <x:c r="F39" s="374" t="n">
        <x:f>IF(ISNUMBER(E39),E39*$B$3/'币价'!$B$12,"")</x:f>
        <x:v>0.00011047935465776428</x:v>
      </x:c>
      <x:c r="G39" s="559" t="n">
        <x:f>IF(A39&gt;=1,"",E39*$B$4)</x:f>
        <x:v>1040.503288879917</x:v>
      </x:c>
      <x:c r="H39" s="562" t="n">
        <x:f>IF(A39&gt;=1,"",G39*$B$3)</x:f>
        <x:v>110386.99391727039</x:v>
      </x:c>
      <x:c r="I39" s="559" t="n">
        <x:f>IF(A39&gt;=1,"",C39-C38)</x:f>
        <x:v>5.00983065016257</x:v>
      </x:c>
      <x:c r="J39" s="559" t="n">
        <x:f>IF(A39&gt;=1,"",I39*(1+$B$8))</x:f>
        <x:v>5.072453533289602</x:v>
      </x:c>
      <x:c r="K39" s="560" t="n">
        <x:f>IF(A39&gt;=1,"不可达",$B$5+(C39-$D$5)*(1+$B$8))</x:f>
        <x:v>136.9713727323537</x:v>
      </x:c>
    </x:row>
    <x:row r="40">
      <x:c r="A40" s="58" t="n">
        <x:v>0.875</x:v>
      </x:c>
      <x:c r="B40" s="64" t="n">
        <x:f>IF(A40&gt;=1,"",IF(ABS(A40-$B$6)&lt;0.000001,$D$4,$B$4*(1-A40)))</x:f>
        <x:v>125000000</x:v>
      </x:c>
      <x:c r="C40" s="557" t="n">
        <x:f>IF(A40&gt;=1,"",IF(ABS(A40-$B$6)&lt;0.000001,$D$5,$D$6/B40))</x:f>
        <x:v>140.67604465656478</x:v>
      </x:c>
      <x:c r="D40" s="75" t="n">
        <x:f>IF(A40&gt;=1,"",B40*C40)</x:f>
        <x:v>17584505582.0706</x:v>
      </x:c>
      <x:c r="E40" s="374" t="n">
        <x:f>IF(A40&gt;=1,"",C40/B40)</x:f>
        <x:v>0.0000011254083572525183</x:v>
      </x:c>
      <x:c r="F40" s="374" t="n">
        <x:f>IF(ISNUMBER(E40),E40*$B$3/'币价'!$B$12,"")</x:f>
        <x:v>0.00011949446999783785</x:v>
      </x:c>
      <x:c r="G40" s="559" t="n">
        <x:f>IF(A40&gt;=1,"",E40*$B$4)</x:f>
        <x:v>1125.4083572525183</x:v>
      </x:c>
      <x:c r="H40" s="562" t="n">
        <x:f>IF(A40&gt;=1,"",G40*$B$3)</x:f>
        <x:v>119394.57262091967</x:v>
      </x:c>
      <x:c r="I40" s="559" t="n">
        <x:f>IF(A40&gt;=1,"",C40-C39)</x:f>
        <x:v>5.410617102175564</x:v>
      </x:c>
      <x:c r="J40" s="559" t="n">
        <x:f>IF(A40&gt;=1,"",I40*(1+$B$8))</x:f>
        <x:v>5.478249815952759</x:v>
      </x:c>
      <x:c r="K40" s="560" t="n">
        <x:f>IF(A40&gt;=1,"不可达",$B$5+(C40-$D$5)*(1+$B$8))</x:f>
        <x:v>142.44962254830645</x:v>
      </x:c>
    </x:row>
    <x:row r="41">
      <x:c r="A41" s="58" t="n">
        <x:v>0.88</x:v>
      </x:c>
      <x:c r="B41" s="64" t="n">
        <x:f>IF(A41&gt;=1,"",IF(ABS(A41-$B$6)&lt;0.000001,$D$4,$B$4*(1-A41)))</x:f>
        <x:v>120000000</x:v>
      </x:c>
      <x:c r="C41" s="557" t="n">
        <x:f>IF(A41&gt;=1,"",IF(ABS(A41-$B$6)&lt;0.000001,$D$5,$D$6/B41))</x:f>
        <x:v>146.53754651725498</x:v>
      </x:c>
      <x:c r="D41" s="75" t="n">
        <x:f>IF(A41&gt;=1,"",B41*C41)</x:f>
        <x:v>17584505582.0706</x:v>
      </x:c>
      <x:c r="E41" s="374" t="n">
        <x:f>IF(A41&gt;=1,"",C41/B41)</x:f>
        <x:v>0.000001221146220977125</x:v>
      </x:c>
      <x:c r="F41" s="374" t="n">
        <x:f>IF(ISNUMBER(E41),E41*$B$3/'币价'!$B$12,"")</x:f>
        <x:v>0.00012965979817473728</x:v>
      </x:c>
      <x:c r="G41" s="559" t="n">
        <x:f>IF(A41&gt;=1,"",E41*$B$4)</x:f>
        <x:v>1221.1462209771248</x:v>
      </x:c>
      <x:c r="H41" s="562" t="n">
        <x:f>IF(A41&gt;=1,"",G41*$B$3)</x:f>
        <x:v>129551.40258346318</x:v>
      </x:c>
      <x:c r="I41" s="559" t="n">
        <x:f>IF(A41&gt;=1,"",C41-C40)</x:f>
        <x:v>5.861501860690197</x:v>
      </x:c>
      <x:c r="J41" s="559" t="n">
        <x:f>IF(A41&gt;=1,"",I41*(1+$B$8))</x:f>
        <x:v>5.934770633948824</x:v>
      </x:c>
      <x:c r="K41" s="560" t="n">
        <x:f>IF(A41&gt;=1,"不可达",$B$5+(C41-$D$5)*(1+$B$8))</x:f>
        <x:v>148.38439318225528</x:v>
      </x:c>
    </x:row>
    <x:row r="42">
      <x:c r="A42" s="58" t="n">
        <x:v>0.885</x:v>
      </x:c>
      <x:c r="B42" s="64" t="n">
        <x:f>IF(A42&gt;=1,"",IF(ABS(A42-$B$6)&lt;0.000001,$D$4,$B$4*(1-A42)))</x:f>
        <x:v>114999999.99999999</x:v>
      </x:c>
      <x:c r="C42" s="557" t="n">
        <x:f>IF(A42&gt;=1,"",IF(ABS(A42-$B$6)&lt;0.000001,$D$5,$D$6/B42))</x:f>
        <x:v>152.90874419191826</x:v>
      </x:c>
      <x:c r="D42" s="75" t="n">
        <x:f>IF(A42&gt;=1,"",B42*C42)</x:f>
        <x:v>17584505582.0706</x:v>
      </x:c>
      <x:c r="E42" s="374" t="n">
        <x:f>IF(A42&gt;=1,"",C42/B42)</x:f>
        <x:v>0.0000013296412538427677</x:v>
      </x:c>
      <x:c r="F42" s="374" t="n">
        <x:f>IF(ISNUMBER(E42),E42*$B$3/'币价'!$B$12,"")</x:f>
        <x:v>0.00014117966682164213</x:v>
      </x:c>
      <x:c r="G42" s="559" t="n">
        <x:f>IF(A42&gt;=1,"",E42*$B$4)</x:f>
        <x:v>1329.6412538427676</x:v>
      </x:c>
      <x:c r="H42" s="562" t="n">
        <x:f>IF(A42&gt;=1,"",G42*$B$3)</x:f>
        <x:v>141061.6406201792</x:v>
      </x:c>
      <x:c r="I42" s="559" t="n">
        <x:f>IF(A42&gt;=1,"",C42-C41)</x:f>
        <x:v>6.371197674663279</x:v>
      </x:c>
      <x:c r="J42" s="559" t="n">
        <x:f>IF(A42&gt;=1,"",I42*(1+$B$8))</x:f>
        <x:v>6.450837645596569</x:v>
      </x:c>
      <x:c r="K42" s="560" t="n">
        <x:f>IF(A42&gt;=1,"不可达",$B$5+(C42-$D$5)*(1+$B$8))</x:f>
        <x:v>154.83523082785183</x:v>
      </x:c>
    </x:row>
    <x:row r="43">
      <x:c r="A43" s="58" t="n">
        <x:v>0.89</x:v>
      </x:c>
      <x:c r="B43" s="64" t="n">
        <x:f>IF(A43&gt;=1,"",IF(ABS(A43-$B$6)&lt;0.000001,$D$4,$B$4*(1-A43)))</x:f>
        <x:v>109999999.99999999</x:v>
      </x:c>
      <x:c r="C43" s="557" t="n">
        <x:f>IF(A43&gt;=1,"",IF(ABS(A43-$B$6)&lt;0.000001,$D$5,$D$6/B43))</x:f>
        <x:v>159.85914165518727</x:v>
      </x:c>
      <x:c r="D43" s="75" t="n">
        <x:f>IF(A43&gt;=1,"",B43*C43)</x:f>
        <x:v>17584505582.0706</x:v>
      </x:c>
      <x:c r="E43" s="374" t="n">
        <x:f>IF(A43&gt;=1,"",C43/B43)</x:f>
        <x:v>0.0000014532649241380663</x:v>
      </x:c>
      <x:c r="F43" s="374" t="n">
        <x:f>IF(ISNUMBER(E43),E43*$B$3/'币价'!$B$12,"")</x:f>
        <x:v>0.00015430587551373696</x:v>
      </x:c>
      <x:c r="G43" s="559" t="n">
        <x:f>IF(A43&gt;=1,"",E43*$B$4)</x:f>
        <x:v>1453.2649241380664</x:v>
      </x:c>
      <x:c r="H43" s="562" t="n">
        <x:f>IF(A43&gt;=1,"",G43*$B$3)</x:f>
        <x:v>154176.87580180747</x:v>
      </x:c>
      <x:c r="I43" s="559" t="n">
        <x:f>IF(A43&gt;=1,"",C43-C42)</x:f>
        <x:v>6.950397463269013</x:v>
      </x:c>
      <x:c r="J43" s="559" t="n">
        <x:f>IF(A43&gt;=1,"",I43*(1+$B$8))</x:f>
        <x:v>7.037277431559875</x:v>
      </x:c>
      <x:c r="K43" s="560" t="n">
        <x:f>IF(A43&gt;=1,"不可达",$B$5+(C43-$D$5)*(1+$B$8))</x:f>
        <x:v>161.87250825941172</x:v>
      </x:c>
    </x:row>
    <x:row r="44">
      <x:c r="A44" s="58" t="n">
        <x:v>0.895</x:v>
      </x:c>
      <x:c r="B44" s="64" t="n">
        <x:f>IF(A44&gt;=1,"",IF(ABS(A44-$B$6)&lt;0.000001,$D$4,$B$4*(1-A44)))</x:f>
        <x:v>104999999.99999999</x:v>
      </x:c>
      <x:c r="C44" s="557" t="n">
        <x:f>IF(A44&gt;=1,"",IF(ABS(A44-$B$6)&lt;0.000001,$D$5,$D$6/B44))</x:f>
        <x:v>167.47148173400572</x:v>
      </x:c>
      <x:c r="D44" s="75" t="n">
        <x:f>IF(A44&gt;=1,"",B44*C44)</x:f>
        <x:v>17584505582.0706</x:v>
      </x:c>
      <x:c r="E44" s="374" t="n">
        <x:f>IF(A44&gt;=1,"",C44/B44)</x:f>
        <x:v>0.0000015949664927048165</x:v>
      </x:c>
      <x:c r="F44" s="374" t="n">
        <x:f>IF(ISNUMBER(E44),E44*$B$3/'币价'!$B$12,"")</x:f>
        <x:v>0.00016935157312618747</x:v>
      </x:c>
      <x:c r="G44" s="559" t="n">
        <x:f>IF(A44&gt;=1,"",E44*$B$4)</x:f>
        <x:v>1594.9664927048166</x:v>
      </x:c>
      <x:c r="H44" s="562" t="n">
        <x:f>IF(A44&gt;=1,"",G44*$B$3)</x:f>
        <x:v>169209.995211054</x:v>
      </x:c>
      <x:c r="I44" s="559" t="n">
        <x:f>IF(A44&gt;=1,"",C44-C43)</x:f>
        <x:v>7.612340078818448</x:v>
      </x:c>
      <x:c r="J44" s="559" t="n">
        <x:f>IF(A44&gt;=1,"",I44*(1+$B$8))</x:f>
        <x:v>7.707494329803678</x:v>
      </x:c>
      <x:c r="K44" s="560" t="n">
        <x:f>IF(A44&gt;=1,"不可达",$B$5+(C44-$D$5)*(1+$B$8))</x:f>
        <x:v>169.58000258921538</x:v>
      </x:c>
    </x:row>
    <x:row r="45">
      <x:c r="A45" s="58" t="n">
        <x:v>0.9</x:v>
      </x:c>
      <x:c r="B45" s="64" t="n">
        <x:f>IF(A45&gt;=1,"",IF(ABS(A45-$B$6)&lt;0.000001,$D$4,$B$4*(1-A45)))</x:f>
        <x:v>99999999.99999999</x:v>
      </x:c>
      <x:c r="C45" s="557" t="n">
        <x:f>IF(A45&gt;=1,"",IF(ABS(A45-$B$6)&lt;0.000001,$D$5,$D$6/B45))</x:f>
        <x:v>175.84505582070602</x:v>
      </x:c>
      <x:c r="D45" s="75" t="n">
        <x:f>IF(A45&gt;=1,"",B45*C45)</x:f>
        <x:v>17584505582.0706</x:v>
      </x:c>
      <x:c r="E45" s="374" t="n">
        <x:f>IF(A45&gt;=1,"",C45/B45)</x:f>
        <x:v>0.0000017584505582070606</x:v>
      </x:c>
      <x:c r="F45" s="374" t="n">
        <x:f>IF(ISNUMBER(E45),E45*$B$3/'币价'!$B$12,"")</x:f>
        <x:v>0.00018671010937162174</x:v>
      </x:c>
      <x:c r="G45" s="559" t="n">
        <x:f>IF(A45&gt;=1,"",E45*$B$4)</x:f>
        <x:v>1758.4505582070606</x:v>
      </x:c>
      <x:c r="H45" s="562" t="n">
        <x:f>IF(A45&gt;=1,"",G45*$B$3)</x:f>
        <x:v>186554.01972018706</x:v>
      </x:c>
      <x:c r="I45" s="559" t="n">
        <x:f>IF(A45&gt;=1,"",C45-C44)</x:f>
        <x:v>8.373574086700302</x:v>
      </x:c>
      <x:c r="J45" s="559" t="n">
        <x:f>IF(A45&gt;=1,"",I45*(1+$B$8))</x:f>
        <x:v>8.478243762784055</x:v>
      </x:c>
      <x:c r="K45" s="560" t="n">
        <x:f>IF(A45&gt;=1,"不可达",$B$5+(C45-$D$5)*(1+$B$8))</x:f>
        <x:v>178.05824635199946</x:v>
      </x:c>
    </x:row>
    <x:row r="46">
      <x:c r="A46" s="58" t="n">
        <x:v>0.905</x:v>
      </x:c>
      <x:c r="B46" s="64" t="n">
        <x:f>IF(A46&gt;=1,"",IF(ABS(A46-$B$6)&lt;0.000001,$D$4,$B$4*(1-A46)))</x:f>
        <x:v>94999999.99999997</x:v>
      </x:c>
      <x:c r="C46" s="557" t="n">
        <x:f>IF(A46&gt;=1,"",IF(ABS(A46-$B$6)&lt;0.000001,$D$5,$D$6/B46))</x:f>
        <x:v>185.10005875863794</x:v>
      </x:c>
      <x:c r="D46" s="75" t="n">
        <x:f>IF(A46&gt;=1,"",B46*C46)</x:f>
        <x:v>17584505582.0706</x:v>
      </x:c>
      <x:c r="E46" s="374" t="n">
        <x:f>IF(A46&gt;=1,"",C46/B46)</x:f>
        <x:v>0.000001948421671143558</x:v>
      </x:c>
      <x:c r="F46" s="374" t="n">
        <x:f>IF(ISNUMBER(E46),E46*$B$3/'币价'!$B$12,"")</x:f>
        <x:v>0.00020688100761398536</x:v>
      </x:c>
      <x:c r="G46" s="559" t="n">
        <x:f>IF(A46&gt;=1,"",E46*$B$4)</x:f>
        <x:v>1948.421671143558</x:v>
      </x:c>
      <x:c r="H46" s="562" t="n">
        <x:f>IF(A46&gt;=1,"",G46*$B$3)</x:f>
        <x:v>206708.05509162007</x:v>
      </x:c>
      <x:c r="I46" s="559" t="n">
        <x:f>IF(A46&gt;=1,"",C46-C45)</x:f>
        <x:v>9.25500293793192</x:v>
      </x:c>
      <x:c r="J46" s="559" t="n">
        <x:f>IF(A46&gt;=1,"",I46*(1+$B$8))</x:f>
        <x:v>9.370690474656069</x:v>
      </x:c>
      <x:c r="K46" s="560" t="n">
        <x:f>IF(A46&gt;=1,"不可达",$B$5+(C46-$D$5)*(1+$B$8))</x:f>
        <x:v>187.4289368266555</x:v>
      </x:c>
    </x:row>
    <x:row r="47">
      <x:c r="A47" s="58" t="n">
        <x:v>0.91</x:v>
      </x:c>
      <x:c r="B47" s="64" t="n">
        <x:f>IF(A47&gt;=1,"",IF(ABS(A47-$B$6)&lt;0.000001,$D$4,$B$4*(1-A47)))</x:f>
        <x:v>89999999.99999997</x:v>
      </x:c>
      <x:c r="C47" s="557" t="n">
        <x:f>IF(A47&gt;=1,"",IF(ABS(A47-$B$6)&lt;0.000001,$D$5,$D$6/B47))</x:f>
        <x:v>195.38339535634006</x:v>
      </x:c>
      <x:c r="D47" s="75" t="n">
        <x:f>IF(A47&gt;=1,"",B47*C47)</x:f>
        <x:v>17584505582.0706</x:v>
      </x:c>
      <x:c r="E47" s="374" t="n">
        <x:f>IF(A47&gt;=1,"",C47/B47)</x:f>
        <x:v>0.000002170926615070446</x:v>
      </x:c>
      <x:c r="F47" s="374" t="n">
        <x:f>IF(ISNUMBER(E47),E47*$B$3/'币价'!$B$12,"")</x:f>
        <x:v>0.00023050630786619974</x:v>
      </x:c>
      <x:c r="G47" s="559" t="n">
        <x:f>IF(A47&gt;=1,"",E47*$B$4)</x:f>
        <x:v>2170.926615070446</x:v>
      </x:c>
      <x:c r="H47" s="562" t="n">
        <x:f>IF(A47&gt;=1,"",G47*$B$3)</x:f>
        <x:v>230313.60459282363</x:v>
      </x:c>
      <x:c r="I47" s="559" t="n">
        <x:f>IF(A47&gt;=1,"",C47-C46)</x:f>
        <x:v>10.283336597702117</x:v>
      </x:c>
      <x:c r="J47" s="559" t="n">
        <x:f>IF(A47&gt;=1,"",I47*(1+$B$8))</x:f>
        <x:v>10.411878305173394</x:v>
      </x:c>
      <x:c r="K47" s="560" t="n">
        <x:f>IF(A47&gt;=1,"不可达",$B$5+(C47-$D$5)*(1+$B$8))</x:f>
        <x:v>197.8408151318289</x:v>
      </x:c>
    </x:row>
    <x:row r="48">
      <x:c r="A48" s="58" t="n">
        <x:v>0.915</x:v>
      </x:c>
      <x:c r="B48" s="64" t="n">
        <x:f>IF(A48&gt;=1,"",IF(ABS(A48-$B$6)&lt;0.000001,$D$4,$B$4*(1-A48)))</x:f>
        <x:v>84999999.99999997</x:v>
      </x:c>
      <x:c r="C48" s="557" t="n">
        <x:f>IF(A48&gt;=1,"",IF(ABS(A48-$B$6)&lt;0.000001,$D$5,$D$6/B48))</x:f>
        <x:v>206.8765362596542</x:v>
      </x:c>
      <x:c r="D48" s="75" t="n">
        <x:f>IF(A48&gt;=1,"",B48*C48)</x:f>
        <x:v>17584505582.0706</x:v>
      </x:c>
      <x:c r="E48" s="374" t="n">
        <x:f>IF(A48&gt;=1,"",C48/B48)</x:f>
        <x:v>0.000002433841603054756</x:v>
      </x:c>
      <x:c r="F48" s="374" t="n">
        <x:f>IF(ISNUMBER(E48),E48*$B$3/'币价'!$B$12,"")</x:f>
        <x:v>0.00025842229670812705</x:v>
      </x:c>
      <x:c r="G48" s="559" t="n">
        <x:f>IF(A48&gt;=1,"",E48*$B$4)</x:f>
        <x:v>2433.841603054756</x:v>
      </x:c>
      <x:c r="H48" s="562" t="n">
        <x:f>IF(A48&gt;=1,"",G48*$B$3)</x:f>
        <x:v>258206.25566807907</x:v>
      </x:c>
      <x:c r="I48" s="559" t="n">
        <x:f>IF(A48&gt;=1,"",C48-C47)</x:f>
        <x:v>11.493140903314128</x:v>
      </x:c>
      <x:c r="J48" s="559" t="n">
        <x:f>IF(A48&gt;=1,"",I48*(1+$B$8))</x:f>
        <x:v>11.636805164605555</x:v>
      </x:c>
      <x:c r="K48" s="560" t="n">
        <x:f>IF(A48&gt;=1,"不可达",$B$5+(C48-$D$5)*(1+$B$8))</x:f>
        <x:v>209.47762029643445</x:v>
      </x:c>
    </x:row>
    <x:row r="49">
      <x:c r="A49" s="58" t="n">
        <x:v>0.92</x:v>
      </x:c>
      <x:c r="B49" s="64" t="n">
        <x:f>IF(A49&gt;=1,"",IF(ABS(A49-$B$6)&lt;0.000001,$D$4,$B$4*(1-A49)))</x:f>
        <x:v>79999999.99999996</x:v>
      </x:c>
      <x:c r="C49" s="557" t="n">
        <x:f>IF(A49&gt;=1,"",IF(ABS(A49-$B$6)&lt;0.000001,$D$5,$D$6/B49))</x:f>
        <x:v>219.8063197758826</x:v>
      </x:c>
      <x:c r="D49" s="75" t="n">
        <x:f>IF(A49&gt;=1,"",B49*C49)</x:f>
        <x:v>17584505582.0706</x:v>
      </x:c>
      <x:c r="E49" s="374" t="n">
        <x:f>IF(A49&gt;=1,"",C49/B49)</x:f>
        <x:v>0.000002747578997198534</x:v>
      </x:c>
      <x:c r="F49" s="374" t="n">
        <x:f>IF(ISNUMBER(E49),E49*$B$3/'币价'!$B$12,"")</x:f>
        <x:v>0.0002917345458931591</x:v>
      </x:c>
      <x:c r="G49" s="559" t="n">
        <x:f>IF(A49&gt;=1,"",E49*$B$4)</x:f>
        <x:v>2747.578997198534</x:v>
      </x:c>
      <x:c r="H49" s="562" t="n">
        <x:f>IF(A49&gt;=1,"",G49*$B$3)</x:f>
        <x:v>291490.6558127925</x:v>
      </x:c>
      <x:c r="I49" s="559" t="n">
        <x:f>IF(A49&gt;=1,"",C49-C48)</x:f>
        <x:v>12.929783516228412</x:v>
      </x:c>
      <x:c r="J49" s="559" t="n">
        <x:f>IF(A49&gt;=1,"",I49*(1+$B$8))</x:f>
        <x:v>13.091405810181266</x:v>
      </x:c>
      <x:c r="K49" s="560" t="n">
        <x:f>IF(A49&gt;=1,"不可达",$B$5+(C49-$D$5)*(1+$B$8))</x:f>
        <x:v>222.56902610661572</x:v>
      </x:c>
    </x:row>
    <x:row r="50">
      <x:c r="A50" s="58" t="n">
        <x:v>0.925</x:v>
      </x:c>
      <x:c r="B50" s="64" t="n">
        <x:f>IF(A50&gt;=1,"",IF(ABS(A50-$B$6)&lt;0.000001,$D$4,$B$4*(1-A50)))</x:f>
        <x:v>74999999.99999996</x:v>
      </x:c>
      <x:c r="C50" s="557" t="n">
        <x:f>IF(A50&gt;=1,"",IF(ABS(A50-$B$6)&lt;0.000001,$D$5,$D$6/B50))</x:f>
        <x:v>234.46007442760813</x:v>
      </x:c>
      <x:c r="D50" s="75" t="n">
        <x:f>IF(A50&gt;=1,"",B50*C50)</x:f>
        <x:v>17584505582.0706</x:v>
      </x:c>
      <x:c r="E50" s="374" t="n">
        <x:f>IF(A50&gt;=1,"",C50/B50)</x:f>
        <x:v>0.0000031261343257014436</x:v>
      </x:c>
      <x:c r="F50" s="374" t="n">
        <x:f>IF(ISNUMBER(E50),E50*$B$3/'币价'!$B$12,"")</x:f>
        <x:v>0.0003319290833273278</x:v>
      </x:c>
      <x:c r="G50" s="559" t="n">
        <x:f>IF(A50&gt;=1,"",E50*$B$4)</x:f>
        <x:v>3126.1343257014437</x:v>
      </x:c>
      <x:c r="H50" s="562" t="n">
        <x:f>IF(A50&gt;=1,"",G50*$B$3)</x:f>
        <x:v>331651.59061366617</x:v>
      </x:c>
      <x:c r="I50" s="559" t="n">
        <x:f>IF(A50&gt;=1,"",C50-C49)</x:f>
        <x:v>14.653754651725535</x:v>
      </x:c>
      <x:c r="J50" s="559" t="n">
        <x:f>IF(A50&gt;=1,"",I50*(1+$B$8))</x:f>
        <x:v>14.836926584872103</x:v>
      </x:c>
      <x:c r="K50" s="560" t="n">
        <x:f>IF(A50&gt;=1,"不可达",$B$5+(C50-$D$5)*(1+$B$8))</x:f>
        <x:v>237.40595269148784</x:v>
      </x:c>
    </x:row>
    <x:row r="51">
      <x:c r="A51" s="58" t="n">
        <x:v>0.93</x:v>
      </x:c>
      <x:c r="B51" s="64" t="n">
        <x:f>IF(A51&gt;=1,"",IF(ABS(A51-$B$6)&lt;0.000001,$D$4,$B$4*(1-A51)))</x:f>
        <x:v>69999999.99999996</x:v>
      </x:c>
      <x:c r="C51" s="557" t="n">
        <x:f>IF(A51&gt;=1,"",IF(ABS(A51-$B$6)&lt;0.000001,$D$5,$D$6/B51))</x:f>
        <x:v>251.2072226010087</x:v>
      </x:c>
      <x:c r="D51" s="75" t="n">
        <x:f>IF(A51&gt;=1,"",B51*C51)</x:f>
        <x:v>17584505582.0706</x:v>
      </x:c>
      <x:c r="E51" s="374" t="n">
        <x:f>IF(A51&gt;=1,"",C51/B51)</x:f>
        <x:v>0.000003588674608585841</x:v>
      </x:c>
      <x:c r="F51" s="374" t="n">
        <x:f>IF(ISNUMBER(E51),E51*$B$3/'币价'!$B$12,"")</x:f>
        <x:v>0.00038104103953392224</x:v>
      </x:c>
      <x:c r="G51" s="559" t="n">
        <x:f>IF(A51&gt;=1,"",E51*$B$4)</x:f>
        <x:v>3588.674608585841</x:v>
      </x:c>
      <x:c r="H51" s="562" t="n">
        <x:f>IF(A51&gt;=1,"",G51*$B$3)</x:f>
        <x:v>380722.48922487185</x:v>
      </x:c>
      <x:c r="I51" s="559" t="n">
        <x:f>IF(A51&gt;=1,"",C51-C50)</x:f>
        <x:v>16.747148173400575</x:v>
      </x:c>
      <x:c r="J51" s="559" t="n">
        <x:f>IF(A51&gt;=1,"",I51*(1+$B$8))</x:f>
        <x:v>16.956487525568082</x:v>
      </x:c>
      <x:c r="K51" s="560" t="n">
        <x:f>IF(A51&gt;=1,"不可达",$B$5+(C51-$D$5)*(1+$B$8))</x:f>
        <x:v>254.3624402170559</x:v>
      </x:c>
    </x:row>
    <x:row r="52">
      <x:c r="A52" s="58" t="n">
        <x:v>0.935</x:v>
      </x:c>
      <x:c r="B52" s="64" t="n">
        <x:f>IF(A52&gt;=1,"",IF(ABS(A52-$B$6)&lt;0.000001,$D$4,$B$4*(1-A52)))</x:f>
        <x:v>64999999.99999995</x:v>
      </x:c>
      <x:c r="C52" s="557" t="n">
        <x:f>IF(A52&gt;=1,"",IF(ABS(A52-$B$6)&lt;0.000001,$D$5,$D$6/B52))</x:f>
        <x:v>270.53085510877867</x:v>
      </x:c>
      <x:c r="D52" s="75" t="n">
        <x:f>IF(A52&gt;=1,"",B52*C52)</x:f>
        <x:v>17584505582.0706</x:v>
      </x:c>
      <x:c r="E52" s="374" t="n">
        <x:f>IF(A52&gt;=1,"",C52/B52)</x:f>
        <x:v>0.000004162013155519675</x:v>
      </x:c>
      <x:c r="F52" s="374" t="n">
        <x:f>IF(ISNUMBER(E52),E52*$B$3/'币价'!$B$12,"")</x:f>
        <x:v>0.00044191741863105783</x:v>
      </x:c>
      <x:c r="G52" s="559" t="n">
        <x:f>IF(A52&gt;=1,"",E52*$B$4)</x:f>
        <x:v>4162.013155519675</x:v>
      </x:c>
      <x:c r="H52" s="562" t="n">
        <x:f>IF(A52&gt;=1,"",G52*$B$3)</x:f>
        <x:v>441547.9756690823</x:v>
      </x:c>
      <x:c r="I52" s="559" t="n">
        <x:f>IF(A52&gt;=1,"",C52-C51)</x:f>
        <x:v>19.323632507769958</x:v>
      </x:c>
      <x:c r="J52" s="559" t="n">
        <x:f>IF(A52&gt;=1,"",I52*(1+$B$8))</x:f>
        <x:v>19.565177914117083</x:v>
      </x:c>
      <x:c r="K52" s="560" t="n">
        <x:f>IF(A52&gt;=1,"不可达",$B$5+(C52-$D$5)*(1+$B$8))</x:f>
        <x:v>273.927618131173</x:v>
      </x:c>
    </x:row>
    <x:row r="53">
      <x:c r="A53" s="58" t="n">
        <x:v>0.94</x:v>
      </x:c>
      <x:c r="B53" s="64" t="n">
        <x:f>IF(A53&gt;=1,"",IF(ABS(A53-$B$6)&lt;0.000001,$D$4,$B$4*(1-A53)))</x:f>
        <x:v>60000000.00000005</x:v>
      </x:c>
      <x:c r="C53" s="557" t="n">
        <x:f>IF(A53&gt;=1,"",IF(ABS(A53-$B$6)&lt;0.000001,$D$5,$D$6/B53))</x:f>
        <x:v>293.07509303450973</x:v>
      </x:c>
      <x:c r="D53" s="75" t="n">
        <x:f>IF(A53&gt;=1,"",B53*C53)</x:f>
        <x:v>17584505582.0706</x:v>
      </x:c>
      <x:c r="E53" s="374" t="n">
        <x:f>IF(A53&gt;=1,"",C53/B53)</x:f>
        <x:v>0.000004884584883908491</x:v>
      </x:c>
      <x:c r="F53" s="374" t="n">
        <x:f>IF(ISNUMBER(E53),E53*$B$3/'币价'!$B$12,"")</x:f>
        <x:v>0.0005186391926989482</x:v>
      </x:c>
      <x:c r="G53" s="559" t="n">
        <x:f>IF(A53&gt;=1,"",E53*$B$4)</x:f>
        <x:v>4884.584883908491</x:v>
      </x:c>
      <x:c r="H53" s="562" t="n">
        <x:f>IF(A53&gt;=1,"",G53*$B$3)</x:f>
        <x:v>518205.61033385183</x:v>
      </x:c>
      <x:c r="I53" s="559" t="n">
        <x:f>IF(A53&gt;=1,"",C53-C52)</x:f>
        <x:v>22.544237925731068</x:v>
      </x:c>
      <x:c r="J53" s="559" t="n">
        <x:f>IF(A53&gt;=1,"",I53*(1+$B$8))</x:f>
        <x:v>22.826040899802706</x:v>
      </x:c>
      <x:c r="K53" s="560" t="n">
        <x:f>IF(A53&gt;=1,"不可达",$B$5+(C53-$D$5)*(1+$B$8))</x:f>
        <x:v>296.7536590309757</x:v>
      </x:c>
    </x:row>
    <x:row r="54">
      <x:c r="A54" s="58" t="n">
        <x:v>0.945</x:v>
      </x:c>
      <x:c r="B54" s="64" t="n">
        <x:f>IF(A54&gt;=1,"",IF(ABS(A54-$B$6)&lt;0.000001,$D$4,$B$4*(1-A54)))</x:f>
        <x:v>55000000.00000005</x:v>
      </x:c>
      <x:c r="C54" s="557" t="n">
        <x:f>IF(A54&gt;=1,"",IF(ABS(A54-$B$6)&lt;0.000001,$D$5,$D$6/B54))</x:f>
        <x:v>319.7182833103742</x:v>
      </x:c>
      <x:c r="D54" s="75" t="n">
        <x:f>IF(A54&gt;=1,"",B54*C54)</x:f>
        <x:v>17584505582.0706</x:v>
      </x:c>
      <x:c r="E54" s="374" t="n">
        <x:f>IF(A54&gt;=1,"",C54/B54)</x:f>
        <x:v>0.0000058130596965522526</x:v>
      </x:c>
      <x:c r="F54" s="374" t="n">
        <x:f>IF(ISNUMBER(E54),E54*$B$3/'币价'!$B$12,"")</x:f>
        <x:v>0.0006172235020549464</x:v>
      </x:c>
      <x:c r="G54" s="559" t="n">
        <x:f>IF(A54&gt;=1,"",E54*$B$4)</x:f>
        <x:v>5813.059696552253</x:v>
      </x:c>
      <x:c r="H54" s="562" t="n">
        <x:f>IF(A54&gt;=1,"",G54*$B$3)</x:f>
        <x:v>616707.5032072285</x:v>
      </x:c>
      <x:c r="I54" s="559" t="n">
        <x:f>IF(A54&gt;=1,"",C54-C53)</x:f>
        <x:v>26.64319027586447</x:v>
      </x:c>
      <x:c r="J54" s="559" t="n">
        <x:f>IF(A54&gt;=1,"",I54*(1+$B$8))</x:f>
        <x:v>26.976230154312773</x:v>
      </x:c>
      <x:c r="K54" s="560" t="n">
        <x:f>IF(A54&gt;=1,"不可达",$B$5+(C54-$D$5)*(1+$B$8))</x:f>
        <x:v>323.72988918528847</x:v>
      </x:c>
    </x:row>
    <x:row r="55">
      <x:c r="A55" s="58" t="n">
        <x:v>0.95</x:v>
      </x:c>
      <x:c r="B55" s="64" t="n">
        <x:f>IF(A55&gt;=1,"",IF(ABS(A55-$B$6)&lt;0.000001,$D$4,$B$4*(1-A55)))</x:f>
        <x:v>50000000.000000045</x:v>
      </x:c>
      <x:c r="C55" s="557" t="n">
        <x:f>IF(A55&gt;=1,"",IF(ABS(A55-$B$6)&lt;0.000001,$D$5,$D$6/B55))</x:f>
        <x:v>351.69011164141165</x:v>
      </x:c>
      <x:c r="D55" s="75" t="n">
        <x:f>IF(A55&gt;=1,"",B55*C55)</x:f>
        <x:v>17584505582.0706</x:v>
      </x:c>
      <x:c r="E55" s="374" t="n">
        <x:f>IF(A55&gt;=1,"",C55/B55)</x:f>
        <x:v>0.000007033802232828227</x:v>
      </x:c>
      <x:c r="F55" s="374" t="n">
        <x:f>IF(ISNUMBER(E55),E55*$B$3/'币价'!$B$12,"")</x:f>
        <x:v>0.0007468404374864853</x:v>
      </x:c>
      <x:c r="G55" s="559" t="n">
        <x:f>IF(A55&gt;=1,"",E55*$B$4)</x:f>
        <x:v>7033.802232828227</x:v>
      </x:c>
      <x:c r="H55" s="562" t="n">
        <x:f>IF(A55&gt;=1,"",G55*$B$3)</x:f>
        <x:v>746216.0788807466</x:v>
      </x:c>
      <x:c r="I55" s="559" t="n">
        <x:f>IF(A55&gt;=1,"",C55-C54)</x:f>
        <x:v>31.971828331037443</x:v>
      </x:c>
      <x:c r="J55" s="559" t="n">
        <x:f>IF(A55&gt;=1,"",I55*(1+$B$8))</x:f>
        <x:v>32.37147618517541</x:v>
      </x:c>
      <x:c r="K55" s="560" t="n">
        <x:f>IF(A55&gt;=1,"不可达",$B$5+(C55-$D$5)*(1+$B$8))</x:f>
        <x:v>356.1013653704639</x:v>
      </x:c>
    </x:row>
    <x:row r="56">
      <x:c r="A56" s="58" t="n">
        <x:v>0.955</x:v>
      </x:c>
      <x:c r="B56" s="64" t="n">
        <x:f>IF(A56&gt;=1,"",IF(ABS(A56-$B$6)&lt;0.000001,$D$4,$B$4*(1-A56)))</x:f>
        <x:v>45000000.00000004</x:v>
      </x:c>
      <x:c r="C56" s="557" t="n">
        <x:f>IF(A56&gt;=1,"",IF(ABS(A56-$B$6)&lt;0.000001,$D$5,$D$6/B56))</x:f>
        <x:v>390.76679071267966</x:v>
      </x:c>
      <x:c r="D56" s="75" t="n">
        <x:f>IF(A56&gt;=1,"",B56*C56)</x:f>
        <x:v>17584505582.0706</x:v>
      </x:c>
      <x:c r="E56" s="374" t="n">
        <x:f>IF(A56&gt;=1,"",C56/B56)</x:f>
        <x:v>0.000008683706460281764</x:v>
      </x:c>
      <x:c r="F56" s="374" t="n">
        <x:f>IF(ISNUMBER(E56),E56*$B$3/'币价'!$B$12,"")</x:f>
        <x:v>0.0009220252314647968</x:v>
      </x:c>
      <x:c r="G56" s="559" t="n">
        <x:f>IF(A56&gt;=1,"",E56*$B$4)</x:f>
        <x:v>8683.706460281763</x:v>
      </x:c>
      <x:c r="H56" s="562" t="n">
        <x:f>IF(A56&gt;=1,"",G56*$B$3)</x:f>
        <x:v>921254.4183712922</x:v>
      </x:c>
      <x:c r="I56" s="559" t="n">
        <x:f>IF(A56&gt;=1,"",C56-C55)</x:f>
        <x:v>39.07667907126802</x:v>
      </x:c>
      <x:c r="J56" s="559" t="n">
        <x:f>IF(A56&gt;=1,"",I56*(1+$B$8))</x:f>
        <x:v>39.565137559658865</x:v>
      </x:c>
      <x:c r="K56" s="560" t="n">
        <x:f>IF(A56&gt;=1,"不可达",$B$5+(C56-$D$5)*(1+$B$8))</x:f>
        <x:v>395.66650293012276</x:v>
      </x:c>
    </x:row>
    <x:row r="57">
      <x:c r="A57" s="58" t="n">
        <x:v>0.96</x:v>
      </x:c>
      <x:c r="B57" s="64" t="n">
        <x:f>IF(A57&gt;=1,"",IF(ABS(A57-$B$6)&lt;0.000001,$D$4,$B$4*(1-A57)))</x:f>
        <x:v>40000000.00000004</x:v>
      </x:c>
      <x:c r="C57" s="557" t="n">
        <x:f>IF(A57&gt;=1,"",IF(ABS(A57-$B$6)&lt;0.000001,$D$5,$D$6/B57))</x:f>
        <x:v>439.6126395517646</x:v>
      </x:c>
      <x:c r="D57" s="75" t="n">
        <x:f>IF(A57&gt;=1,"",B57*C57)</x:f>
        <x:v>17584505582.0706</x:v>
      </x:c>
      <x:c r="E57" s="374" t="n">
        <x:f>IF(A57&gt;=1,"",C57/B57)</x:f>
        <x:v>0.000010990315988794104</x:v>
      </x:c>
      <x:c r="F57" s="374" t="n">
        <x:f>IF(ISNUMBER(E57),E57*$B$3/'币价'!$B$12,"")</x:f>
        <x:v>0.0011669381835726332</x:v>
      </x:c>
      <x:c r="G57" s="559" t="n">
        <x:f>IF(A57&gt;=1,"",E57*$B$4)</x:f>
        <x:v>10990.315988794104</x:v>
      </x:c>
      <x:c r="H57" s="562" t="n">
        <x:f>IF(A57&gt;=1,"",G57*$B$3)</x:f>
        <x:v>1165962.6232511664</x:v>
      </x:c>
      <x:c r="I57" s="559" t="n">
        <x:f>IF(A57&gt;=1,"",C57-C56)</x:f>
        <x:v>48.84584883908491</x:v>
      </x:c>
      <x:c r="J57" s="559" t="n">
        <x:f>IF(A57&gt;=1,"",I57*(1+$B$8))</x:f>
        <x:v>49.45642194957347</x:v>
      </x:c>
      <x:c r="K57" s="560" t="n">
        <x:f>IF(A57&gt;=1,"不可达",$B$5+(C57-$D$5)*(1+$B$8))</x:f>
        <x:v>445.1229248796962</x:v>
      </x:c>
    </x:row>
    <x:row r="58">
      <x:c r="A58" s="58" t="n">
        <x:v>0.965</x:v>
      </x:c>
      <x:c r="B58" s="64" t="n">
        <x:f>IF(A58&gt;=1,"",IF(ABS(A58-$B$6)&lt;0.000001,$D$4,$B$4*(1-A58)))</x:f>
        <x:v>35000000.00000003</x:v>
      </x:c>
      <x:c r="C58" s="557" t="n">
        <x:f>IF(A58&gt;=1,"",IF(ABS(A58-$B$6)&lt;0.000001,$D$5,$D$6/B58))</x:f>
        <x:v>502.4144452020167</x:v>
      </x:c>
      <x:c r="D58" s="75" t="n">
        <x:f>IF(A58&gt;=1,"",B58*C58)</x:f>
        <x:v>17584505582.0706</x:v>
      </x:c>
      <x:c r="E58" s="374" t="n">
        <x:f>IF(A58&gt;=1,"",C58/B58)</x:f>
        <x:v>0.000014354698434343321</x:v>
      </x:c>
      <x:c r="F58" s="374" t="n">
        <x:f>IF(ISNUMBER(E58),E58*$B$3/'币价'!$B$12,"")</x:f>
        <x:v>0.0015241641581356844</x:v>
      </x:c>
      <x:c r="G58" s="559" t="n">
        <x:f>IF(A58&gt;=1,"",E58*$B$4)</x:f>
        <x:v>14354.698434343321</x:v>
      </x:c>
      <x:c r="H58" s="562" t="n">
        <x:f>IF(A58&gt;=1,"",G58*$B$3)</x:f>
        <x:v>1522889.956899483</x:v>
      </x:c>
      <x:c r="I58" s="559" t="n">
        <x:f>IF(A58&gt;=1,"",C58-C57)</x:f>
        <x:v>62.801805650252106</x:v>
      </x:c>
      <x:c r="J58" s="559" t="n">
        <x:f>IF(A58&gt;=1,"",I58*(1+$B$8))</x:f>
        <x:v>63.58682822088026</x:v>
      </x:c>
      <x:c r="K58" s="560" t="n">
        <x:f>IF(A58&gt;=1,"不可达",$B$5+(C58-$D$5)*(1+$B$8))</x:f>
        <x:v>508.70975310057645</x:v>
      </x:c>
    </x:row>
    <x:row r="59">
      <x:c r="A59" s="58" t="n">
        <x:v>0.97</x:v>
      </x:c>
      <x:c r="B59" s="64" t="n">
        <x:f>IF(A59&gt;=1,"",IF(ABS(A59-$B$6)&lt;0.000001,$D$4,$B$4*(1-A59)))</x:f>
        <x:v>30000000.000000026</x:v>
      </x:c>
      <x:c r="C59" s="557" t="n">
        <x:f>IF(A59&gt;=1,"",IF(ABS(A59-$B$6)&lt;0.000001,$D$5,$D$6/B59))</x:f>
        <x:v>586.1501860690195</x:v>
      </x:c>
      <x:c r="D59" s="75" t="n">
        <x:f>IF(A59&gt;=1,"",B59*C59)</x:f>
        <x:v>17584505582.0706</x:v>
      </x:c>
      <x:c r="E59" s="374" t="n">
        <x:f>IF(A59&gt;=1,"",C59/B59)</x:f>
        <x:v>0.000019538339535633965</x:v>
      </x:c>
      <x:c r="F59" s="374" t="n">
        <x:f>IF(ISNUMBER(E59),E59*$B$3/'币价'!$B$12,"")</x:f>
        <x:v>0.0020745567707957926</x:v>
      </x:c>
      <x:c r="G59" s="559" t="n">
        <x:f>IF(A59&gt;=1,"",E59*$B$4)</x:f>
        <x:v>19538.339535633964</x:v>
      </x:c>
      <x:c r="H59" s="562" t="n">
        <x:f>IF(A59&gt;=1,"",G59*$B$3)</x:f>
        <x:v>2072822.4413354073</x:v>
      </x:c>
      <x:c r="I59" s="559" t="n">
        <x:f>IF(A59&gt;=1,"",C59-C58)</x:f>
        <x:v>83.73574086700279</x:v>
      </x:c>
      <x:c r="J59" s="559" t="n">
        <x:f>IF(A59&gt;=1,"",I59*(1+$B$8))</x:f>
        <x:v>84.78243762784032</x:v>
      </x:c>
      <x:c r="K59" s="560" t="n">
        <x:f>IF(A59&gt;=1,"不可达",$B$5+(C59-$D$5)*(1+$B$8))</x:f>
        <x:v>593.4921907284167</x:v>
      </x:c>
    </x:row>
    <x:row r="60">
      <x:c r="A60" s="58" t="n">
        <x:v>0.975</x:v>
      </x:c>
      <x:c r="B60" s="64" t="n">
        <x:f>IF(A60&gt;=1,"",IF(ABS(A60-$B$6)&lt;0.000001,$D$4,$B$4*(1-A60)))</x:f>
        <x:v>25000000.000000022</x:v>
      </x:c>
      <x:c r="C60" s="557" t="n">
        <x:f>IF(A60&gt;=1,"",IF(ABS(A60-$B$6)&lt;0.000001,$D$5,$D$6/B60))</x:f>
        <x:v>703.3802232828233</x:v>
      </x:c>
      <x:c r="D60" s="75" t="n">
        <x:f>IF(A60&gt;=1,"",B60*C60)</x:f>
        <x:v>17584505582.0706</x:v>
      </x:c>
      <x:c r="E60" s="374" t="n">
        <x:f>IF(A60&gt;=1,"",C60/B60)</x:f>
        <x:v>0.000028135208931312908</x:v>
      </x:c>
      <x:c r="F60" s="374" t="n">
        <x:f>IF(ISNUMBER(E60),E60*$B$3/'币价'!$B$12,"")</x:f>
        <x:v>0.0029873617499459413</x:v>
      </x:c>
      <x:c r="G60" s="559" t="n">
        <x:f>IF(A60&gt;=1,"",E60*$B$4)</x:f>
        <x:v>28135.208931312907</x:v>
      </x:c>
      <x:c r="H60" s="562" t="n">
        <x:f>IF(A60&gt;=1,"",G60*$B$3)</x:f>
        <x:v>2984864.3155229865</x:v>
      </x:c>
      <x:c r="I60" s="559" t="n">
        <x:f>IF(A60&gt;=1,"",C60-C59)</x:f>
        <x:v>117.23003721380383</x:v>
      </x:c>
      <x:c r="J60" s="559" t="n">
        <x:f>IF(A60&gt;=1,"",I60*(1+$B$8))</x:f>
        <x:v>118.69541267897637</x:v>
      </x:c>
      <x:c r="K60" s="560" t="n">
        <x:f>IF(A60&gt;=1,"不可达",$B$5+(C60-$D$5)*(1+$B$8))</x:f>
        <x:v>712.1876034073931</x:v>
      </x:c>
    </x:row>
    <x:row r="61">
      <x:c r="A61" s="58" t="n">
        <x:v>0.98</x:v>
      </x:c>
      <x:c r="B61" s="64" t="n">
        <x:f>IF(A61&gt;=1,"",IF(ABS(A61-$B$6)&lt;0.000001,$D$4,$B$4*(1-A61)))</x:f>
        <x:v>20000000.00000002</x:v>
      </x:c>
      <x:c r="C61" s="557" t="n">
        <x:f>IF(A61&gt;=1,"",IF(ABS(A61-$B$6)&lt;0.000001,$D$5,$D$6/B61))</x:f>
        <x:v>879.2252791035291</x:v>
      </x:c>
      <x:c r="D61" s="75" t="n">
        <x:f>IF(A61&gt;=1,"",B61*C61)</x:f>
        <x:v>17584505582.0706</x:v>
      </x:c>
      <x:c r="E61" s="374" t="n">
        <x:f>IF(A61&gt;=1,"",C61/B61)</x:f>
        <x:v>0.000043961263955176416</x:v>
      </x:c>
      <x:c r="F61" s="374" t="n">
        <x:f>IF(ISNUMBER(E61),E61*$B$3/'币价'!$B$12,"")</x:f>
        <x:v>0.004667752734290533</x:v>
      </x:c>
      <x:c r="G61" s="559" t="n">
        <x:f>IF(A61&gt;=1,"",E61*$B$4)</x:f>
        <x:v>43961.263955176415</x:v>
      </x:c>
      <x:c r="H61" s="562" t="n">
        <x:f>IF(A61&gt;=1,"",G61*$B$3)</x:f>
        <x:v>4663850.493004666</x:v>
      </x:c>
      <x:c r="I61" s="559" t="n">
        <x:f>IF(A61&gt;=1,"",C61-C60)</x:f>
        <x:v>175.84505582070585</x:v>
      </x:c>
      <x:c r="J61" s="559" t="n">
        <x:f>IF(A61&gt;=1,"",I61*(1+$B$8))</x:f>
        <x:v>178.04311901846467</x:v>
      </x:c>
      <x:c r="K61" s="560" t="n">
        <x:f>IF(A61&gt;=1,"不可达",$B$5+(C61-$D$5)*(1+$B$8))</x:f>
        <x:v>890.2307224258578</x:v>
      </x:c>
    </x:row>
    <x:row r="62">
      <x:c r="A62" s="58" t="n">
        <x:v>0.985</x:v>
      </x:c>
      <x:c r="B62" s="64" t="n">
        <x:f>IF(A62&gt;=1,"",IF(ABS(A62-$B$6)&lt;0.000001,$D$4,$B$4*(1-A62)))</x:f>
        <x:v>15000000.000000013</x:v>
      </x:c>
      <x:c r="C62" s="557" t="n">
        <x:f>IF(A62&gt;=1,"",IF(ABS(A62-$B$6)&lt;0.000001,$D$5,$D$6/B62))</x:f>
        <x:v>1172.300372138039</x:v>
      </x:c>
      <x:c r="D62" s="75" t="n">
        <x:f>IF(A62&gt;=1,"",B62*C62)</x:f>
        <x:v>17584505582.0706</x:v>
      </x:c>
      <x:c r="E62" s="374" t="n">
        <x:f>IF(A62&gt;=1,"",C62/B62)</x:f>
        <x:v>0.00007815335814253586</x:v>
      </x:c>
      <x:c r="F62" s="374" t="n">
        <x:f>IF(ISNUMBER(E62),E62*$B$3/'币价'!$B$12,"")</x:f>
        <x:v>0.00829822708318317</x:v>
      </x:c>
      <x:c r="G62" s="559" t="n">
        <x:f>IF(A62&gt;=1,"",E62*$B$4)</x:f>
        <x:v>78153.35814253586</x:v>
      </x:c>
      <x:c r="H62" s="562" t="n">
        <x:f>IF(A62&gt;=1,"",G62*$B$3)</x:f>
        <x:v>8291289.765341629</x:v>
      </x:c>
      <x:c r="I62" s="559" t="n">
        <x:f>IF(A62&gt;=1,"",C62-C61)</x:f>
        <x:v>293.0750930345098</x:v>
      </x:c>
      <x:c r="J62" s="559" t="n">
        <x:f>IF(A62&gt;=1,"",I62*(1+$B$8))</x:f>
        <x:v>296.73853169744115</x:v>
      </x:c>
      <x:c r="K62" s="560" t="n">
        <x:f>IF(A62&gt;=1,"不可达",$B$5+(C62-$D$5)*(1+$B$8))</x:f>
        <x:v>1186.969254123299</x:v>
      </x:c>
    </x:row>
    <x:row r="63">
      <x:c r="A63" s="58" t="n">
        <x:v>0.99</x:v>
      </x:c>
      <x:c r="B63" s="64" t="n">
        <x:f>IF(A63&gt;=1,"",IF(ABS(A63-$B$6)&lt;0.000001,$D$4,$B$4*(1-A63)))</x:f>
        <x:v>10000000.00000001</x:v>
      </x:c>
      <x:c r="C63" s="557" t="n">
        <x:f>IF(A63&gt;=1,"",IF(ABS(A63-$B$6)&lt;0.000001,$D$5,$D$6/B63))</x:f>
        <x:v>1758.4505582070583</x:v>
      </x:c>
      <x:c r="D63" s="75" t="n">
        <x:f>IF(A63&gt;=1,"",B63*C63)</x:f>
        <x:v>17584505582.0706</x:v>
      </x:c>
      <x:c r="E63" s="374" t="n">
        <x:f>IF(A63&gt;=1,"",C63/B63)</x:f>
        <x:v>0.00017584505582070566</x:v>
      </x:c>
      <x:c r="F63" s="374" t="n">
        <x:f>IF(ISNUMBER(E63),E63*$B$3/'币价'!$B$12,"")</x:f>
        <x:v>0.01867101093716213</x:v>
      </x:c>
      <x:c r="G63" s="559" t="n">
        <x:f>IF(A63&gt;=1,"",E63*$B$4)</x:f>
        <x:v>175845.05582070566</x:v>
      </x:c>
      <x:c r="H63" s="562" t="n">
        <x:f>IF(A63&gt;=1,"",G63*$B$3)</x:f>
        <x:v>18655401.972018663</x:v>
      </x:c>
      <x:c r="I63" s="559" t="n">
        <x:f>IF(A63&gt;=1,"",C63-C62)</x:f>
        <x:v>586.1501860690194</x:v>
      </x:c>
      <x:c r="J63" s="559" t="n">
        <x:f>IF(A63&gt;=1,"",I63*(1+$B$8))</x:f>
        <x:v>593.4770633948821</x:v>
      </x:c>
      <x:c r="K63" s="560" t="n">
        <x:f>IF(A63&gt;=1,"不可达",$B$5+(C63-$D$5)*(1+$B$8))</x:f>
        <x:v>1780.446317518181</x:v>
      </x:c>
    </x:row>
    <x:row r="64">
      <x:c r="A64" s="58" t="n">
        <x:v>0.995</x:v>
      </x:c>
      <x:c r="B64" s="64" t="n">
        <x:f>IF(A64&gt;=1,"",IF(ABS(A64-$B$6)&lt;0.000001,$D$4,$B$4*(1-A64)))</x:f>
        <x:v>5000000.000000005</x:v>
      </x:c>
      <x:c r="C64" s="557" t="n">
        <x:f>IF(A64&gt;=1,"",IF(ABS(A64-$B$6)&lt;0.000001,$D$5,$D$6/B64))</x:f>
        <x:v>3516.9011164141166</x:v>
      </x:c>
      <x:c r="D64" s="75" t="n">
        <x:f>IF(A64&gt;=1,"",B64*C64)</x:f>
        <x:v>17584505582.0706</x:v>
      </x:c>
      <x:c r="E64" s="374" t="n">
        <x:f>IF(A64&gt;=1,"",C64/B64)</x:f>
        <x:v>0.0007033802232828227</x:v>
      </x:c>
      <x:c r="F64" s="374" t="n">
        <x:f>IF(ISNUMBER(E64),E64*$B$3/'币价'!$B$12,"")</x:f>
        <x:v>0.07468404374864852</x:v>
      </x:c>
      <x:c r="G64" s="559" t="n">
        <x:f>IF(A64&gt;=1,"",E64*$B$4)</x:f>
        <x:v>703380.2232828226</x:v>
      </x:c>
      <x:c r="H64" s="562" t="n">
        <x:f>IF(A64&gt;=1,"",G64*$B$3)</x:f>
        <x:v>74621607.88807465</x:v>
      </x:c>
      <x:c r="I64" s="559" t="n">
        <x:f>IF(A64&gt;=1,"",C64-C63)</x:f>
        <x:v>1758.4505582070583</x:v>
      </x:c>
      <x:c r="J64" s="559" t="n">
        <x:f>IF(A64&gt;=1,"",I64*(1+$B$8))</x:f>
        <x:v>1780.4311901846465</x:v>
      </x:c>
      <x:c r="K64" s="560" t="n">
        <x:f>IF(A64&gt;=1,"不可达",$B$5+(C64-$D$5)*(1+$B$8))</x:f>
        <x:v>3560.8775077028276</x:v>
      </x:c>
    </x:row>
    <x:row r="65">
      <x:c r="A65" s="58" t="n">
        <x:v>1</x:v>
      </x:c>
      <x:c r="B65" s="64" t="str">
        <x:f>IF(A65&gt;=1,"",IF(ABS(A65-$B$6)&lt;0.000001,$D$4,$B$4*(1-A65)))</x:f>
      </x:c>
      <x:c r="C65" s="557" t="str">
        <x:f>IF(A65&gt;=1,"",IF(ABS(A65-$B$6)&lt;0.000001,$D$5,$D$6/B65))</x:f>
      </x:c>
      <x:c r="D65" s="75" t="str">
        <x:f>IF(A65&gt;=1,"",B65*C65)</x:f>
      </x:c>
      <x:c r="E65" s="374" t="str">
        <x:f>IF(A65&gt;=1,"",C65/B65)</x:f>
      </x:c>
      <x:c r="F65" s="374" t="str">
        <x:f>IF(ISNUMBER(E65),E65*$B$3/'币价'!$B$12,"")</x:f>
      </x:c>
      <x:c r="G65" s="559" t="str">
        <x:f>IF(A65&gt;=1,"",E65*$B$4)</x:f>
      </x:c>
      <x:c r="H65" s="562" t="str">
        <x:f>IF(A65&gt;=1,"",G65*$B$3)</x:f>
      </x:c>
      <x:c r="I65" s="559" t="str">
        <x:f>IF(A65&gt;=1,"",C65-C64)</x:f>
      </x:c>
      <x:c r="J65" s="559" t="str">
        <x:f>IF(A65&gt;=1,"",I65*(1+$B$8))</x:f>
      </x:c>
      <x:c r="K65" s="560" t="str">
        <x:f>IF(A65&gt;=1,"不可达",$B$5+(C65-$D$5)*(1+$B$8))</x:f>
        <x:v>不可达</x:v>
      </x:c>
    </x:row>
    <x:row r="66">
      <x:c r="A66" s="59"/>
      <x:c r="B66" s="65"/>
      <x:c r="C66" s="555"/>
      <x:c r="D66" s="76"/>
      <x:c r="E66" s="82"/>
      <x:c r="F66" s="88"/>
      <x:c r="G66" s="555"/>
      <x:c r="H66" s="65"/>
      <x:c r="I66" s="555"/>
      <x:c r="J66" s="555"/>
      <x:c r="K66" s="555"/>
    </x:row>
    <x:row r="67">
      <x:c r="A67" s="59"/>
      <x:c r="B67" s="65"/>
      <x:c r="C67" s="17"/>
      <x:c r="D67" s="76"/>
      <x:c r="E67" s="82"/>
      <x:c r="F67" s="88"/>
      <x:c r="G67" s="88"/>
    </x:row>
    <x:row r="68">
      <x:c r="A68" s="59"/>
      <x:c r="B68" s="65"/>
      <x:c r="C68" s="17"/>
      <x:c r="D68" s="76"/>
      <x:c r="E68" s="82"/>
      <x:c r="F68" s="88"/>
      <x:c r="G68" s="88"/>
    </x:row>
    <x:row r="69">
      <x:c r="A69" s="59"/>
      <x:c r="B69" s="65"/>
      <x:c r="C69" s="17"/>
      <x:c r="D69" s="76"/>
      <x:c r="E69" s="82"/>
      <x:c r="F69" s="88"/>
      <x:c r="G69" s="88"/>
    </x:row>
    <x:row r="70">
      <x:c r="A70" s="59"/>
      <x:c r="B70" s="65"/>
      <x:c r="C70" s="17"/>
      <x:c r="D70" s="76"/>
      <x:c r="E70" s="82"/>
      <x:c r="F70" s="88"/>
      <x:c r="G70" s="88"/>
    </x:row>
    <x:row r="71" ht="28" customHeight="1">
      <x:c r="A71" s="61" t="str">
        <x:v>外盘回落参考 · 从 80% 控筹回落至 0%（每 10%）</x:v>
      </x:c>
      <x:c r="B71" s="67"/>
      <x:c r="C71" s="72"/>
      <x:c r="D71" s="78"/>
      <x:c r="E71" s="84"/>
      <x:c r="F71" s="90"/>
      <x:c r="G71" s="90"/>
      <x:c r="H71" s="26"/>
      <x:c r="I71" s="26"/>
      <x:c r="J71" s="26"/>
    </x:row>
    <x:row r="72" ht="28" customHeight="1">
      <x:c r="A72" s="60" t="str">
        <x:v>控筹率</x:v>
      </x:c>
      <x:c r="B72" s="66" t="str">
        <x:v>pooled token</x:v>
      </x:c>
      <x:c r="C72" s="71" t="str">
        <x:v>pooled SOL</x:v>
      </x:c>
      <x:c r="D72" s="77" t="str">
        <x:v>k</x:v>
      </x:c>
      <x:c r="E72" s="391" t="str">
        <x:v>价格 / SOL</x:v>
      </x:c>
      <x:c r="F72" s="391" t="str">
        <x:v>价格 / USDT</x:v>
      </x:c>
      <x:c r="G72" s="393" t="str">
        <x:v>市值 / SOL</x:v>
      </x:c>
      <x:c r="H72" s="393" t="str">
        <x:v>市值 / USD</x:v>
      </x:c>
      <x:c r="I72" s="331" t="str">
        <x:v>较 80% 回撤</x:v>
      </x:c>
      <x:c r="J72"/>
      <x:c r="K72"/>
    </x:row>
    <x:row r="73">
      <x:c r="A73" s="58" t="n">
        <x:v>0.8</x:v>
      </x:c>
      <x:c r="B73" s="64" t="n">
        <x:f>IF(ABS(A73-$B$6)&lt;0.000001,$D$4,$B$4*(1-A73))</x:f>
        <x:v>199999999.99999997</x:v>
      </x:c>
      <x:c r="C73" s="70" t="n">
        <x:f>IF(ABS(A73-$B$6)&lt;0.000001,$D$5,$D$6/B73)</x:f>
        <x:v>87.92252791035301</x:v>
      </x:c>
      <x:c r="D73" s="75" t="n">
        <x:f>B73*C73</x:f>
        <x:v>17584505582.0706</x:v>
      </x:c>
      <x:c r="E73" s="374" t="n">
        <x:f>C73/B73</x:f>
        <x:v>4.3961263955176514e-7</x:v>
      </x:c>
      <x:c r="F73" s="374" t="n">
        <x:f>IF(ISNUMBER(E73),E73*$B$3/'币价'!$B$12,"")</x:f>
        <x:v>0.000046677527342905434</x:v>
      </x:c>
      <x:c r="G73" s="379" t="n">
        <x:f>E73*$B$4</x:f>
        <x:v>439.61263955176514</x:v>
      </x:c>
      <x:c r="H73" s="379" t="n">
        <x:f>G73*$B$3</x:f>
        <x:v>46638.504930046765</x:v>
      </x:c>
      <x:c r="I73" s="408" t="n">
        <x:f>1-G73/$G$73</x:f>
        <x:v>0</x:v>
      </x:c>
      <x:c r="J73"/>
      <x:c r="K73"/>
    </x:row>
    <x:row r="74">
      <x:c r="A74" s="58" t="n">
        <x:v>0.7</x:v>
      </x:c>
      <x:c r="B74" s="64" t="n">
        <x:f>IF(ABS(A74-$B$6)&lt;0.000001,$D$4,$B$4*(1-A74))</x:f>
        <x:v>300000000.00000006</x:v>
      </x:c>
      <x:c r="C74" s="557" t="n">
        <x:f>IF(ABS(A74-$B$6)&lt;0.000001,$D$5,$D$6/B74)</x:f>
        <x:v>58.615018606901984</x:v>
      </x:c>
      <x:c r="D74" s="75" t="n">
        <x:f>B74*C74</x:f>
        <x:v>17584505582.0706</x:v>
      </x:c>
      <x:c r="E74" s="374" t="n">
        <x:f>C74/B74</x:f>
        <x:v>1.953833953563399e-7</x:v>
      </x:c>
      <x:c r="F74" s="374" t="n">
        <x:f>IF(ISNUMBER(E74),E74*$B$3/'币价'!$B$12,"")</x:f>
        <x:v>0.000020745567707957954</x:v>
      </x:c>
      <x:c r="G74" s="559" t="n">
        <x:f>E74*$B$4</x:f>
        <x:v>195.38339535633992</x:v>
      </x:c>
      <x:c r="H74" s="562" t="n">
        <x:f>G74*$B$3</x:f>
        <x:v>20728.224413354103</x:v>
      </x:c>
      <x:c r="I74" s="559" t="n">
        <x:f>1-G74/$G$73</x:f>
        <x:v>0.5555555555555559</x:v>
      </x:c>
      <x:c r="J74" s="555"/>
      <x:c r="K74" s="555"/>
    </x:row>
    <x:row r="75">
      <x:c r="A75" s="58" t="n">
        <x:v>0.6</x:v>
      </x:c>
      <x:c r="B75" s="64" t="n">
        <x:f>IF(ABS(A75-$B$6)&lt;0.000001,$D$4,$B$4*(1-A75))</x:f>
        <x:v>400000000</x:v>
      </x:c>
      <x:c r="C75" s="557" t="n">
        <x:f>IF(ABS(A75-$B$6)&lt;0.000001,$D$5,$D$6/B75)</x:f>
        <x:v>43.9612639551765</x:v>
      </x:c>
      <x:c r="D75" s="75" t="n">
        <x:f>B75*C75</x:f>
        <x:v>17584505582.0706</x:v>
      </x:c>
      <x:c r="E75" s="374" t="n">
        <x:f>C75/B75</x:f>
        <x:v>1.0990315988794125e-7</x:v>
      </x:c>
      <x:c r="F75" s="374" t="n">
        <x:f>IF(ISNUMBER(E75),E75*$B$3/'币价'!$B$12,"")</x:f>
        <x:v>0.000011669381835726355</x:v>
      </x:c>
      <x:c r="G75" s="559" t="n">
        <x:f>E75*$B$4</x:f>
        <x:v>109.90315988794124</x:v>
      </x:c>
      <x:c r="H75" s="562" t="n">
        <x:f>G75*$B$3</x:f>
        <x:v>11659.626232511688</x:v>
      </x:c>
      <x:c r="I75" s="559" t="n">
        <x:f>1-G75/$G$73</x:f>
        <x:v>0.7500000000000001</x:v>
      </x:c>
      <x:c r="J75" s="555"/>
      <x:c r="K75" s="555"/>
    </x:row>
    <x:row r="76">
      <x:c r="A76" s="58" t="n">
        <x:v>0.5</x:v>
      </x:c>
      <x:c r="B76" s="64" t="n">
        <x:f>IF(ABS(A76-$B$6)&lt;0.000001,$D$4,$B$4*(1-A76))</x:f>
        <x:v>500000000</x:v>
      </x:c>
      <x:c r="C76" s="557" t="n">
        <x:f>IF(ABS(A76-$B$6)&lt;0.000001,$D$5,$D$6/B76)</x:f>
        <x:v>35.169011164141196</x:v>
      </x:c>
      <x:c r="D76" s="75" t="n">
        <x:f>B76*C76</x:f>
        <x:v>17584505582.0706</x:v>
      </x:c>
      <x:c r="E76" s="374" t="n">
        <x:f>C76/B76</x:f>
        <x:v>7.03380223282824e-8</x:v>
      </x:c>
      <x:c r="F76" s="374" t="n">
        <x:f>IF(ISNUMBER(E76),E76*$B$3/'币价'!$B$12,"")</x:f>
        <x:v>0.000007468404374864866</x:v>
      </x:c>
      <x:c r="G76" s="559" t="n">
        <x:f>E76*$B$4</x:f>
        <x:v>70.33802232828239</x:v>
      </x:c>
      <x:c r="H76" s="562" t="n">
        <x:f>G76*$B$3</x:f>
        <x:v>7462.16078880748</x:v>
      </x:c>
      <x:c r="I76" s="559" t="n">
        <x:f>1-G76/$G$73</x:f>
        <x:v>0.8400000000000001</x:v>
      </x:c>
      <x:c r="J76" s="555"/>
      <x:c r="K76" s="555"/>
    </x:row>
    <x:row r="77">
      <x:c r="A77" s="58" t="n">
        <x:v>0.4</x:v>
      </x:c>
      <x:c r="B77" s="64" t="n">
        <x:f>IF(ABS(A77-$B$6)&lt;0.000001,$D$4,$B$4*(1-A77))</x:f>
        <x:v>600000000</x:v>
      </x:c>
      <x:c r="C77" s="557" t="n">
        <x:f>IF(ABS(A77-$B$6)&lt;0.000001,$D$5,$D$6/B77)</x:f>
        <x:v>29.307509303451</x:v>
      </x:c>
      <x:c r="D77" s="75" t="n">
        <x:f>B77*C77</x:f>
        <x:v>17584505582.0706</x:v>
      </x:c>
      <x:c r="E77" s="374" t="n">
        <x:f>C77/B77</x:f>
        <x:v>4.8845848839084996e-8</x:v>
      </x:c>
      <x:c r="F77" s="374" t="n">
        <x:f>IF(ISNUMBER(E77),E77*$B$3/'币价'!$B$12,"")</x:f>
        <x:v>0.00000518639192698949</x:v>
      </x:c>
      <x:c r="G77" s="559" t="n">
        <x:f>E77*$B$4</x:f>
        <x:v>48.845848839084994</x:v>
      </x:c>
      <x:c r="H77" s="562" t="n">
        <x:f>G77*$B$3</x:f>
        <x:v>5182.0561033385275</x:v>
      </x:c>
      <x:c r="I77" s="559" t="n">
        <x:f>1-G77/$G$73</x:f>
        <x:v>0.888888888888889</x:v>
      </x:c>
      <x:c r="J77" s="555"/>
      <x:c r="K77" s="555"/>
    </x:row>
    <x:row r="78">
      <x:c r="A78" s="58" t="n">
        <x:v>0.3</x:v>
      </x:c>
      <x:c r="B78" s="64" t="n">
        <x:f>IF(ABS(A78-$B$6)&lt;0.000001,$D$4,$B$4*(1-A78))</x:f>
        <x:v>700000000</x:v>
      </x:c>
      <x:c r="C78" s="557" t="n">
        <x:f>IF(ABS(A78-$B$6)&lt;0.000001,$D$5,$D$6/B78)</x:f>
        <x:v>25.120722260100855</x:v>
      </x:c>
      <x:c r="D78" s="75" t="n">
        <x:f>B78*C78</x:f>
        <x:v>17584505582.0706</x:v>
      </x:c>
      <x:c r="E78" s="374" t="n">
        <x:f>C78/B78</x:f>
        <x:v>3.5886746085858364e-8</x:v>
      </x:c>
      <x:c r="F78" s="374" t="n">
        <x:f>IF(ISNUMBER(E78),E78*$B$3/'币价'!$B$12,"")</x:f>
        <x:v>0.0000038104103953392173</x:v>
      </x:c>
      <x:c r="G78" s="559" t="n">
        <x:f>E78*$B$4</x:f>
        <x:v>35.88674608585836</x:v>
      </x:c>
      <x:c r="H78" s="562" t="n">
        <x:f>G78*$B$3</x:f>
        <x:v>3807.224892248714</x:v>
      </x:c>
      <x:c r="I78" s="559" t="n">
        <x:f>1-G78/$G$73</x:f>
        <x:v>0.9183673469387755</x:v>
      </x:c>
      <x:c r="J78" s="555"/>
      <x:c r="K78" s="555"/>
    </x:row>
    <x:row r="79">
      <x:c r="A79" s="58" t="n">
        <x:v>0.2</x:v>
      </x:c>
      <x:c r="B79" s="64" t="n">
        <x:f>IF(ABS(A79-$B$6)&lt;0.000001,$D$4,$B$4*(1-A79))</x:f>
        <x:v>800000000</x:v>
      </x:c>
      <x:c r="C79" s="557" t="n">
        <x:f>IF(ABS(A79-$B$6)&lt;0.000001,$D$5,$D$6/B79)</x:f>
        <x:v>21.98063197758825</x:v>
      </x:c>
      <x:c r="D79" s="75" t="n">
        <x:f>B79*C79</x:f>
        <x:v>17584505582.0706</x:v>
      </x:c>
      <x:c r="E79" s="374" t="n">
        <x:f>C79/B79</x:f>
        <x:v>2.747578997198531e-8</x:v>
      </x:c>
      <x:c r="F79" s="374" t="n">
        <x:f>IF(ISNUMBER(E79),E79*$B$3/'币价'!$B$12,"")</x:f>
        <x:v>0.000002917345458931589</x:v>
      </x:c>
      <x:c r="G79" s="559" t="n">
        <x:f>E79*$B$4</x:f>
        <x:v>27.47578997198531</x:v>
      </x:c>
      <x:c r="H79" s="562" t="n">
        <x:f>G79*$B$3</x:f>
        <x:v>2914.906558127922</x:v>
      </x:c>
      <x:c r="I79" s="559" t="n">
        <x:f>1-G79/$G$73</x:f>
        <x:v>0.9375</x:v>
      </x:c>
      <x:c r="J79" s="555"/>
      <x:c r="K79" s="555"/>
    </x:row>
    <x:row r="80">
      <x:c r="A80" s="58" t="n">
        <x:v>0.1</x:v>
      </x:c>
      <x:c r="B80" s="64" t="n">
        <x:f>IF(ABS(A80-$B$6)&lt;0.000001,$D$4,$B$4*(1-A80))</x:f>
        <x:v>900000000</x:v>
      </x:c>
      <x:c r="C80" s="557" t="n">
        <x:f>IF(ABS(A80-$B$6)&lt;0.000001,$D$5,$D$6/B80)</x:f>
        <x:v>19.538339535633998</x:v>
      </x:c>
      <x:c r="D80" s="75" t="n">
        <x:f>B80*C80</x:f>
        <x:v>17584505582.0706</x:v>
      </x:c>
      <x:c r="E80" s="374" t="n">
        <x:f>C80/B80</x:f>
        <x:v>2.170926615070444e-8</x:v>
      </x:c>
      <x:c r="F80" s="374" t="n">
        <x:f>IF(ISNUMBER(E80),E80*$B$3/'币价'!$B$12,"")</x:f>
        <x:v>0.000002305063078661996</x:v>
      </x:c>
      <x:c r="G80" s="559" t="n">
        <x:f>E80*$B$4</x:f>
        <x:v>21.70926615070444</x:v>
      </x:c>
      <x:c r="H80" s="562" t="n">
        <x:f>G80*$B$3</x:f>
        <x:v>2303.136045928234</x:v>
      </x:c>
      <x:c r="I80" s="559" t="n">
        <x:f>1-G80/$G$73</x:f>
        <x:v>0.9506172839506173</x:v>
      </x:c>
      <x:c r="J80" s="555"/>
      <x:c r="K80" s="555"/>
    </x:row>
    <x:row r="81">
      <x:c r="A81" s="62" t="n">
        <x:v>0</x:v>
      </x:c>
      <x:c r="B81" s="68" t="n">
        <x:f>IF(ABS(A81-$B$6)&lt;0.000001,$D$4,$B$4*(1-A81))</x:f>
        <x:v>1000000000</x:v>
      </x:c>
      <x:c r="C81" s="563" t="n">
        <x:f>IF(ABS(A81-$B$6)&lt;0.000001,$D$5,$D$6/B81)</x:f>
        <x:v>17.584505582070598</x:v>
      </x:c>
      <x:c r="D81" s="79" t="n">
        <x:f>B81*C81</x:f>
        <x:v>17584505582.0706</x:v>
      </x:c>
      <x:c r="E81" s="412" t="n">
        <x:f>C81/B81</x:f>
        <x:v>1.75845055820706e-8</x:v>
      </x:c>
      <x:c r="F81" s="412" t="n">
        <x:f>IF(ISNUMBER(E81),E81*$B$3/'币价'!$B$12,"")</x:f>
        <x:v>0.0000018671010937162165</x:v>
      </x:c>
      <x:c r="G81" s="564" t="n">
        <x:f>E81*$B$4</x:f>
        <x:v>17.584505582070598</x:v>
      </x:c>
      <x:c r="H81" s="565" t="n">
        <x:f>G81*$B$3</x:f>
        <x:v>1865.54019720187</x:v>
      </x:c>
      <x:c r="I81" s="564" t="n">
        <x:f>1-G81/$G$73</x:f>
        <x:v>0.96</x:v>
      </x:c>
      <x:c r="J81" s="564" t="str">
        <x:v>沉没成本</x:v>
      </x:c>
      <x:c r="K81" s="564" t="n">
        <x:f>C81</x:f>
        <x:v>17.584505582070598</x:v>
      </x:c>
    </x:row>
    <x:row r="82">
      <x:c r="B82" s="65" t="n">
        <x:f>IF(ABS(A82-$B$6)&lt;0.000001,$D$4,$B$4*(1-A82))</x:f>
        <x:v>1000000000</x:v>
      </x:c>
      <x:c r="C82" s="555"/>
      <x:c r="G82" s="555"/>
      <x:c r="H82" s="65"/>
      <x:c r="I82" s="555"/>
      <x:c r="J82" s="555"/>
      <x:c r="K82" s="555"/>
    </x:row>
  </x:sheetData>
  <x:mergeCells>
    <x:mergeCell ref="A1:J1"/>
    <x:mergeCell ref="A71:J7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0" hidden="0" customWidth="1"/>
    <x:col min="7" max="7" width="16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4" t="str">
        <x:v>LetsBonk / USD1 · 发射控筹模型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55" t="str">
        <x:v>Quote USD 价格</x:v>
      </x:c>
      <x:c r="B3" s="50" t="n">
        <x:f>1</x:f>
        <x:v>1</x:v>
      </x:c>
      <x:c r="C3" s="56" t="str">
        <x:v>内盘 k</x:v>
      </x:c>
      <x:c r="D3" s="51" t="n">
        <x:v>4796424458820</x:v>
      </x:c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s="55" t="str">
        <x:v>total supply</x:v>
      </x:c>
      <x:c r="B4" s="51" t="n">
        <x:v>1000000000</x:v>
      </x:c>
      <x:c r="C4" s="56" t="str">
        <x:v>外盘初始 token</x:v>
      </x:c>
      <x:c r="D4" s="51" t="n">
        <x:v>206900000</x:v>
      </x:c>
      <x:c r="G4" t="str">
        <x:v>单地址 Gas / SOL</x:v>
      </x:c>
      <x:c r="H4" s="99" t="n">
        <x:v>0.1</x:v>
      </x:c>
      <x:c r="I4" t="str">
        <x:v>Holder 地址</x:v>
      </x:c>
      <x:c r="J4" s="100" t="n">
        <x:v>150</x:v>
      </x:c>
    </x:row>
    <x:row r="5">
      <x:c r="A5" s="55" t="str">
        <x:v>内盘毕业所需</x:v>
      </x:c>
      <x:c r="B5" s="51" t="n">
        <x:f>K21</x:f>
        <x:v>12854.609502926287</x:v>
      </x:c>
      <x:c r="C5" s="56" t="str">
        <x:v>外盘初始 Quote</x:v>
      </x:c>
      <x:c r="D5" s="51" t="n">
        <x:v>12500</x:v>
      </x:c>
      <x:c r="G5" t="str">
        <x:v>资金预留 / USD1</x:v>
      </x:c>
      <x:c r="H5" s="553" t="n">
        <x:f>IF($B$3&gt;0,ROUNDUP('币价'!$B$15/($B$3/'币价'!$B$12),0),"")</x:f>
        <x:v>9992</x:v>
      </x:c>
      <x:c r="I5" t="str">
        <x:v>默认目标控筹率</x:v>
      </x:c>
      <x:c r="J5" s="102" t="n">
        <x:v>0.94</x:v>
      </x:c>
    </x:row>
    <x:row r="6">
      <x:c r="A6" s="55" t="str">
        <x:v>毕业控筹率</x:v>
      </x:c>
      <x:c r="B6" s="52" t="n">
        <x:v>0.7931</x:v>
      </x:c>
      <x:c r="C6" s="56" t="str">
        <x:v>外盘 k</x:v>
      </x:c>
      <x:c r="D6" s="51" t="n">
        <x:v>2586250000000</x:v>
      </x:c>
      <x:c r="G6" t="str">
        <x:v>洗筹口径</x:v>
      </x:c>
      <x:c r="H6" s="95" t="str">
        <x:v>FDV × 外盘费率 × 2</x:v>
      </x:c>
      <x:c r="I6" t="str">
        <x:v>目标 +1% 理论资金</x:v>
      </x:c>
      <x:c r="J6" s="566" t="n">
        <x:f>INDEX($K$25:$K$65,ROUND(($J$5+1%-80%)/0.5%,0)+1)</x:f>
        <x:v>52569.92200292624</x:v>
      </x:c>
    </x:row>
    <x:row r="7">
      <x:c r="A7" s="55" t="str">
        <x:v>内盘交易手续费</x:v>
      </x:c>
      <x:c r="B7" s="52" t="n">
        <x:v>0.015</x:v>
      </x:c>
      <x:c r="C7"/>
      <x:c r="D7"/>
      <x:c r="G7" t="str">
        <x:v>内盘地址 / 套</x:v>
      </x:c>
      <x:c r="H7" s="100" t="n">
        <x:v>20</x:v>
      </x:c>
      <x:c r="I7" t="str">
        <x:v>额外内盘资金</x:v>
      </x:c>
      <x:c r="J7" s="566" t="n">
        <x:f>$B$5*($H$8-1)</x:f>
        <x:v>12854.609502926287</x:v>
      </x:c>
    </x:row>
    <x:row r="8">
      <x:c r="A8" s="55" t="str">
        <x:v>外盘交易手续费</x:v>
      </x:c>
      <x:c r="B8" s="52" t="n">
        <x:v>0.0125</x:v>
      </x:c>
      <x:c r="C8"/>
      <x:c r="D8"/>
      <x:c r="G8" t="str">
        <x:v>内盘套数</x:v>
      </x:c>
      <x:c r="H8" s="100" t="n">
        <x:v>2</x:v>
      </x:c>
      <x:c r="I8" t="str">
        <x:v>动态洗筹手续费</x:v>
      </x:c>
      <x:c r="J8" s="566" t="n">
        <x:f>INDEX($G$25:$G$65,ROUND(($J$5+1%-80%)/0.5%,0)+1)*$H$9*2</x:f>
        <x:v>25862.499999999956</x:v>
      </x:c>
    </x:row>
    <x:row r="9">
      <x:c r="A9" s="55" t="str">
        <x:v>内盘初始 token</x:v>
      </x:c>
      <x:c r="B9" s="51" t="n">
        <x:v>1073025606</x:v>
      </x:c>
      <x:c r="C9"/>
      <x:c r="D9"/>
      <x:c r="G9" t="str">
        <x:v>外盘费率</x:v>
      </x:c>
      <x:c r="H9" s="101" t="n">
        <x:f>$B$8</x:f>
        <x:v>0.0125</x:v>
      </x:c>
      <x:c r="I9" t="str">
        <x:v>建议 Quote 资金</x:v>
      </x:c>
      <x:c r="J9" s="566" t="n">
        <x:f>IF(AND(ISNUMBER($J$6),ISNUMBER($H$5)),SUM(J6:J8)+$H$5,"")</x:f>
        <x:v>101279.03150585249</x:v>
      </x:c>
    </x:row>
    <x:row r="10">
      <x:c r="A10" s="55" t="str">
        <x:v>内盘初始 Quote</x:v>
      </x:c>
      <x:c r="B10" s="51" t="n">
        <x:v>4470</x:v>
      </x:c>
      <x:c r="C10"/>
      <x:c r="D10"/>
      <x:c r="G10" t="str">
        <x:v>滑点预留</x:v>
      </x:c>
      <x:c r="H10" s="102" t="n">
        <x:v>0</x:v>
      </x:c>
      <x:c r="I10" t="str">
        <x:v>Gas 储备 / SOL</x:v>
      </x:c>
      <x:c r="J10" s="554" t="n">
        <x:f>($H$7*$H$8+$J$3+$J$4)*$H$4</x:f>
        <x:v>22</x:v>
      </x:c>
    </x:row>
    <x:row r="11">
      <x:c r="J11" s="65"/>
    </x:row>
    <x:row r="12" ht="34" customHeight="1">
      <x:c r="A12" s="10" t="str">
        <x:v>控筹率</x:v>
      </x:c>
      <x:c r="B12" s="10" t="str">
        <x:v>pooled token</x:v>
      </x:c>
      <x:c r="C12" s="10" t="str">
        <x:v>pooled USD1</x:v>
      </x:c>
      <x:c r="D12" s="10" t="str">
        <x:v>k</x:v>
      </x:c>
      <x:c r="E12" s="331" t="str">
        <x:v>价格 / USD1</x:v>
      </x:c>
      <x:c r="F12" s="331" t="str">
        <x:v>价格 / USDT</x:v>
      </x:c>
      <x:c r="G12" s="331" t="str">
        <x:v>市值 / USD1</x:v>
      </x:c>
      <x:c r="H12" s="331" t="str">
        <x:v>市值 / USD</x:v>
      </x:c>
      <x:c r="I12" s="331" t="str">
        <x:v>所需 USD1</x:v>
      </x:c>
      <x:c r="J12" s="331" t="str">
        <x:v>加手续费</x:v>
      </x:c>
      <x:c r="K12" s="344" t="str">
        <x:v>理论累计所需</x:v>
      </x:c>
    </x:row>
    <x:row r="13">
      <x:c r="A13" s="57" t="n">
        <x:v>0</x:v>
      </x:c>
      <x:c r="B13" s="63" t="n">
        <x:f>$B$9-A13*$B$4</x:f>
        <x:v>1073025606</x:v>
      </x:c>
      <x:c r="C13" s="63" t="n">
        <x:f>$D$3/B13</x:f>
        <x:v>4470</x:v>
      </x:c>
      <x:c r="D13" s="74" t="n">
        <x:f>B13*C13</x:f>
        <x:v>4796424458820</x:v>
      </x:c>
      <x:c r="E13" s="348" t="n">
        <x:f>C13/B13</x:f>
        <x:v>0.000004165790615811269</x:v>
      </x:c>
      <x:c r="F13" s="348" t="n">
        <x:f>IF(ISNUMBER(E13),E13*$B$3/'币价'!$B$12,"")</x:f>
        <x:v>0.000004169276130656498</x:v>
      </x:c>
      <x:c r="G13" s="561" t="n">
        <x:f>E13*$B$4</x:f>
        <x:v>4165.790615811269</x:v>
      </x:c>
      <x:c r="H13" s="561" t="n">
        <x:f>G13*$B$3</x:f>
        <x:v>4165.790615811269</x:v>
      </x:c>
      <x:c r="I13" s="561" t="n">
        <x:f>0</x:f>
        <x:v>0</x:v>
      </x:c>
      <x:c r="J13" s="561" t="n">
        <x:f>I13*(1+$B$7)</x:f>
        <x:v>0</x:v>
      </x:c>
      <x:c r="K13" s="567" t="n">
        <x:f>0</x:f>
        <x:v>0</x:v>
      </x:c>
    </x:row>
    <x:row r="14">
      <x:c r="A14" s="58" t="n">
        <x:v>0.1</x:v>
      </x:c>
      <x:c r="B14" s="64" t="n">
        <x:f>$B$9-A14*$B$4</x:f>
        <x:v>973025606</x:v>
      </x:c>
      <x:c r="C14" s="64" t="n">
        <x:f>$D$3/B14</x:f>
        <x:v>4929.391815840867</x:v>
      </x:c>
      <x:c r="D14" s="75" t="n">
        <x:f>B14*C14</x:f>
        <x:v>4796424458820</x:v>
      </x:c>
      <x:c r="E14" s="374" t="n">
        <x:f>C14/B14</x:f>
        <x:v>0.000005066045318277952</x:v>
      </x:c>
      <x:c r="F14" s="374" t="n">
        <x:f>IF(ISNUMBER(E14),E14*$B$3/'币价'!$B$12,"")</x:f>
        <x:v>0.000005070284075765291</x:v>
      </x:c>
      <x:c r="G14" s="562" t="n">
        <x:f>E14*$B$4</x:f>
        <x:v>5066.045318277952</x:v>
      </x:c>
      <x:c r="H14" s="562" t="n">
        <x:f>G14*$B$3</x:f>
        <x:v>5066.045318277952</x:v>
      </x:c>
      <x:c r="I14" s="562" t="n">
        <x:f>C14-C13</x:f>
        <x:v>459.3918158408669</x:v>
      </x:c>
      <x:c r="J14" s="562" t="n">
        <x:f>I14*(1+$B$7)</x:f>
        <x:v>466.2826930784799</x:v>
      </x:c>
      <x:c r="K14" s="567" t="n">
        <x:f>K13+J14</x:f>
        <x:v>466.2826930784799</x:v>
      </x:c>
    </x:row>
    <x:row r="15">
      <x:c r="A15" s="58" t="n">
        <x:v>0.2</x:v>
      </x:c>
      <x:c r="B15" s="64" t="n">
        <x:f>$B$9-A15*$B$4</x:f>
        <x:v>873025606</x:v>
      </x:c>
      <x:c r="C15" s="64" t="n">
        <x:f>$D$3/B15</x:f>
        <x:v>5494.0249470987455</x:v>
      </x:c>
      <x:c r="D15" s="75" t="n">
        <x:f>B15*C15</x:f>
        <x:v>4796424458820</x:v>
      </x:c>
      <x:c r="E15" s="374" t="n">
        <x:f>C15/B15</x:f>
        <x:v>0.000006293085688827718</x:v>
      </x:c>
      <x:c r="F15" s="374" t="n">
        <x:f>IF(ISNUMBER(E15),E15*$B$3/'币价'!$B$12,"")</x:f>
        <x:v>0.000006298351110355975</x:v>
      </x:c>
      <x:c r="G15" s="562" t="n">
        <x:f>E15*$B$4</x:f>
        <x:v>6293.085688827718</x:v>
      </x:c>
      <x:c r="H15" s="562" t="n">
        <x:f>G15*$B$3</x:f>
        <x:v>6293.085688827718</x:v>
      </x:c>
      <x:c r="I15" s="562" t="n">
        <x:f>C15-C14</x:f>
        <x:v>564.6331312578786</x:v>
      </x:c>
      <x:c r="J15" s="562" t="n">
        <x:f>I15*(1+$B$7)</x:f>
        <x:v>573.1026282267468</x:v>
      </x:c>
      <x:c r="K15" s="567" t="n">
        <x:f>K14+J15</x:f>
        <x:v>1039.3853213052266</x:v>
      </x:c>
    </x:row>
    <x:row r="16">
      <x:c r="A16" s="58" t="n">
        <x:v>0.3</x:v>
      </x:c>
      <x:c r="B16" s="64" t="n">
        <x:f>$B$9-A16*$B$4</x:f>
        <x:v>773025606</x:v>
      </x:c>
      <x:c r="C16" s="64" t="n">
        <x:f>$D$3/B16</x:f>
        <x:v>6204.7420183646545</x:v>
      </x:c>
      <x:c r="D16" s="75" t="n">
        <x:f>B16*C16</x:f>
        <x:v>4796424458820</x:v>
      </x:c>
      <x:c r="E16" s="374" t="n">
        <x:f>C16/B16</x:f>
        <x:v>0.000008026567257546517</x:v>
      </x:c>
      <x:c r="F16" s="374" t="n">
        <x:f>IF(ISNUMBER(E16),E16*$B$3/'币价'!$B$12,"")</x:f>
        <x:v>0.000008033283082203238</x:v>
      </x:c>
      <x:c r="G16" s="562" t="n">
        <x:f>E16*$B$4</x:f>
        <x:v>8026.567257546517</x:v>
      </x:c>
      <x:c r="H16" s="562" t="n">
        <x:f>G16*$B$3</x:f>
        <x:v>8026.567257546517</x:v>
      </x:c>
      <x:c r="I16" s="562" t="n">
        <x:f>C16-C15</x:f>
        <x:v>710.717071265909</x:v>
      </x:c>
      <x:c r="J16" s="562" t="n">
        <x:f>I16*(1+$B$7)</x:f>
        <x:v>721.3778273348976</x:v>
      </x:c>
      <x:c r="K16" s="567" t="n">
        <x:f>K15+J16</x:f>
        <x:v>1760.7631486401242</x:v>
      </x:c>
    </x:row>
    <x:row r="17">
      <x:c r="A17" s="58" t="n">
        <x:v>0.4</x:v>
      </x:c>
      <x:c r="B17" s="64" t="n">
        <x:f>$B$9-A17*$B$4</x:f>
        <x:v>673025606</x:v>
      </x:c>
      <x:c r="C17" s="64" t="n">
        <x:f>$D$3/B17</x:f>
        <x:v>7126.659693271759</x:v>
      </x:c>
      <x:c r="D17" s="75" t="n">
        <x:f>B17*C17</x:f>
        <x:v>4796424458820</x:v>
      </x:c>
      <x:c r="E17" s="374" t="n">
        <x:f>C17/B17</x:f>
        <x:v>0.000010588987446744722</x:v>
      </x:c>
      <x:c r="F17" s="374" t="n">
        <x:f>IF(ISNUMBER(E17),E17*$B$3/'币价'!$B$12,"")</x:f>
        <x:v>0.00001059784724704325</x:v>
      </x:c>
      <x:c r="G17" s="562" t="n">
        <x:f>E17*$B$4</x:f>
        <x:v>10588.987446744723</x:v>
      </x:c>
      <x:c r="H17" s="562" t="n">
        <x:f>G17*$B$3</x:f>
        <x:v>10588.987446744723</x:v>
      </x:c>
      <x:c r="I17" s="562" t="n">
        <x:f>C17-C16</x:f>
        <x:v>921.9176749071048</x:v>
      </x:c>
      <x:c r="J17" s="562" t="n">
        <x:f>I17*(1+$B$7)</x:f>
        <x:v>935.7464400307113</x:v>
      </x:c>
      <x:c r="K17" s="567" t="n">
        <x:f>K16+J17</x:f>
        <x:v>2696.5095886708355</x:v>
      </x:c>
    </x:row>
    <x:row r="18">
      <x:c r="A18" s="58" t="n">
        <x:v>0.5</x:v>
      </x:c>
      <x:c r="B18" s="64" t="n">
        <x:f>$B$9-A18*$B$4</x:f>
        <x:v>573025606</x:v>
      </x:c>
      <x:c r="C18" s="64" t="n">
        <x:f>$D$3/B18</x:f>
        <x:v>8370.349262926306</x:v>
      </x:c>
      <x:c r="D18" s="75" t="n">
        <x:f>B18*C18</x:f>
        <x:v>4796424458820</x:v>
      </x:c>
      <x:c r="E18" s="374" t="n">
        <x:f>C18/B18</x:f>
        <x:v>0.00001460728661212097</x:v>
      </x:c>
      <x:c r="F18" s="374" t="n">
        <x:f>IF(ISNUMBER(E18),E18*$B$3/'币价'!$B$12,"")</x:f>
        <x:v>0.00001461950852124473</x:v>
      </x:c>
      <x:c r="G18" s="562" t="n">
        <x:f>E18*$B$4</x:f>
        <x:v>14607.28661212097</x:v>
      </x:c>
      <x:c r="H18" s="562" t="n">
        <x:f>G18*$B$3</x:f>
        <x:v>14607.28661212097</x:v>
      </x:c>
      <x:c r="I18" s="562" t="n">
        <x:f>C18-C17</x:f>
        <x:v>1243.6895696545462</x:v>
      </x:c>
      <x:c r="J18" s="562" t="n">
        <x:f>I18*(1+$B$7)</x:f>
        <x:v>1262.3449131993643</x:v>
      </x:c>
      <x:c r="K18" s="567" t="n">
        <x:f>K17+J18</x:f>
        <x:v>3958.8545018702</x:v>
      </x:c>
    </x:row>
    <x:row r="19">
      <x:c r="A19" s="58" t="n">
        <x:v>0.6</x:v>
      </x:c>
      <x:c r="B19" s="64" t="n">
        <x:f>$B$9-A19*$B$4</x:f>
        <x:v>473025606</x:v>
      </x:c>
      <x:c r="C19" s="64" t="n">
        <x:f>$D$3/B19</x:f>
        <x:v>10139.883333969028</x:v>
      </x:c>
      <x:c r="D19" s="75" t="n">
        <x:f>B19*C19</x:f>
        <x:v>4796424458820</x:v>
      </x:c>
      <x:c r="E19" s="374" t="n">
        <x:f>C19/B19</x:f>
        <x:v>0.000021436225027465062</x:v>
      </x:c>
      <x:c r="F19" s="374" t="n">
        <x:f>IF(ISNUMBER(E19),E19*$B$3/'币价'!$B$12,"")</x:f>
        <x:v>0.000021454160705815122</x:v>
      </x:c>
      <x:c r="G19" s="562" t="n">
        <x:f>E19*$B$4</x:f>
        <x:v>21436.22502746506</x:v>
      </x:c>
      <x:c r="H19" s="562" t="n">
        <x:f>G19*$B$3</x:f>
        <x:v>21436.22502746506</x:v>
      </x:c>
      <x:c r="I19" s="562" t="n">
        <x:f>C19-C18</x:f>
        <x:v>1769.5340710427226</x:v>
      </x:c>
      <x:c r="J19" s="562" t="n">
        <x:f>I19*(1+$B$7)</x:f>
        <x:v>1796.0770821083634</x:v>
      </x:c>
      <x:c r="K19" s="567" t="n">
        <x:f>K18+J19</x:f>
        <x:v>5754.931583978563</x:v>
      </x:c>
    </x:row>
    <x:row r="20">
      <x:c r="A20" s="58" t="n">
        <x:v>0.7</x:v>
      </x:c>
      <x:c r="B20" s="64" t="n">
        <x:f>$B$9-A20*$B$4</x:f>
        <x:v>373025606</x:v>
      </x:c>
      <x:c r="C20" s="64" t="n">
        <x:f>$D$3/B20</x:f>
        <x:v>12858.16410903438</x:v>
      </x:c>
      <x:c r="D20" s="75" t="n">
        <x:f>B20*C20</x:f>
        <x:v>4796424458820</x:v>
      </x:c>
      <x:c r="E20" s="374" t="n">
        <x:f>C20/B20</x:f>
        <x:v>0.00003446992351788949</x:v>
      </x:c>
      <x:c r="F20" s="374" t="n">
        <x:f>IF(ISNUMBER(E20),E20*$B$3/'币价'!$B$12,"")</x:f>
        <x:v>0.00003449876448499895</x:v>
      </x:c>
      <x:c r="G20" s="562" t="n">
        <x:f>E20*$B$4</x:f>
        <x:v>34469.923517889496</x:v>
      </x:c>
      <x:c r="H20" s="562" t="n">
        <x:f>G20*$B$3</x:f>
        <x:v>34469.923517889496</x:v>
      </x:c>
      <x:c r="I20" s="562" t="n">
        <x:f>C20-C19</x:f>
        <x:v>2718.280775065352</x:v>
      </x:c>
      <x:c r="J20" s="562" t="n">
        <x:f>I20*(1+$B$7)</x:f>
        <x:v>2759.054986691332</x:v>
      </x:c>
      <x:c r="K20" s="567" t="n">
        <x:f>K19+J20</x:f>
        <x:v>8513.986570669895</x:v>
      </x:c>
    </x:row>
    <x:row r="21">
      <x:c r="A21" s="57" t="n">
        <x:v>0.7931</x:v>
      </x:c>
      <x:c r="B21" s="63" t="n">
        <x:f>$B$9-A21*$B$4</x:f>
        <x:v>279925606</x:v>
      </x:c>
      <x:c r="C21" s="63" t="n">
        <x:f>$D$3/B21</x:f>
        <x:v>17134.639904360876</x:v>
      </x:c>
      <x:c r="D21" s="74" t="n">
        <x:f>B21*C21</x:f>
        <x:v>4796424458820</x:v>
      </x:c>
      <x:c r="E21" s="348" t="n">
        <x:f>C21/B21</x:f>
        <x:v>0.00006121140594891086</x:v>
      </x:c>
      <x:c r="F21" s="348" t="n">
        <x:f>IF(ISNUMBER(E21),E21*$B$3/'币价'!$B$12,"")</x:f>
        <x:v>0.00006126262150048526</x:v>
      </x:c>
      <x:c r="G21" s="561" t="n">
        <x:f>E21*$B$4</x:f>
        <x:v>61211.40594891086</x:v>
      </x:c>
      <x:c r="H21" s="561" t="n">
        <x:f>G21*$B$3</x:f>
        <x:v>61211.40594891086</x:v>
      </x:c>
      <x:c r="I21" s="561" t="n">
        <x:f>C21-C20</x:f>
        <x:v>4276.475795326496</x:v>
      </x:c>
      <x:c r="J21" s="561" t="n">
        <x:f>I21*(1+$B$7)</x:f>
        <x:v>4340.622932256393</x:v>
      </x:c>
      <x:c r="K21" s="567" t="n">
        <x:f>K20+J21</x:f>
        <x:v>12854.609502926287</x:v>
      </x:c>
    </x:row>
    <x:row r="22">
      <x:c r="A22" s="59"/>
      <x:c r="B22" s="65"/>
      <x:c r="C22" s="17"/>
      <x:c r="D22" s="76"/>
      <x:c r="E22" s="82"/>
      <x:c r="F22" s="88"/>
      <x:c r="G22" s="88"/>
    </x:row>
    <x:row r="23">
      <x:c r="A23" s="59"/>
      <x:c r="B23" s="65"/>
      <x:c r="C23" s="17"/>
      <x:c r="D23" s="76"/>
      <x:c r="E23" s="82"/>
      <x:c r="F23" s="88"/>
      <x:c r="G23" s="88"/>
    </x:row>
    <x:row r="24" ht="34" customHeight="1">
      <x:c r="A24" s="60" t="str">
        <x:v>控筹率</x:v>
      </x:c>
      <x:c r="B24" s="66" t="str">
        <x:v>pooled token</x:v>
      </x:c>
      <x:c r="C24" s="71" t="str">
        <x:v>pooled USD1</x:v>
      </x:c>
      <x:c r="D24" s="77" t="str">
        <x:v>k</x:v>
      </x:c>
      <x:c r="E24" s="391" t="str">
        <x:v>价格 / USD1</x:v>
      </x:c>
      <x:c r="F24" s="391" t="str">
        <x:v>价格 / USDT</x:v>
      </x:c>
      <x:c r="G24" s="393" t="str">
        <x:v>市值 / USD1</x:v>
      </x:c>
      <x:c r="H24" s="393" t="str">
        <x:v>市值 / USD</x:v>
      </x:c>
      <x:c r="I24" s="331" t="str">
        <x:v>所需 USD1</x:v>
      </x:c>
      <x:c r="J24" s="331" t="str">
        <x:v>加手续费</x:v>
      </x:c>
      <x:c r="K24" s="344" t="str">
        <x:v>理论累计所需</x:v>
      </x:c>
    </x:row>
    <x:row r="25">
      <x:c r="A25" s="57" t="n">
        <x:v>0.8</x:v>
      </x:c>
      <x:c r="B25" s="63" t="n">
        <x:f>IF(A25&gt;=1,"",IF(ABS(A25-$B$6)&lt;0.000001,$D$4,$B$4*(1-A25)))</x:f>
        <x:v>199999999.99999997</x:v>
      </x:c>
      <x:c r="C25" s="63" t="n">
        <x:f>IF(A25&gt;=1,"",IF(ABS(A25-$B$6)&lt;0.000001,$D$5,$D$6/B25))</x:f>
        <x:v>12931.250000000002</x:v>
      </x:c>
      <x:c r="D25" s="74" t="n">
        <x:f>IF(A25&gt;=1,"",B25*C25)</x:f>
        <x:v>2586250000000</x:v>
      </x:c>
      <x:c r="E25" s="348" t="n">
        <x:f>IF(A25&gt;=1,"",C25/B25)</x:f>
        <x:v>0.00006465625000000002</x:v>
      </x:c>
      <x:c r="F25" s="348" t="n">
        <x:f>IF(ISNUMBER(E25),E25*$B$3/'币价'!$B$12,"")</x:f>
        <x:v>0.00006471034785080328</x:v>
      </x:c>
      <x:c r="G25" s="561" t="n">
        <x:f>IF(A25&gt;=1,"",E25*$B$4)</x:f>
        <x:v>64656.250000000015</x:v>
      </x:c>
      <x:c r="H25" s="561" t="n">
        <x:f>IF(A25&gt;=1,"",G25*$B$3)</x:f>
        <x:v>64656.250000000015</x:v>
      </x:c>
      <x:c r="I25" s="561" t="n">
        <x:f>IF(A25&gt;=1,"",C25-$D$5)</x:f>
        <x:v>431.2500000000018</x:v>
      </x:c>
      <x:c r="J25" s="561" t="n">
        <x:f>IF(A25&gt;=1,"",I25*(1+$B$8))</x:f>
        <x:v>436.6406250000018</x:v>
      </x:c>
      <x:c r="K25" s="567" t="n">
        <x:f>IF(A25&gt;=1,"不可达",$B$5+(C25-$D$5)*(1+$B$8))</x:f>
        <x:v>13291.250127926289</x:v>
      </x:c>
    </x:row>
    <x:row r="26">
      <x:c r="A26" s="58" t="n">
        <x:v>0.805</x:v>
      </x:c>
      <x:c r="B26" s="64" t="n">
        <x:f>IF(A26&gt;=1,"",IF(ABS(A26-$B$6)&lt;0.000001,$D$4,$B$4*(1-A26)))</x:f>
        <x:v>194999999.99999994</x:v>
      </x:c>
      <x:c r="C26" s="64" t="n">
        <x:f>IF(A26&gt;=1,"",IF(ABS(A26-$B$6)&lt;0.000001,$D$5,$D$6/B26))</x:f>
        <x:v>13262.820512820517</x:v>
      </x:c>
      <x:c r="D26" s="75" t="n">
        <x:f>IF(A26&gt;=1,"",B26*C26)</x:f>
        <x:v>2586250000000</x:v>
      </x:c>
      <x:c r="E26" s="374" t="n">
        <x:f>IF(A26&gt;=1,"",C26/B26)</x:f>
        <x:v>0.00006801446416831037</x:v>
      </x:c>
      <x:c r="F26" s="374" t="n">
        <x:f>IF(ISNUMBER(E26),E26*$B$3/'币价'!$B$12,"")</x:f>
        <x:v>0.00006807137183516457</x:v>
      </x:c>
      <x:c r="G26" s="562" t="n">
        <x:f>IF(A26&gt;=1,"",E26*$B$4)</x:f>
        <x:v>68014.46416831037</x:v>
      </x:c>
      <x:c r="H26" s="562" t="n">
        <x:f>IF(A26&gt;=1,"",G26*$B$3)</x:f>
        <x:v>68014.46416831037</x:v>
      </x:c>
      <x:c r="I26" s="562" t="n">
        <x:f>IF(A26&gt;=1,"",C26-C25)</x:f>
        <x:v>331.57051282051543</x:v>
      </x:c>
      <x:c r="J26" s="562" t="n">
        <x:f>IF(A26&gt;=1,"",I26*(1+$B$8))</x:f>
        <x:v>335.71514423077184</x:v>
      </x:c>
      <x:c r="K26" s="567" t="n">
        <x:f>IF(A26&gt;=1,"不可达",$B$5+(C26-$D$5)*(1+$B$8))</x:f>
        <x:v>13626.96527215706</x:v>
      </x:c>
    </x:row>
    <x:row r="27">
      <x:c r="A27" s="58" t="n">
        <x:v>0.81</x:v>
      </x:c>
      <x:c r="B27" s="64" t="n">
        <x:f>IF(A27&gt;=1,"",IF(ABS(A27-$B$6)&lt;0.000001,$D$4,$B$4*(1-A27)))</x:f>
        <x:v>189999999.99999994</x:v>
      </x:c>
      <x:c r="C27" s="64" t="n">
        <x:f>IF(A27&gt;=1,"",IF(ABS(A27-$B$6)&lt;0.000001,$D$5,$D$6/B27))</x:f>
        <x:v>13611.842105263162</x:v>
      </x:c>
      <x:c r="D27" s="75" t="n">
        <x:f>IF(A27&gt;=1,"",B27*C27)</x:f>
        <x:v>2586250000000</x:v>
      </x:c>
      <x:c r="E27" s="374" t="n">
        <x:f>IF(A27&gt;=1,"",C27/B27)</x:f>
        <x:v>0.0000716412742382272</x:v>
      </x:c>
      <x:c r="F27" s="374" t="n">
        <x:f>IF(ISNUMBER(E27),E27*$B$3/'币价'!$B$12,"")</x:f>
        <x:v>0.00007170121645518373</x:v>
      </x:c>
      <x:c r="G27" s="562" t="n">
        <x:f>IF(A27&gt;=1,"",E27*$B$4)</x:f>
        <x:v>71641.2742382272</x:v>
      </x:c>
      <x:c r="H27" s="562" t="n">
        <x:f>IF(A27&gt;=1,"",G27*$B$3)</x:f>
        <x:v>71641.2742382272</x:v>
      </x:c>
      <x:c r="I27" s="562" t="n">
        <x:f>IF(A27&gt;=1,"",C27-C26)</x:f>
        <x:v>349.02159244264476</x:v>
      </x:c>
      <x:c r="J27" s="562" t="n">
        <x:f>IF(A27&gt;=1,"",I27*(1+$B$8))</x:f>
        <x:v>353.38436234817783</x:v>
      </x:c>
      <x:c r="K27" s="567" t="n">
        <x:f>IF(A27&gt;=1,"不可达",$B$5+(C27-$D$5)*(1+$B$8))</x:f>
        <x:v>13980.349634505239</x:v>
      </x:c>
    </x:row>
    <x:row r="28">
      <x:c r="A28" s="58" t="n">
        <x:v>0.815</x:v>
      </x:c>
      <x:c r="B28" s="64" t="n">
        <x:f>IF(A28&gt;=1,"",IF(ABS(A28-$B$6)&lt;0.000001,$D$4,$B$4*(1-A28)))</x:f>
        <x:v>185000000.00000006</x:v>
      </x:c>
      <x:c r="C28" s="64" t="n">
        <x:f>IF(A28&gt;=1,"",IF(ABS(A28-$B$6)&lt;0.000001,$D$5,$D$6/B28))</x:f>
        <x:v>13979.729729729725</x:v>
      </x:c>
      <x:c r="D28" s="75" t="n">
        <x:f>IF(A28&gt;=1,"",B28*C28)</x:f>
        <x:v>2586250000000</x:v>
      </x:c>
      <x:c r="E28" s="374" t="n">
        <x:f>IF(A28&gt;=1,"",C28/B28)</x:f>
        <x:v>0.00007556610664718768</x:v>
      </x:c>
      <x:c r="F28" s="374" t="n">
        <x:f>IF(ISNUMBER(E28),E28*$B$3/'币价'!$B$12,"")</x:f>
        <x:v>0.00007562933276938288</x:v>
      </x:c>
      <x:c r="G28" s="562" t="n">
        <x:f>IF(A28&gt;=1,"",E28*$B$4)</x:f>
        <x:v>75566.10664718768</x:v>
      </x:c>
      <x:c r="H28" s="562" t="n">
        <x:f>IF(A28&gt;=1,"",G28*$B$3)</x:f>
        <x:v>75566.10664718768</x:v>
      </x:c>
      <x:c r="I28" s="562" t="n">
        <x:f>IF(A28&gt;=1,"",C28-C27)</x:f>
        <x:v>367.88762446656256</x:v>
      </x:c>
      <x:c r="J28" s="562" t="n">
        <x:f>IF(A28&gt;=1,"",I28*(1+$B$8))</x:f>
        <x:v>372.4862197723946</x:v>
      </x:c>
      <x:c r="K28" s="567" t="n">
        <x:f>IF(A28&gt;=1,"不可达",$B$5+(C28-$D$5)*(1+$B$8))</x:f>
        <x:v>14352.835854277633</x:v>
      </x:c>
    </x:row>
    <x:row r="29">
      <x:c r="A29" s="58" t="n">
        <x:v>0.82</x:v>
      </x:c>
      <x:c r="B29" s="64" t="n">
        <x:f>IF(A29&gt;=1,"",IF(ABS(A29-$B$6)&lt;0.000001,$D$4,$B$4*(1-A29)))</x:f>
        <x:v>180000000.00000006</x:v>
      </x:c>
      <x:c r="C29" s="64" t="n">
        <x:f>IF(A29&gt;=1,"",IF(ABS(A29-$B$6)&lt;0.000001,$D$5,$D$6/B29))</x:f>
        <x:v>14368.055555555551</x:v>
      </x:c>
      <x:c r="D29" s="75" t="n">
        <x:f>IF(A29&gt;=1,"",B29*C29)</x:f>
        <x:v>2586250000000</x:v>
      </x:c>
      <x:c r="E29" s="374" t="n">
        <x:f>IF(A29&gt;=1,"",C29/B29)</x:f>
        <x:v>0.00007982253086419749</x:v>
      </x:c>
      <x:c r="F29" s="374" t="n">
        <x:f>IF(ISNUMBER(E29),E29*$B$3/'币价'!$B$12,"")</x:f>
        <x:v>0.00007988931833432497</x:v>
      </x:c>
      <x:c r="G29" s="562" t="n">
        <x:f>IF(A29&gt;=1,"",E29*$B$4)</x:f>
        <x:v>79822.53086419748</x:v>
      </x:c>
      <x:c r="H29" s="562" t="n">
        <x:f>IF(A29&gt;=1,"",G29*$B$3)</x:f>
        <x:v>79822.53086419748</x:v>
      </x:c>
      <x:c r="I29" s="562" t="n">
        <x:f>IF(A29&gt;=1,"",C29-C28)</x:f>
        <x:v>388.32582582582654</x:v>
      </x:c>
      <x:c r="J29" s="562" t="n">
        <x:f>IF(A29&gt;=1,"",I29*(1+$B$8))</x:f>
        <x:v>393.1798986486493</x:v>
      </x:c>
      <x:c r="K29" s="567" t="n">
        <x:f>IF(A29&gt;=1,"不可达",$B$5+(C29-$D$5)*(1+$B$8))</x:f>
        <x:v>14746.015752926283</x:v>
      </x:c>
    </x:row>
    <x:row r="30">
      <x:c r="A30" s="58" t="n">
        <x:v>0.825</x:v>
      </x:c>
      <x:c r="B30" s="64" t="n">
        <x:f>IF(A30&gt;=1,"",IF(ABS(A30-$B$6)&lt;0.000001,$D$4,$B$4*(1-A30)))</x:f>
        <x:v>175000000.00000003</x:v>
      </x:c>
      <x:c r="C30" s="64" t="n">
        <x:f>IF(A30&gt;=1,"",IF(ABS(A30-$B$6)&lt;0.000001,$D$5,$D$6/B30))</x:f>
        <x:v>14778.571428571426</x:v>
      </x:c>
      <x:c r="D30" s="75" t="n">
        <x:f>IF(A30&gt;=1,"",B30*C30)</x:f>
        <x:v>2586250000000</x:v>
      </x:c>
      <x:c r="E30" s="374" t="n">
        <x:f>IF(A30&gt;=1,"",C30/B30)</x:f>
        <x:v>0.0000844489795918367</x:v>
      </x:c>
      <x:c r="F30" s="374" t="n">
        <x:f>IF(ISNUMBER(E30),E30*$B$3/'币价'!$B$12,"")</x:f>
        <x:v>0.00008451963800921239</x:v>
      </x:c>
      <x:c r="G30" s="562" t="n">
        <x:f>IF(A30&gt;=1,"",E30*$B$4)</x:f>
        <x:v>84448.9795918367</x:v>
      </x:c>
      <x:c r="H30" s="562" t="n">
        <x:f>IF(A30&gt;=1,"",G30*$B$3)</x:f>
        <x:v>84448.9795918367</x:v>
      </x:c>
      <x:c r="I30" s="562" t="n">
        <x:f>IF(A30&gt;=1,"",C30-C29)</x:f>
        <x:v>410.5158730158746</x:v>
      </x:c>
      <x:c r="J30" s="562" t="n">
        <x:f>IF(A30&gt;=1,"",I30*(1+$B$8))</x:f>
        <x:v>415.64732142857304</x:v>
      </x:c>
      <x:c r="K30" s="567" t="n">
        <x:f>IF(A30&gt;=1,"不可达",$B$5+(C30-$D$5)*(1+$B$8))</x:f>
        <x:v>15161.663074354856</x:v>
      </x:c>
    </x:row>
    <x:row r="31">
      <x:c r="A31" s="58" t="n">
        <x:v>0.83</x:v>
      </x:c>
      <x:c r="B31" s="64" t="n">
        <x:f>IF(A31&gt;=1,"",IF(ABS(A31-$B$6)&lt;0.000001,$D$4,$B$4*(1-A31)))</x:f>
        <x:v>170000000.00000003</x:v>
      </x:c>
      <x:c r="C31" s="64" t="n">
        <x:f>IF(A31&gt;=1,"",IF(ABS(A31-$B$6)&lt;0.000001,$D$5,$D$6/B31))</x:f>
        <x:v>15213.235294117645</x:v>
      </x:c>
      <x:c r="D31" s="75" t="n">
        <x:f>IF(A31&gt;=1,"",B31*C31)</x:f>
        <x:v>2586250000000</x:v>
      </x:c>
      <x:c r="E31" s="374" t="n">
        <x:f>IF(A31&gt;=1,"",C31/B31)</x:f>
        <x:v>0.0000894896193771626</x:v>
      </x:c>
      <x:c r="F31" s="374" t="n">
        <x:f>IF(ISNUMBER(E31),E31*$B$3/'币价'!$B$12,"")</x:f>
        <x:v>0.00008956449529522942</x:v>
      </x:c>
      <x:c r="G31" s="562" t="n">
        <x:f>IF(A31&gt;=1,"",E31*$B$4)</x:f>
        <x:v>89489.6193771626</x:v>
      </x:c>
      <x:c r="H31" s="562" t="n">
        <x:f>IF(A31&gt;=1,"",G31*$B$3)</x:f>
        <x:v>89489.6193771626</x:v>
      </x:c>
      <x:c r="I31" s="562" t="n">
        <x:f>IF(A31&gt;=1,"",C31-C30)</x:f>
        <x:v>434.6638655462193</x:v>
      </x:c>
      <x:c r="J31" s="562" t="n">
        <x:f>IF(A31&gt;=1,"",I31*(1+$B$8))</x:f>
        <x:v>440.09716386554703</x:v>
      </x:c>
      <x:c r="K31" s="567" t="n">
        <x:f>IF(A31&gt;=1,"不可达",$B$5+(C31-$D$5)*(1+$B$8))</x:f>
        <x:v>15601.760238220402</x:v>
      </x:c>
    </x:row>
    <x:row r="32">
      <x:c r="A32" s="58" t="n">
        <x:v>0.835</x:v>
      </x:c>
      <x:c r="B32" s="64" t="n">
        <x:f>IF(A32&gt;=1,"",IF(ABS(A32-$B$6)&lt;0.000001,$D$4,$B$4*(1-A32)))</x:f>
        <x:v>165000000.00000003</x:v>
      </x:c>
      <x:c r="C32" s="64" t="n">
        <x:f>IF(A32&gt;=1,"",IF(ABS(A32-$B$6)&lt;0.000001,$D$5,$D$6/B32))</x:f>
        <x:v>15674.242424242422</x:v>
      </x:c>
      <x:c r="D32" s="75" t="n">
        <x:f>IF(A32&gt;=1,"",B32*C32)</x:f>
        <x:v>2586250000000</x:v>
      </x:c>
      <x:c r="E32" s="374" t="n">
        <x:f>IF(A32&gt;=1,"",C32/B32)</x:f>
        <x:v>0.00009499540863177224</x:v>
      </x:c>
      <x:c r="F32" s="374" t="n">
        <x:f>IF(ISNUMBER(E32),E32*$B$3/'币价'!$B$12,"")</x:f>
        <x:v>0.00009507489124084959</x:v>
      </x:c>
      <x:c r="G32" s="562" t="n">
        <x:f>IF(A32&gt;=1,"",E32*$B$4)</x:f>
        <x:v>94995.40863177224</x:v>
      </x:c>
      <x:c r="H32" s="562" t="n">
        <x:f>IF(A32&gt;=1,"",G32*$B$3)</x:f>
        <x:v>94995.40863177224</x:v>
      </x:c>
      <x:c r="I32" s="562" t="n">
        <x:f>IF(A32&gt;=1,"",C32-C31)</x:f>
        <x:v>461.0071301247772</x:v>
      </x:c>
      <x:c r="J32" s="562" t="n">
        <x:f>IF(A32&gt;=1,"",I32*(1+$B$8))</x:f>
        <x:v>466.7697192513369</x:v>
      </x:c>
      <x:c r="K32" s="567" t="n">
        <x:f>IF(A32&gt;=1,"不可达",$B$5+(C32-$D$5)*(1+$B$8))</x:f>
        <x:v>16068.52995747174</x:v>
      </x:c>
    </x:row>
    <x:row r="33">
      <x:c r="A33" s="58" t="n">
        <x:v>0.84</x:v>
      </x:c>
      <x:c r="B33" s="64" t="n">
        <x:f>IF(A33&gt;=1,"",IF(ABS(A33-$B$6)&lt;0.000001,$D$4,$B$4*(1-A33)))</x:f>
        <x:v>160000000.00000003</x:v>
      </x:c>
      <x:c r="C33" s="64" t="n">
        <x:f>IF(A33&gt;=1,"",IF(ABS(A33-$B$6)&lt;0.000001,$D$5,$D$6/B33))</x:f>
        <x:v>16164.062499999996</x:v>
      </x:c>
      <x:c r="D33" s="75" t="n">
        <x:f>IF(A33&gt;=1,"",B33*C33)</x:f>
        <x:v>2586250000000</x:v>
      </x:c>
      <x:c r="E33" s="374" t="n">
        <x:f>IF(A33&gt;=1,"",C33/B33)</x:f>
        <x:v>0.00010102539062499996</x:v>
      </x:c>
      <x:c r="F33" s="374" t="n">
        <x:f>IF(ISNUMBER(E33),E33*$B$3/'币价'!$B$12,"")</x:f>
        <x:v>0.00010110991851688007</x:v>
      </x:c>
      <x:c r="G33" s="562" t="n">
        <x:f>IF(A33&gt;=1,"",E33*$B$4)</x:f>
        <x:v>101025.39062499996</x:v>
      </x:c>
      <x:c r="H33" s="562" t="n">
        <x:f>IF(A33&gt;=1,"",G33*$B$3)</x:f>
        <x:v>101025.39062499996</x:v>
      </x:c>
      <x:c r="I33" s="562" t="n">
        <x:f>IF(A33&gt;=1,"",C33-C32)</x:f>
        <x:v>489.82007575757416</x:v>
      </x:c>
      <x:c r="J33" s="562" t="n">
        <x:f>IF(A33&gt;=1,"",I33*(1+$B$8))</x:f>
        <x:v>495.9428267045438</x:v>
      </x:c>
      <x:c r="K33" s="567" t="n">
        <x:f>IF(A33&gt;=1,"不可达",$B$5+(C33-$D$5)*(1+$B$8))</x:f>
        <x:v>16564.472784176283</x:v>
      </x:c>
    </x:row>
    <x:row r="34">
      <x:c r="A34" s="58" t="n">
        <x:v>0.845</x:v>
      </x:c>
      <x:c r="B34" s="64" t="n">
        <x:f>IF(A34&gt;=1,"",IF(ABS(A34-$B$6)&lt;0.000001,$D$4,$B$4*(1-A34)))</x:f>
        <x:v>155000000.00000003</x:v>
      </x:c>
      <x:c r="C34" s="64" t="n">
        <x:f>IF(A34&gt;=1,"",IF(ABS(A34-$B$6)&lt;0.000001,$D$5,$D$6/B34))</x:f>
        <x:v>16685.48387096774</x:v>
      </x:c>
      <x:c r="D34" s="75" t="n">
        <x:f>IF(A34&gt;=1,"",B34*C34)</x:f>
        <x:v>2586250000000</x:v>
      </x:c>
      <x:c r="E34" s="374" t="n">
        <x:f>IF(A34&gt;=1,"",C34/B34)</x:f>
        <x:v>0.00010764828303850151</x:v>
      </x:c>
      <x:c r="F34" s="374" t="n">
        <x:f>IF(ISNUMBER(E34),E34*$B$3/'币价'!$B$12,"")</x:f>
        <x:v>0.00010773835230102516</x:v>
      </x:c>
      <x:c r="G34" s="562" t="n">
        <x:f>IF(A34&gt;=1,"",E34*$B$4)</x:f>
        <x:v>107648.28303850151</x:v>
      </x:c>
      <x:c r="H34" s="562" t="n">
        <x:f>IF(A34&gt;=1,"",G34*$B$3)</x:f>
        <x:v>107648.28303850151</x:v>
      </x:c>
      <x:c r="I34" s="562" t="n">
        <x:f>IF(A34&gt;=1,"",C34-C33)</x:f>
        <x:v>521.4213709677424</x:v>
      </x:c>
      <x:c r="J34" s="562" t="n">
        <x:f>IF(A34&gt;=1,"",I34*(1+$B$8))</x:f>
        <x:v>527.9391381048391</x:v>
      </x:c>
      <x:c r="K34" s="567" t="n">
        <x:f>IF(A34&gt;=1,"不可达",$B$5+(C34-$D$5)*(1+$B$8))</x:f>
        <x:v>17092.41192228112</x:v>
      </x:c>
    </x:row>
    <x:row r="35">
      <x:c r="A35" s="58" t="n">
        <x:v>0.85</x:v>
      </x:c>
      <x:c r="B35" s="64" t="n">
        <x:f>IF(A35&gt;=1,"",IF(ABS(A35-$B$6)&lt;0.000001,$D$4,$B$4*(1-A35)))</x:f>
        <x:v>150000000.00000003</x:v>
      </x:c>
      <x:c r="C35" s="64" t="n">
        <x:f>IF(A35&gt;=1,"",IF(ABS(A35-$B$6)&lt;0.000001,$D$5,$D$6/B35))</x:f>
        <x:v>17241.666666666664</x:v>
      </x:c>
      <x:c r="D35" s="75" t="n">
        <x:f>IF(A35&gt;=1,"",B35*C35)</x:f>
        <x:v>2586250000000</x:v>
      </x:c>
      <x:c r="E35" s="374" t="n">
        <x:f>IF(A35&gt;=1,"",C35/B35)</x:f>
        <x:v>0.00011494444444444441</x:v>
      </x:c>
      <x:c r="F35" s="374" t="n">
        <x:f>IF(ISNUMBER(E35),E35*$B$3/'币价'!$B$12,"")</x:f>
        <x:v>0.000115040618401428</x:v>
      </x:c>
      <x:c r="G35" s="562" t="n">
        <x:f>IF(A35&gt;=1,"",E35*$B$4)</x:f>
        <x:v>114944.44444444441</x:v>
      </x:c>
      <x:c r="H35" s="562" t="n">
        <x:f>IF(A35&gt;=1,"",G35*$B$3)</x:f>
        <x:v>114944.44444444441</x:v>
      </x:c>
      <x:c r="I35" s="562" t="n">
        <x:f>IF(A35&gt;=1,"",C35-C34)</x:f>
        <x:v>556.1827956989255</x:v>
      </x:c>
      <x:c r="J35" s="562" t="n">
        <x:f>IF(A35&gt;=1,"",I35*(1+$B$8))</x:f>
        <x:v>563.135080645162</x:v>
      </x:c>
      <x:c r="K35" s="567" t="n">
        <x:f>IF(A35&gt;=1,"不可达",$B$5+(C35-$D$5)*(1+$B$8))</x:f>
        <x:v>17655.547002926283</x:v>
      </x:c>
    </x:row>
    <x:row r="36">
      <x:c r="A36" s="58" t="n">
        <x:v>0.855</x:v>
      </x:c>
      <x:c r="B36" s="64" t="n">
        <x:f>IF(A36&gt;=1,"",IF(ABS(A36-$B$6)&lt;0.000001,$D$4,$B$4*(1-A36)))</x:f>
        <x:v>145000000.00000003</x:v>
      </x:c>
      <x:c r="C36" s="64" t="n">
        <x:f>IF(A36&gt;=1,"",IF(ABS(A36-$B$6)&lt;0.000001,$D$5,$D$6/B36))</x:f>
        <x:v>17836.20689655172</x:v>
      </x:c>
      <x:c r="D36" s="75" t="n">
        <x:f>IF(A36&gt;=1,"",B36*C36)</x:f>
        <x:v>2586250000000</x:v>
      </x:c>
      <x:c r="E36" s="374" t="n">
        <x:f>IF(A36&gt;=1,"",C36/B36)</x:f>
        <x:v>0.0001230083234244946</x:v>
      </x:c>
      <x:c r="F36" s="374" t="n">
        <x:f>IF(ISNUMBER(E36),E36*$B$3/'币价'!$B$12,"")</x:f>
        <x:v>0.00012311124442483375</x:v>
      </x:c>
      <x:c r="G36" s="562" t="n">
        <x:f>IF(A36&gt;=1,"",E36*$B$4)</x:f>
        <x:v>123008.32342449459</x:v>
      </x:c>
      <x:c r="H36" s="562" t="n">
        <x:f>IF(A36&gt;=1,"",G36*$B$3)</x:f>
        <x:v>123008.32342449459</x:v>
      </x:c>
      <x:c r="I36" s="562" t="n">
        <x:f>IF(A36&gt;=1,"",C36-C35)</x:f>
        <x:v>594.5402298850568</x:v>
      </x:c>
      <x:c r="J36" s="562" t="n">
        <x:f>IF(A36&gt;=1,"",I36*(1+$B$8))</x:f>
        <x:v>601.9719827586199</x:v>
      </x:c>
      <x:c r="K36" s="567" t="n">
        <x:f>IF(A36&gt;=1,"不可达",$B$5+(C36-$D$5)*(1+$B$8))</x:f>
        <x:v>18257.518985684903</x:v>
      </x:c>
    </x:row>
    <x:row r="37">
      <x:c r="A37" s="58" t="n">
        <x:v>0.86</x:v>
      </x:c>
      <x:c r="B37" s="64" t="n">
        <x:f>IF(A37&gt;=1,"",IF(ABS(A37-$B$6)&lt;0.000001,$D$4,$B$4*(1-A37)))</x:f>
        <x:v>140000000</x:v>
      </x:c>
      <x:c r="C37" s="64" t="n">
        <x:f>IF(A37&gt;=1,"",IF(ABS(A37-$B$6)&lt;0.000001,$D$5,$D$6/B37))</x:f>
        <x:v>18473.214285714286</x:v>
      </x:c>
      <x:c r="D37" s="75" t="n">
        <x:f>IF(A37&gt;=1,"",B37*C37)</x:f>
        <x:v>2586250000000</x:v>
      </x:c>
      <x:c r="E37" s="374" t="n">
        <x:f>IF(A37&gt;=1,"",C37/B37)</x:f>
        <x:v>0.0001319515306122449</x:v>
      </x:c>
      <x:c r="F37" s="374" t="n">
        <x:f>IF(ISNUMBER(E37),E37*$B$3/'币价'!$B$12,"")</x:f>
        <x:v>0.0001320619343893944</x:v>
      </x:c>
      <x:c r="G37" s="562" t="n">
        <x:f>IF(A37&gt;=1,"",E37*$B$4)</x:f>
        <x:v>131951.53061224488</x:v>
      </x:c>
      <x:c r="H37" s="562" t="n">
        <x:f>IF(A37&gt;=1,"",G37*$B$3)</x:f>
        <x:v>131951.53061224488</x:v>
      </x:c>
      <x:c r="I37" s="562" t="n">
        <x:f>IF(A37&gt;=1,"",C37-C36)</x:f>
        <x:v>637.0073891625652</x:v>
      </x:c>
      <x:c r="J37" s="562" t="n">
        <x:f>IF(A37&gt;=1,"",I37*(1+$B$8))</x:f>
        <x:v>644.9699815270973</x:v>
      </x:c>
      <x:c r="K37" s="567" t="n">
        <x:f>IF(A37&gt;=1,"不可达",$B$5+(C37-$D$5)*(1+$B$8))</x:f>
        <x:v>18902.488967212</x:v>
      </x:c>
    </x:row>
    <x:row r="38">
      <x:c r="A38" s="58" t="n">
        <x:v>0.865</x:v>
      </x:c>
      <x:c r="B38" s="64" t="n">
        <x:f>IF(A38&gt;=1,"",IF(ABS(A38-$B$6)&lt;0.000001,$D$4,$B$4*(1-A38)))</x:f>
        <x:v>135000000</x:v>
      </x:c>
      <x:c r="C38" s="64" t="n">
        <x:f>IF(A38&gt;=1,"",IF(ABS(A38-$B$6)&lt;0.000001,$D$5,$D$6/B38))</x:f>
        <x:v>19157.40740740741</x:v>
      </x:c>
      <x:c r="D38" s="75" t="n">
        <x:f>IF(A38&gt;=1,"",B38*C38)</x:f>
        <x:v>2586250000000</x:v>
      </x:c>
      <x:c r="E38" s="374" t="n">
        <x:f>IF(A38&gt;=1,"",C38/B38)</x:f>
        <x:v>0.00014190672153635117</x:v>
      </x:c>
      <x:c r="F38" s="374" t="n">
        <x:f>IF(ISNUMBER(E38),E38*$B$3/'币价'!$B$12,"")</x:f>
        <x:v>0.00014202545481657781</x:v>
      </x:c>
      <x:c r="G38" s="562" t="n">
        <x:f>IF(A38&gt;=1,"",E38*$B$4)</x:f>
        <x:v>141906.72153635116</x:v>
      </x:c>
      <x:c r="H38" s="562" t="n">
        <x:f>IF(A38&gt;=1,"",G38*$B$3)</x:f>
        <x:v>141906.72153635116</x:v>
      </x:c>
      <x:c r="I38" s="562" t="n">
        <x:f>IF(A38&gt;=1,"",C38-C37)</x:f>
        <x:v>684.1931216931225</x:v>
      </x:c>
      <x:c r="J38" s="562" t="n">
        <x:f>IF(A38&gt;=1,"",I38*(1+$B$8))</x:f>
        <x:v>692.7455357142866</x:v>
      </x:c>
      <x:c r="K38" s="567" t="n">
        <x:f>IF(A38&gt;=1,"不可达",$B$5+(C38-$D$5)*(1+$B$8))</x:f>
        <x:v>19595.234502926287</x:v>
      </x:c>
    </x:row>
    <x:row r="39">
      <x:c r="A39" s="58" t="n">
        <x:v>0.87</x:v>
      </x:c>
      <x:c r="B39" s="64" t="n">
        <x:f>IF(A39&gt;=1,"",IF(ABS(A39-$B$6)&lt;0.000001,$D$4,$B$4*(1-A39)))</x:f>
        <x:v>130000000</x:v>
      </x:c>
      <x:c r="C39" s="64" t="n">
        <x:f>IF(A39&gt;=1,"",IF(ABS(A39-$B$6)&lt;0.000001,$D$5,$D$6/B39))</x:f>
        <x:v>19894.23076923077</x:v>
      </x:c>
      <x:c r="D39" s="75" t="n">
        <x:f>IF(A39&gt;=1,"",B39*C39)</x:f>
        <x:v>2586250000000</x:v>
      </x:c>
      <x:c r="E39" s="374" t="n">
        <x:f>IF(A39&gt;=1,"",C39/B39)</x:f>
        <x:v>0.00015303254437869823</x:v>
      </x:c>
      <x:c r="F39" s="374" t="n">
        <x:f>IF(ISNUMBER(E39),E39*$B$3/'币价'!$B$12,"")</x:f>
        <x:v>0.00015316058662912018</x:v>
      </x:c>
      <x:c r="G39" s="562" t="n">
        <x:f>IF(A39&gt;=1,"",E39*$B$4)</x:f>
        <x:v>153032.54437869822</x:v>
      </x:c>
      <x:c r="H39" s="562" t="n">
        <x:f>IF(A39&gt;=1,"",G39*$B$3)</x:f>
        <x:v>153032.54437869822</x:v>
      </x:c>
      <x:c r="I39" s="562" t="n">
        <x:f>IF(A39&gt;=1,"",C39-C38)</x:f>
        <x:v>736.8233618233608</x:v>
      </x:c>
      <x:c r="J39" s="562" t="n">
        <x:f>IF(A39&gt;=1,"",I39*(1+$B$8))</x:f>
        <x:v>746.0336538461528</x:v>
      </x:c>
      <x:c r="K39" s="567" t="n">
        <x:f>IF(A39&gt;=1,"不可达",$B$5+(C39-$D$5)*(1+$B$8))</x:f>
        <x:v>20341.26815677244</x:v>
      </x:c>
    </x:row>
    <x:row r="40">
      <x:c r="A40" s="58" t="n">
        <x:v>0.875</x:v>
      </x:c>
      <x:c r="B40" s="64" t="n">
        <x:f>IF(A40&gt;=1,"",IF(ABS(A40-$B$6)&lt;0.000001,$D$4,$B$4*(1-A40)))</x:f>
        <x:v>125000000</x:v>
      </x:c>
      <x:c r="C40" s="64" t="n">
        <x:f>IF(A40&gt;=1,"",IF(ABS(A40-$B$6)&lt;0.000001,$D$5,$D$6/B40))</x:f>
        <x:v>20690</x:v>
      </x:c>
      <x:c r="D40" s="75" t="n">
        <x:f>IF(A40&gt;=1,"",B40*C40)</x:f>
        <x:v>2586250000000</x:v>
      </x:c>
      <x:c r="E40" s="374" t="n">
        <x:f>IF(A40&gt;=1,"",C40/B40)</x:f>
        <x:v>0.00016552</x:v>
      </x:c>
      <x:c r="F40" s="374" t="n">
        <x:f>IF(ISNUMBER(E40),E40*$B$3/'币价'!$B$12,"")</x:f>
        <x:v>0.00016565849049805637</x:v>
      </x:c>
      <x:c r="G40" s="562" t="n">
        <x:f>IF(A40&gt;=1,"",E40*$B$4)</x:f>
        <x:v>165520</x:v>
      </x:c>
      <x:c r="H40" s="562" t="n">
        <x:f>IF(A40&gt;=1,"",G40*$B$3)</x:f>
        <x:v>165520</x:v>
      </x:c>
      <x:c r="I40" s="562" t="n">
        <x:f>IF(A40&gt;=1,"",C40-C39)</x:f>
        <x:v>795.7692307692305</x:v>
      </x:c>
      <x:c r="J40" s="562" t="n">
        <x:f>IF(A40&gt;=1,"",I40*(1+$B$8))</x:f>
        <x:v>805.7163461538458</x:v>
      </x:c>
      <x:c r="K40" s="567" t="n">
        <x:f>IF(A40&gt;=1,"不可达",$B$5+(C40-$D$5)*(1+$B$8))</x:f>
        <x:v>21146.984502926287</x:v>
      </x:c>
    </x:row>
    <x:row r="41">
      <x:c r="A41" s="58" t="n">
        <x:v>0.88</x:v>
      </x:c>
      <x:c r="B41" s="64" t="n">
        <x:f>IF(A41&gt;=1,"",IF(ABS(A41-$B$6)&lt;0.000001,$D$4,$B$4*(1-A41)))</x:f>
        <x:v>120000000</x:v>
      </x:c>
      <x:c r="C41" s="64" t="n">
        <x:f>IF(A41&gt;=1,"",IF(ABS(A41-$B$6)&lt;0.000001,$D$5,$D$6/B41))</x:f>
        <x:v>21552.083333333332</x:v>
      </x:c>
      <x:c r="D41" s="75" t="n">
        <x:f>IF(A41&gt;=1,"",B41*C41)</x:f>
        <x:v>2586250000000</x:v>
      </x:c>
      <x:c r="E41" s="374" t="n">
        <x:f>IF(A41&gt;=1,"",C41/B41)</x:f>
        <x:v>0.00017960069444444444</x:v>
      </x:c>
      <x:c r="F41" s="374" t="n">
        <x:f>IF(ISNUMBER(E41),E41*$B$3/'币价'!$B$12,"")</x:f>
        <x:v>0.0001797509662522313</x:v>
      </x:c>
      <x:c r="G41" s="562" t="n">
        <x:f>IF(A41&gt;=1,"",E41*$B$4)</x:f>
        <x:v>179600.69444444444</x:v>
      </x:c>
      <x:c r="H41" s="562" t="n">
        <x:f>IF(A41&gt;=1,"",G41*$B$3)</x:f>
        <x:v>179600.69444444444</x:v>
      </x:c>
      <x:c r="I41" s="562" t="n">
        <x:f>IF(A41&gt;=1,"",C41-C40)</x:f>
        <x:v>862.0833333333321</x:v>
      </x:c>
      <x:c r="J41" s="562" t="n">
        <x:f>IF(A41&gt;=1,"",I41*(1+$B$8))</x:f>
        <x:v>872.8593749999987</x:v>
      </x:c>
      <x:c r="K41" s="567" t="n">
        <x:f>IF(A41&gt;=1,"不可达",$B$5+(C41-$D$5)*(1+$B$8))</x:f>
        <x:v>22019.843877926287</x:v>
      </x:c>
    </x:row>
    <x:row r="42">
      <x:c r="A42" s="58" t="n">
        <x:v>0.885</x:v>
      </x:c>
      <x:c r="B42" s="64" t="n">
        <x:f>IF(A42&gt;=1,"",IF(ABS(A42-$B$6)&lt;0.000001,$D$4,$B$4*(1-A42)))</x:f>
        <x:v>114999999.99999999</x:v>
      </x:c>
      <x:c r="C42" s="64" t="n">
        <x:f>IF(A42&gt;=1,"",IF(ABS(A42-$B$6)&lt;0.000001,$D$5,$D$6/B42))</x:f>
        <x:v>22489.13043478261</x:v>
      </x:c>
      <x:c r="D42" s="75" t="n">
        <x:f>IF(A42&gt;=1,"",B42*C42)</x:f>
        <x:v>2586250000000</x:v>
      </x:c>
      <x:c r="E42" s="374" t="n">
        <x:f>IF(A42&gt;=1,"",C42/B42)</x:f>
        <x:v>0.00019555765595463144</x:v>
      </x:c>
      <x:c r="F42" s="374" t="n">
        <x:f>IF(ISNUMBER(E42),E42*$B$3/'币价'!$B$12,"")</x:f>
        <x:v>0.00019572127894382848</x:v>
      </x:c>
      <x:c r="G42" s="562" t="n">
        <x:f>IF(A42&gt;=1,"",E42*$B$4)</x:f>
        <x:v>195557.65595463145</x:v>
      </x:c>
      <x:c r="H42" s="562" t="n">
        <x:f>IF(A42&gt;=1,"",G42*$B$3)</x:f>
        <x:v>195557.65595463145</x:v>
      </x:c>
      <x:c r="I42" s="562" t="n">
        <x:f>IF(A42&gt;=1,"",C42-C41)</x:f>
        <x:v>937.0471014492796</x:v>
      </x:c>
      <x:c r="J42" s="562" t="n">
        <x:f>IF(A42&gt;=1,"",I42*(1+$B$8))</x:f>
        <x:v>948.7601902173956</x:v>
      </x:c>
      <x:c r="K42" s="567" t="n">
        <x:f>IF(A42&gt;=1,"不可达",$B$5+(C42-$D$5)*(1+$B$8))</x:f>
        <x:v>22968.60406814368</x:v>
      </x:c>
    </x:row>
    <x:row r="43">
      <x:c r="A43" s="58" t="n">
        <x:v>0.89</x:v>
      </x:c>
      <x:c r="B43" s="64" t="n">
        <x:f>IF(A43&gt;=1,"",IF(ABS(A43-$B$6)&lt;0.000001,$D$4,$B$4*(1-A43)))</x:f>
        <x:v>109999999.99999999</x:v>
      </x:c>
      <x:c r="C43" s="64" t="n">
        <x:f>IF(A43&gt;=1,"",IF(ABS(A43-$B$6)&lt;0.000001,$D$5,$D$6/B43))</x:f>
        <x:v>23511.36363636364</x:v>
      </x:c>
      <x:c r="D43" s="75" t="n">
        <x:f>IF(A43&gt;=1,"",B43*C43)</x:f>
        <x:v>2586250000000</x:v>
      </x:c>
      <x:c r="E43" s="374" t="n">
        <x:f>IF(A43&gt;=1,"",C43/B43)</x:f>
        <x:v>0.00021373966942148765</x:v>
      </x:c>
      <x:c r="F43" s="374" t="n">
        <x:f>IF(ISNUMBER(E43),E43*$B$3/'币价'!$B$12,"")</x:f>
        <x:v>0.00021391850529191167</x:v>
      </x:c>
      <x:c r="G43" s="562" t="n">
        <x:f>IF(A43&gt;=1,"",E43*$B$4)</x:f>
        <x:v>213739.66942148766</x:v>
      </x:c>
      <x:c r="H43" s="562" t="n">
        <x:f>IF(A43&gt;=1,"",G43*$B$3)</x:f>
        <x:v>213739.66942148766</x:v>
      </x:c>
      <x:c r="I43" s="562" t="n">
        <x:f>IF(A43&gt;=1,"",C43-C42)</x:f>
        <x:v>1022.233201581028</x:v>
      </x:c>
      <x:c r="J43" s="562" t="n">
        <x:f>IF(A43&gt;=1,"",I43*(1+$B$8))</x:f>
        <x:v>1035.0111166007907</x:v>
      </x:c>
      <x:c r="K43" s="567" t="n">
        <x:f>IF(A43&gt;=1,"不可达",$B$5+(C43-$D$5)*(1+$B$8))</x:f>
        <x:v>24003.61518474447</x:v>
      </x:c>
    </x:row>
    <x:row r="44">
      <x:c r="A44" s="58" t="n">
        <x:v>0.895</x:v>
      </x:c>
      <x:c r="B44" s="64" t="n">
        <x:f>IF(A44&gt;=1,"",IF(ABS(A44-$B$6)&lt;0.000001,$D$4,$B$4*(1-A44)))</x:f>
        <x:v>104999999.99999999</x:v>
      </x:c>
      <x:c r="C44" s="64" t="n">
        <x:f>IF(A44&gt;=1,"",IF(ABS(A44-$B$6)&lt;0.000001,$D$5,$D$6/B44))</x:f>
        <x:v>24630.952380952385</x:v>
      </x:c>
      <x:c r="D44" s="75" t="n">
        <x:f>IF(A44&gt;=1,"",B44*C44)</x:f>
        <x:v>2586250000000</x:v>
      </x:c>
      <x:c r="E44" s="374" t="n">
        <x:f>IF(A44&gt;=1,"",C44/B44)</x:f>
        <x:v>0.00023458049886621322</x:v>
      </x:c>
      <x:c r="F44" s="374" t="n">
        <x:f>IF(ISNUMBER(E44),E44*$B$3/'币价'!$B$12,"")</x:f>
        <x:v>0.00023477677224781237</x:v>
      </x:c>
      <x:c r="G44" s="562" t="n">
        <x:f>IF(A44&gt;=1,"",E44*$B$4)</x:f>
        <x:v>234580.49886621322</x:v>
      </x:c>
      <x:c r="H44" s="562" t="n">
        <x:f>IF(A44&gt;=1,"",G44*$B$3)</x:f>
        <x:v>234580.49886621322</x:v>
      </x:c>
      <x:c r="I44" s="562" t="n">
        <x:f>IF(A44&gt;=1,"",C44-C43)</x:f>
        <x:v>1119.5887445887456</x:v>
      </x:c>
      <x:c r="J44" s="562" t="n">
        <x:f>IF(A44&gt;=1,"",I44*(1+$B$8))</x:f>
        <x:v>1133.583603896105</x:v>
      </x:c>
      <x:c r="K44" s="567" t="n">
        <x:f>IF(A44&gt;=1,"不可达",$B$5+(C44-$D$5)*(1+$B$8))</x:f>
        <x:v>25137.198788640577</x:v>
      </x:c>
    </x:row>
    <x:row r="45">
      <x:c r="A45" s="58" t="n">
        <x:v>0.9</x:v>
      </x:c>
      <x:c r="B45" s="64" t="n">
        <x:f>IF(A45&gt;=1,"",IF(ABS(A45-$B$6)&lt;0.000001,$D$4,$B$4*(1-A45)))</x:f>
        <x:v>99999999.99999999</x:v>
      </x:c>
      <x:c r="C45" s="64" t="n">
        <x:f>IF(A45&gt;=1,"",IF(ABS(A45-$B$6)&lt;0.000001,$D$5,$D$6/B45))</x:f>
        <x:v>25862.500000000004</x:v>
      </x:c>
      <x:c r="D45" s="75" t="n">
        <x:f>IF(A45&gt;=1,"",B45*C45)</x:f>
        <x:v>2586250000000</x:v>
      </x:c>
      <x:c r="E45" s="374" t="n">
        <x:f>IF(A45&gt;=1,"",C45/B45)</x:f>
        <x:v>0.00025862500000000007</x:v>
      </x:c>
      <x:c r="F45" s="374" t="n">
        <x:f>IF(ISNUMBER(E45),E45*$B$3/'币价'!$B$12,"")</x:f>
        <x:v>0.0002588413914032131</x:v>
      </x:c>
      <x:c r="G45" s="562" t="n">
        <x:f>IF(A45&gt;=1,"",E45*$B$4)</x:f>
        <x:v>258625.00000000006</x:v>
      </x:c>
      <x:c r="H45" s="562" t="n">
        <x:f>IF(A45&gt;=1,"",G45*$B$3)</x:f>
        <x:v>258625.00000000006</x:v>
      </x:c>
      <x:c r="I45" s="562" t="n">
        <x:f>IF(A45&gt;=1,"",C45-C44)</x:f>
        <x:v>1231.5476190476184</x:v>
      </x:c>
      <x:c r="J45" s="562" t="n">
        <x:f>IF(A45&gt;=1,"",I45*(1+$B$8))</x:f>
        <x:v>1246.9419642857135</x:v>
      </x:c>
      <x:c r="K45" s="567" t="n">
        <x:f>IF(A45&gt;=1,"不可达",$B$5+(C45-$D$5)*(1+$B$8))</x:f>
        <x:v>26384.14075292629</x:v>
      </x:c>
    </x:row>
    <x:row r="46">
      <x:c r="A46" s="58" t="n">
        <x:v>0.905</x:v>
      </x:c>
      <x:c r="B46" s="64" t="n">
        <x:f>IF(A46&gt;=1,"",IF(ABS(A46-$B$6)&lt;0.000001,$D$4,$B$4*(1-A46)))</x:f>
        <x:v>94999999.99999997</x:v>
      </x:c>
      <x:c r="C46" s="64" t="n">
        <x:f>IF(A46&gt;=1,"",IF(ABS(A46-$B$6)&lt;0.000001,$D$5,$D$6/B46))</x:f>
        <x:v>27223.684210526324</x:v>
      </x:c>
      <x:c r="D46" s="75" t="n">
        <x:f>IF(A46&gt;=1,"",B46*C46)</x:f>
        <x:v>2586250000000</x:v>
      </x:c>
      <x:c r="E46" s="374" t="n">
        <x:f>IF(A46&gt;=1,"",C46/B46)</x:f>
        <x:v>0.0002865650969529088</x:v>
      </x:c>
      <x:c r="F46" s="374" t="n">
        <x:f>IF(ISNUMBER(E46),E46*$B$3/'币价'!$B$12,"")</x:f>
        <x:v>0.0002868048658207349</x:v>
      </x:c>
      <x:c r="G46" s="562" t="n">
        <x:f>IF(A46&gt;=1,"",E46*$B$4)</x:f>
        <x:v>286565.0969529088</x:v>
      </x:c>
      <x:c r="H46" s="562" t="n">
        <x:f>IF(A46&gt;=1,"",G46*$B$3)</x:f>
        <x:v>286565.0969529088</x:v>
      </x:c>
      <x:c r="I46" s="562" t="n">
        <x:f>IF(A46&gt;=1,"",C46-C45)</x:f>
        <x:v>1361.1842105263204</x:v>
      </x:c>
      <x:c r="J46" s="562" t="n">
        <x:f>IF(A46&gt;=1,"",I46*(1+$B$8))</x:f>
        <x:v>1378.1990131578993</x:v>
      </x:c>
      <x:c r="K46" s="567" t="n">
        <x:f>IF(A46&gt;=1,"不可达",$B$5+(C46-$D$5)*(1+$B$8))</x:f>
        <x:v>27762.339766084187</x:v>
      </x:c>
    </x:row>
    <x:row r="47">
      <x:c r="A47" s="58" t="n">
        <x:v>0.91</x:v>
      </x:c>
      <x:c r="B47" s="64" t="n">
        <x:f>IF(A47&gt;=1,"",IF(ABS(A47-$B$6)&lt;0.000001,$D$4,$B$4*(1-A47)))</x:f>
        <x:v>89999999.99999997</x:v>
      </x:c>
      <x:c r="C47" s="64" t="n">
        <x:f>IF(A47&gt;=1,"",IF(ABS(A47-$B$6)&lt;0.000001,$D$5,$D$6/B47))</x:f>
        <x:v>28736.11111111112</x:v>
      </x:c>
      <x:c r="D47" s="75" t="n">
        <x:f>IF(A47&gt;=1,"",B47*C47)</x:f>
        <x:v>2586250000000</x:v>
      </x:c>
      <x:c r="E47" s="374" t="n">
        <x:f>IF(A47&gt;=1,"",C47/B47)</x:f>
        <x:v>0.0003192901234567903</x:v>
      </x:c>
      <x:c r="F47" s="374" t="n">
        <x:f>IF(ISNUMBER(E47),E47*$B$3/'币价'!$B$12,"")</x:f>
        <x:v>0.00031955727333730027</x:v>
      </x:c>
      <x:c r="G47" s="562" t="n">
        <x:f>IF(A47&gt;=1,"",E47*$B$4)</x:f>
        <x:v>319290.12345679034</x:v>
      </x:c>
      <x:c r="H47" s="562" t="n">
        <x:f>IF(A47&gt;=1,"",G47*$B$3)</x:f>
        <x:v>319290.12345679034</x:v>
      </x:c>
      <x:c r="I47" s="562" t="n">
        <x:f>IF(A47&gt;=1,"",C47-C46)</x:f>
        <x:v>1512.4269005847964</x:v>
      </x:c>
      <x:c r="J47" s="562" t="n">
        <x:f>IF(A47&gt;=1,"",I47*(1+$B$8))</x:f>
        <x:v>1531.3322368421063</x:v>
      </x:c>
      <x:c r="K47" s="567" t="n">
        <x:f>IF(A47&gt;=1,"不可达",$B$5+(C47-$D$5)*(1+$B$8))</x:f>
        <x:v>29293.672002926294</x:v>
      </x:c>
    </x:row>
    <x:row r="48">
      <x:c r="A48" s="58" t="n">
        <x:v>0.915</x:v>
      </x:c>
      <x:c r="B48" s="64" t="n">
        <x:f>IF(A48&gt;=1,"",IF(ABS(A48-$B$6)&lt;0.000001,$D$4,$B$4*(1-A48)))</x:f>
        <x:v>84999999.99999997</x:v>
      </x:c>
      <x:c r="C48" s="64" t="n">
        <x:f>IF(A48&gt;=1,"",IF(ABS(A48-$B$6)&lt;0.000001,$D$5,$D$6/B48))</x:f>
        <x:v>30426.470588235305</x:v>
      </x:c>
      <x:c r="D48" s="75" t="n">
        <x:f>IF(A48&gt;=1,"",B48*C48)</x:f>
        <x:v>2586250000000</x:v>
      </x:c>
      <x:c r="E48" s="374" t="n">
        <x:f>IF(A48&gt;=1,"",C48/B48)</x:f>
        <x:v>0.00035795847750865075</x:v>
      </x:c>
      <x:c r="F48" s="374" t="n">
        <x:f>IF(ISNUMBER(E48),E48*$B$3/'币价'!$B$12,"")</x:f>
        <x:v>0.000358257981180918</x:v>
      </x:c>
      <x:c r="G48" s="562" t="n">
        <x:f>IF(A48&gt;=1,"",E48*$B$4)</x:f>
        <x:v>357958.47750865074</x:v>
      </x:c>
      <x:c r="H48" s="562" t="n">
        <x:f>IF(A48&gt;=1,"",G48*$B$3)</x:f>
        <x:v>357958.47750865074</x:v>
      </x:c>
      <x:c r="I48" s="562" t="n">
        <x:f>IF(A48&gt;=1,"",C48-C47)</x:f>
        <x:v>1690.3594771241842</x:v>
      </x:c>
      <x:c r="J48" s="562" t="n">
        <x:f>IF(A48&gt;=1,"",I48*(1+$B$8))</x:f>
        <x:v>1711.4889705882365</x:v>
      </x:c>
      <x:c r="K48" s="567" t="n">
        <x:f>IF(A48&gt;=1,"不可达",$B$5+(C48-$D$5)*(1+$B$8))</x:f>
        <x:v>31005.160973514532</x:v>
      </x:c>
    </x:row>
    <x:row r="49">
      <x:c r="A49" s="58" t="n">
        <x:v>0.92</x:v>
      </x:c>
      <x:c r="B49" s="64" t="n">
        <x:f>IF(A49&gt;=1,"",IF(ABS(A49-$B$6)&lt;0.000001,$D$4,$B$4*(1-A49)))</x:f>
        <x:v>79999999.99999996</x:v>
      </x:c>
      <x:c r="C49" s="64" t="n">
        <x:f>IF(A49&gt;=1,"",IF(ABS(A49-$B$6)&lt;0.000001,$D$5,$D$6/B49))</x:f>
        <x:v>32328.12500000002</x:v>
      </x:c>
      <x:c r="D49" s="75" t="n">
        <x:f>IF(A49&gt;=1,"",B49*C49)</x:f>
        <x:v>2586250000000</x:v>
      </x:c>
      <x:c r="E49" s="374" t="n">
        <x:f>IF(A49&gt;=1,"",C49/B49)</x:f>
        <x:v>0.00040410156250000043</x:v>
      </x:c>
      <x:c r="F49" s="374" t="n">
        <x:f>IF(ISNUMBER(E49),E49*$B$3/'币价'!$B$12,"")</x:f>
        <x:v>0.00040443967406752086</x:v>
      </x:c>
      <x:c r="G49" s="562" t="n">
        <x:f>IF(A49&gt;=1,"",E49*$B$4)</x:f>
        <x:v>404101.5625000004</x:v>
      </x:c>
      <x:c r="H49" s="562" t="n">
        <x:f>IF(A49&gt;=1,"",G49*$B$3)</x:f>
        <x:v>404101.5625000004</x:v>
      </x:c>
      <x:c r="I49" s="562" t="n">
        <x:f>IF(A49&gt;=1,"",C49-C48)</x:f>
        <x:v>1901.6544117647136</x:v>
      </x:c>
      <x:c r="J49" s="562" t="n">
        <x:f>IF(A49&gt;=1,"",I49*(1+$B$8))</x:f>
        <x:v>1925.4250919117724</x:v>
      </x:c>
      <x:c r="K49" s="567" t="n">
        <x:f>IF(A49&gt;=1,"不可达",$B$5+(C49-$D$5)*(1+$B$8))</x:f>
        <x:v>32930.58606542631</x:v>
      </x:c>
    </x:row>
    <x:row r="50">
      <x:c r="A50" s="58" t="n">
        <x:v>0.925</x:v>
      </x:c>
      <x:c r="B50" s="64" t="n">
        <x:f>IF(A50&gt;=1,"",IF(ABS(A50-$B$6)&lt;0.000001,$D$4,$B$4*(1-A50)))</x:f>
        <x:v>74999999.99999996</x:v>
      </x:c>
      <x:c r="C50" s="64" t="n">
        <x:f>IF(A50&gt;=1,"",IF(ABS(A50-$B$6)&lt;0.000001,$D$5,$D$6/B50))</x:f>
        <x:v>34483.33333333335</x:v>
      </x:c>
      <x:c r="D50" s="75" t="n">
        <x:f>IF(A50&gt;=1,"",B50*C50)</x:f>
        <x:v>2586249999999.9995</x:v>
      </x:c>
      <x:c r="E50" s="374" t="n">
        <x:f>IF(A50&gt;=1,"",C50/B50)</x:f>
        <x:v>0.0004597777777777783</x:v>
      </x:c>
      <x:c r="F50" s="374" t="n">
        <x:f>IF(ISNUMBER(E50),E50*$B$3/'币价'!$B$12,"")</x:f>
        <x:v>0.00046016247360571266</x:v>
      </x:c>
      <x:c r="G50" s="562" t="n">
        <x:f>IF(A50&gt;=1,"",E50*$B$4)</x:f>
        <x:v>459777.7777777783</x:v>
      </x:c>
      <x:c r="H50" s="562" t="n">
        <x:f>IF(A50&gt;=1,"",G50*$B$3)</x:f>
        <x:v>459777.7777777783</x:v>
      </x:c>
      <x:c r="I50" s="562" t="n">
        <x:f>IF(A50&gt;=1,"",C50-C49)</x:f>
        <x:v>2155.208333333332</x:v>
      </x:c>
      <x:c r="J50" s="562" t="n">
        <x:f>IF(A50&gt;=1,"",I50*(1+$B$8))</x:f>
        <x:v>2182.1484374999986</x:v>
      </x:c>
      <x:c r="K50" s="567" t="n">
        <x:f>IF(A50&gt;=1,"不可达",$B$5+(C50-$D$5)*(1+$B$8))</x:f>
        <x:v>35112.7345029263</x:v>
      </x:c>
    </x:row>
    <x:row r="51">
      <x:c r="A51" s="58" t="n">
        <x:v>0.93</x:v>
      </x:c>
      <x:c r="B51" s="64" t="n">
        <x:f>IF(A51&gt;=1,"",IF(ABS(A51-$B$6)&lt;0.000001,$D$4,$B$4*(1-A51)))</x:f>
        <x:v>69999999.99999996</x:v>
      </x:c>
      <x:c r="C51" s="64" t="n">
        <x:f>IF(A51&gt;=1,"",IF(ABS(A51-$B$6)&lt;0.000001,$D$5,$D$6/B51))</x:f>
        <x:v>36946.428571428594</x:v>
      </x:c>
      <x:c r="D51" s="75" t="n">
        <x:f>IF(A51&gt;=1,"",B51*C51)</x:f>
        <x:v>2586250000000</x:v>
      </x:c>
      <x:c r="E51" s="374" t="n">
        <x:f>IF(A51&gt;=1,"",C51/B51)</x:f>
        <x:v>0.0005278061224489802</x:v>
      </x:c>
      <x:c r="F51" s="374" t="n">
        <x:f>IF(ISNUMBER(E51),E51*$B$3/'币价'!$B$12,"")</x:f>
        <x:v>0.0005282477375575783</x:v>
      </x:c>
      <x:c r="G51" s="562" t="n">
        <x:f>IF(A51&gt;=1,"",E51*$B$4)</x:f>
        <x:v>527806.1224489802</x:v>
      </x:c>
      <x:c r="H51" s="562" t="n">
        <x:f>IF(A51&gt;=1,"",G51*$B$3)</x:f>
        <x:v>527806.1224489802</x:v>
      </x:c>
      <x:c r="I51" s="562" t="n">
        <x:f>IF(A51&gt;=1,"",C51-C50)</x:f>
        <x:v>2463.095238095244</x:v>
      </x:c>
      <x:c r="J51" s="562" t="n">
        <x:f>IF(A51&gt;=1,"",I51*(1+$B$8))</x:f>
        <x:v>2493.8839285714344</x:v>
      </x:c>
      <x:c r="K51" s="567" t="n">
        <x:f>IF(A51&gt;=1,"不可达",$B$5+(C51-$D$5)*(1+$B$8))</x:f>
        <x:v>37606.618431497736</x:v>
      </x:c>
    </x:row>
    <x:row r="52">
      <x:c r="A52" s="58" t="n">
        <x:v>0.935</x:v>
      </x:c>
      <x:c r="B52" s="64" t="n">
        <x:f>IF(A52&gt;=1,"",IF(ABS(A52-$B$6)&lt;0.000001,$D$4,$B$4*(1-A52)))</x:f>
        <x:v>64999999.99999995</x:v>
      </x:c>
      <x:c r="C52" s="64" t="n">
        <x:f>IF(A52&gt;=1,"",IF(ABS(A52-$B$6)&lt;0.000001,$D$5,$D$6/B52))</x:f>
        <x:v>39788.46153846157</x:v>
      </x:c>
      <x:c r="D52" s="75" t="n">
        <x:f>IF(A52&gt;=1,"",B52*C52)</x:f>
        <x:v>2586250000000</x:v>
      </x:c>
      <x:c r="E52" s="374" t="n">
        <x:f>IF(A52&gt;=1,"",C52/B52)</x:f>
        <x:v>0.0006121301775147939</x:v>
      </x:c>
      <x:c r="F52" s="374" t="n">
        <x:f>IF(ISNUMBER(E52),E52*$B$3/'币价'!$B$12,"")</x:f>
        <x:v>0.0006126423465164817</x:v>
      </x:c>
      <x:c r="G52" s="562" t="n">
        <x:f>IF(A52&gt;=1,"",E52*$B$4)</x:f>
        <x:v>612130.1775147939</x:v>
      </x:c>
      <x:c r="H52" s="562" t="n">
        <x:f>IF(A52&gt;=1,"",G52*$B$3)</x:f>
        <x:v>612130.1775147939</x:v>
      </x:c>
      <x:c r="I52" s="562" t="n">
        <x:f>IF(A52&gt;=1,"",C52-C51)</x:f>
        <x:v>2842.032967032974</x:v>
      </x:c>
      <x:c r="J52" s="562" t="n">
        <x:f>IF(A52&gt;=1,"",I52*(1+$B$8))</x:f>
        <x:v>2877.558379120886</x:v>
      </x:c>
      <x:c r="K52" s="567" t="n">
        <x:f>IF(A52&gt;=1,"不可达",$B$5+(C52-$D$5)*(1+$B$8))</x:f>
        <x:v>40484.17681061862</x:v>
      </x:c>
    </x:row>
    <x:row r="53">
      <x:c r="A53" s="58" t="n">
        <x:v>0.94</x:v>
      </x:c>
      <x:c r="B53" s="64" t="n">
        <x:f>IF(A53&gt;=1,"",IF(ABS(A53-$B$6)&lt;0.000001,$D$4,$B$4*(1-A53)))</x:f>
        <x:v>60000000.00000005</x:v>
      </x:c>
      <x:c r="C53" s="64" t="n">
        <x:f>IF(A53&gt;=1,"",IF(ABS(A53-$B$6)&lt;0.000001,$D$5,$D$6/B53))</x:f>
        <x:v>43104.16666666663</x:v>
      </x:c>
      <x:c r="D53" s="75" t="n">
        <x:f>IF(A53&gt;=1,"",B53*C53)</x:f>
        <x:v>2586250000000</x:v>
      </x:c>
      <x:c r="E53" s="374" t="n">
        <x:f>IF(A53&gt;=1,"",C53/B53)</x:f>
        <x:v>0.0007184027777777765</x:v>
      </x:c>
      <x:c r="F53" s="374" t="n">
        <x:f>IF(ISNUMBER(E53),E53*$B$3/'币价'!$B$12,"")</x:f>
        <x:v>0.0007190038650089239</x:v>
      </x:c>
      <x:c r="G53" s="562" t="n">
        <x:f>IF(A53&gt;=1,"",E53*$B$4)</x:f>
        <x:v>718402.7777777765</x:v>
      </x:c>
      <x:c r="H53" s="562" t="n">
        <x:f>IF(A53&gt;=1,"",G53*$B$3)</x:f>
        <x:v>718402.7777777765</x:v>
      </x:c>
      <x:c r="I53" s="562" t="n">
        <x:f>IF(A53&gt;=1,"",C53-C52)</x:f>
        <x:v>3315.7051282050597</x:v>
      </x:c>
      <x:c r="J53" s="562" t="n">
        <x:f>IF(A53&gt;=1,"",I53*(1+$B$8))</x:f>
        <x:v>3357.151442307623</x:v>
      </x:c>
      <x:c r="K53" s="567" t="n">
        <x:f>IF(A53&gt;=1,"不可达",$B$5+(C53-$D$5)*(1+$B$8))</x:f>
        <x:v>43841.32825292625</x:v>
      </x:c>
    </x:row>
    <x:row r="54">
      <x:c r="A54" s="58" t="n">
        <x:v>0.945</x:v>
      </x:c>
      <x:c r="B54" s="64" t="n">
        <x:f>IF(A54&gt;=1,"",IF(ABS(A54-$B$6)&lt;0.000001,$D$4,$B$4*(1-A54)))</x:f>
        <x:v>55000000.00000005</x:v>
      </x:c>
      <x:c r="C54" s="64" t="n">
        <x:f>IF(A54&gt;=1,"",IF(ABS(A54-$B$6)&lt;0.000001,$D$5,$D$6/B54))</x:f>
        <x:v>47022.72727272723</x:v>
      </x:c>
      <x:c r="D54" s="75" t="n">
        <x:f>IF(A54&gt;=1,"",B54*C54)</x:f>
        <x:v>2586250000000</x:v>
      </x:c>
      <x:c r="E54" s="374" t="n">
        <x:f>IF(A54&gt;=1,"",C54/B54)</x:f>
        <x:v>0.0008549586776859488</x:v>
      </x:c>
      <x:c r="F54" s="374" t="n">
        <x:f>IF(ISNUMBER(E54),E54*$B$3/'币价'!$B$12,"")</x:f>
        <x:v>0.0008556740211676448</x:v>
      </x:c>
      <x:c r="G54" s="562" t="n">
        <x:f>IF(A54&gt;=1,"",E54*$B$4)</x:f>
        <x:v>854958.6776859488</x:v>
      </x:c>
      <x:c r="H54" s="562" t="n">
        <x:f>IF(A54&gt;=1,"",G54*$B$3)</x:f>
        <x:v>854958.6776859488</x:v>
      </x:c>
      <x:c r="I54" s="562" t="n">
        <x:f>IF(A54&gt;=1,"",C54-C53)</x:f>
        <x:v>3918.5606060606005</x:v>
      </x:c>
      <x:c r="J54" s="562" t="n">
        <x:f>IF(A54&gt;=1,"",I54*(1+$B$8))</x:f>
        <x:v>3967.542613636358</x:v>
      </x:c>
      <x:c r="K54" s="567" t="n">
        <x:f>IF(A54&gt;=1,"不可达",$B$5+(C54-$D$5)*(1+$B$8))</x:f>
        <x:v>47808.8708665626</x:v>
      </x:c>
    </x:row>
    <x:row r="55">
      <x:c r="A55" s="58" t="n">
        <x:v>0.95</x:v>
      </x:c>
      <x:c r="B55" s="64" t="n">
        <x:f>IF(A55&gt;=1,"",IF(ABS(A55-$B$6)&lt;0.000001,$D$4,$B$4*(1-A55)))</x:f>
        <x:v>50000000.000000045</x:v>
      </x:c>
      <x:c r="C55" s="64" t="n">
        <x:f>IF(A55&gt;=1,"",IF(ABS(A55-$B$6)&lt;0.000001,$D$5,$D$6/B55))</x:f>
        <x:v>51724.999999999956</x:v>
      </x:c>
      <x:c r="D55" s="75" t="n">
        <x:f>IF(A55&gt;=1,"",B55*C55)</x:f>
        <x:v>2586250000000</x:v>
      </x:c>
      <x:c r="E55" s="374" t="n">
        <x:f>IF(A55&gt;=1,"",C55/B55)</x:f>
        <x:v>0.001034499999999998</x:v>
      </x:c>
      <x:c r="F55" s="374" t="n">
        <x:f>IF(ISNUMBER(E55),E55*$B$3/'币价'!$B$12,"")</x:f>
        <x:v>0.0010353655656128503</x:v>
      </x:c>
      <x:c r="G55" s="562" t="n">
        <x:f>IF(A55&gt;=1,"",E55*$B$4)</x:f>
        <x:v>1034499.9999999981</x:v>
      </x:c>
      <x:c r="H55" s="562" t="n">
        <x:f>IF(A55&gt;=1,"",G55*$B$3)</x:f>
        <x:v>1034499.9999999981</x:v>
      </x:c>
      <x:c r="I55" s="562" t="n">
        <x:f>IF(A55&gt;=1,"",C55-C54)</x:f>
        <x:v>4702.272727272728</x:v>
      </x:c>
      <x:c r="J55" s="562" t="n">
        <x:f>IF(A55&gt;=1,"",I55*(1+$B$8))</x:f>
        <x:v>4761.051136363637</x:v>
      </x:c>
      <x:c r="K55" s="567" t="n">
        <x:f>IF(A55&gt;=1,"不可达",$B$5+(C55-$D$5)*(1+$B$8))</x:f>
        <x:v>52569.92200292624</x:v>
      </x:c>
    </x:row>
    <x:row r="56">
      <x:c r="A56" s="58" t="n">
        <x:v>0.955</x:v>
      </x:c>
      <x:c r="B56" s="64" t="n">
        <x:f>IF(A56&gt;=1,"",IF(ABS(A56-$B$6)&lt;0.000001,$D$4,$B$4*(1-A56)))</x:f>
        <x:v>45000000.00000004</x:v>
      </x:c>
      <x:c r="C56" s="64" t="n">
        <x:f>IF(A56&gt;=1,"",IF(ABS(A56-$B$6)&lt;0.000001,$D$5,$D$6/B56))</x:f>
        <x:v>57472.222222222175</x:v>
      </x:c>
      <x:c r="D56" s="75" t="n">
        <x:f>IF(A56&gt;=1,"",B56*C56)</x:f>
        <x:v>2586250000000</x:v>
      </x:c>
      <x:c r="E56" s="374" t="n">
        <x:f>IF(A56&gt;=1,"",C56/B56)</x:f>
        <x:v>0.0012771604938271585</x:v>
      </x:c>
      <x:c r="F56" s="374" t="n">
        <x:f>IF(ISNUMBER(E56),E56*$B$3/'币价'!$B$12,"")</x:f>
        <x:v>0.0012782290933491982</x:v>
      </x:c>
      <x:c r="G56" s="562" t="n">
        <x:f>IF(A56&gt;=1,"",E56*$B$4)</x:f>
        <x:v>1277160.4938271586</x:v>
      </x:c>
      <x:c r="H56" s="562" t="n">
        <x:f>IF(A56&gt;=1,"",G56*$B$3)</x:f>
        <x:v>1277160.4938271586</x:v>
      </x:c>
      <x:c r="I56" s="562" t="n">
        <x:f>IF(A56&gt;=1,"",C56-C55)</x:f>
        <x:v>5747.222222222219</x:v>
      </x:c>
      <x:c r="J56" s="562" t="n">
        <x:f>IF(A56&gt;=1,"",I56*(1+$B$8))</x:f>
        <x:v>5819.062499999996</x:v>
      </x:c>
      <x:c r="K56" s="567" t="n">
        <x:f>IF(A56&gt;=1,"不可达",$B$5+(C56-$D$5)*(1+$B$8))</x:f>
        <x:v>58388.984502926236</x:v>
      </x:c>
    </x:row>
    <x:row r="57">
      <x:c r="A57" s="58" t="n">
        <x:v>0.96</x:v>
      </x:c>
      <x:c r="B57" s="64" t="n">
        <x:f>IF(A57&gt;=1,"",IF(ABS(A57-$B$6)&lt;0.000001,$D$4,$B$4*(1-A57)))</x:f>
        <x:v>40000000.00000004</x:v>
      </x:c>
      <x:c r="C57" s="64" t="n">
        <x:f>IF(A57&gt;=1,"",IF(ABS(A57-$B$6)&lt;0.000001,$D$5,$D$6/B57))</x:f>
        <x:v>64656.24999999994</x:v>
      </x:c>
      <x:c r="D57" s="75" t="n">
        <x:f>IF(A57&gt;=1,"",B57*C57)</x:f>
        <x:v>2586250000000</x:v>
      </x:c>
      <x:c r="E57" s="374" t="n">
        <x:f>IF(A57&gt;=1,"",C57/B57)</x:f>
        <x:v>0.001616406249999997</x:v>
      </x:c>
      <x:c r="F57" s="374" t="n">
        <x:f>IF(ISNUMBER(E57),E57*$B$3/'币价'!$B$12,"")</x:f>
        <x:v>0.0016177586962700787</x:v>
      </x:c>
      <x:c r="G57" s="562" t="n">
        <x:f>IF(A57&gt;=1,"",E57*$B$4)</x:f>
        <x:v>1616406.249999997</x:v>
      </x:c>
      <x:c r="H57" s="562" t="n">
        <x:f>IF(A57&gt;=1,"",G57*$B$3)</x:f>
        <x:v>1616406.249999997</x:v>
      </x:c>
      <x:c r="I57" s="562" t="n">
        <x:f>IF(A57&gt;=1,"",C57-C56)</x:f>
        <x:v>7184.0277777777665</x:v>
      </x:c>
      <x:c r="J57" s="562" t="n">
        <x:f>IF(A57&gt;=1,"",I57*(1+$B$8))</x:f>
        <x:v>7273.828124999988</x:v>
      </x:c>
      <x:c r="K57" s="567" t="n">
        <x:f>IF(A57&gt;=1,"不可达",$B$5+(C57-$D$5)*(1+$B$8))</x:f>
        <x:v>65662.81262792624</x:v>
      </x:c>
    </x:row>
    <x:row r="58">
      <x:c r="A58" s="58" t="n">
        <x:v>0.965</x:v>
      </x:c>
      <x:c r="B58" s="64" t="n">
        <x:f>IF(A58&gt;=1,"",IF(ABS(A58-$B$6)&lt;0.000001,$D$4,$B$4*(1-A58)))</x:f>
        <x:v>35000000.00000003</x:v>
      </x:c>
      <x:c r="C58" s="64" t="n">
        <x:f>IF(A58&gt;=1,"",IF(ABS(A58-$B$6)&lt;0.000001,$D$5,$D$6/B58))</x:f>
        <x:v>73892.85714285709</x:v>
      </x:c>
      <x:c r="D58" s="75" t="n">
        <x:f>IF(A58&gt;=1,"",B58*C58)</x:f>
        <x:v>2586250000000</x:v>
      </x:c>
      <x:c r="E58" s="374" t="n">
        <x:f>IF(A58&gt;=1,"",C58/B58)</x:f>
        <x:v>0.002111224489795915</x:v>
      </x:c>
      <x:c r="F58" s="374" t="n">
        <x:f>IF(ISNUMBER(E58),E58*$B$3/'币价'!$B$12,"")</x:f>
        <x:v>0.002112990950230307</x:v>
      </x:c>
      <x:c r="G58" s="562" t="n">
        <x:f>IF(A58&gt;=1,"",E58*$B$4)</x:f>
        <x:v>2111224.489795915</x:v>
      </x:c>
      <x:c r="H58" s="562" t="n">
        <x:f>IF(A58&gt;=1,"",G58*$B$3)</x:f>
        <x:v>2111224.489795915</x:v>
      </x:c>
      <x:c r="I58" s="562" t="n">
        <x:f>IF(A58&gt;=1,"",C58-C57)</x:f>
        <x:v>9236.607142857145</x:v>
      </x:c>
      <x:c r="J58" s="562" t="n">
        <x:f>IF(A58&gt;=1,"",I58*(1+$B$8))</x:f>
        <x:v>9352.064732142859</x:v>
      </x:c>
      <x:c r="K58" s="567" t="n">
        <x:f>IF(A58&gt;=1,"不可达",$B$5+(C58-$D$5)*(1+$B$8))</x:f>
        <x:v>75014.87736006908</x:v>
      </x:c>
    </x:row>
    <x:row r="59">
      <x:c r="A59" s="58" t="n">
        <x:v>0.97</x:v>
      </x:c>
      <x:c r="B59" s="64" t="n">
        <x:f>IF(A59&gt;=1,"",IF(ABS(A59-$B$6)&lt;0.000001,$D$4,$B$4*(1-A59)))</x:f>
        <x:v>30000000.000000026</x:v>
      </x:c>
      <x:c r="C59" s="64" t="n">
        <x:f>IF(A59&gt;=1,"",IF(ABS(A59-$B$6)&lt;0.000001,$D$5,$D$6/B59))</x:f>
        <x:v>86208.33333333326</x:v>
      </x:c>
      <x:c r="D59" s="75" t="n">
        <x:f>IF(A59&gt;=1,"",B59*C59)</x:f>
        <x:v>2586250000000</x:v>
      </x:c>
      <x:c r="E59" s="374" t="n">
        <x:f>IF(A59&gt;=1,"",C59/B59)</x:f>
        <x:v>0.002873611111111106</x:v>
      </x:c>
      <x:c r="F59" s="374" t="n">
        <x:f>IF(ISNUMBER(E59),E59*$B$3/'币价'!$B$12,"")</x:f>
        <x:v>0.0028760154600356957</x:v>
      </x:c>
      <x:c r="G59" s="562" t="n">
        <x:f>IF(A59&gt;=1,"",E59*$B$4)</x:f>
        <x:v>2873611.111111106</x:v>
      </x:c>
      <x:c r="H59" s="562" t="n">
        <x:f>IF(A59&gt;=1,"",G59*$B$3)</x:f>
        <x:v>2873611.111111106</x:v>
      </x:c>
      <x:c r="I59" s="562" t="n">
        <x:f>IF(A59&gt;=1,"",C59-C58)</x:f>
        <x:v>12315.476190476169</x:v>
      </x:c>
      <x:c r="J59" s="562" t="n">
        <x:f>IF(A59&gt;=1,"",I59*(1+$B$8))</x:f>
        <x:v>12469.419642857121</x:v>
      </x:c>
      <x:c r="K59" s="567" t="n">
        <x:f>IF(A59&gt;=1,"不可达",$B$5+(C59-$D$5)*(1+$B$8))</x:f>
        <x:v>87484.2970029262</x:v>
      </x:c>
    </x:row>
    <x:row r="60">
      <x:c r="A60" s="58" t="n">
        <x:v>0.975</x:v>
      </x:c>
      <x:c r="B60" s="64" t="n">
        <x:f>IF(A60&gt;=1,"",IF(ABS(A60-$B$6)&lt;0.000001,$D$4,$B$4*(1-A60)))</x:f>
        <x:v>25000000.000000022</x:v>
      </x:c>
      <x:c r="C60" s="64" t="n">
        <x:f>IF(A60&gt;=1,"",IF(ABS(A60-$B$6)&lt;0.000001,$D$5,$D$6/B60))</x:f>
        <x:v>103449.99999999991</x:v>
      </x:c>
      <x:c r="D60" s="75" t="n">
        <x:f>IF(A60&gt;=1,"",B60*C60)</x:f>
        <x:v>2586250000000</x:v>
      </x:c>
      <x:c r="E60" s="374" t="n">
        <x:f>IF(A60&gt;=1,"",C60/B60)</x:f>
        <x:v>0.004137999999999992</x:v>
      </x:c>
      <x:c r="F60" s="374" t="n">
        <x:f>IF(ISNUMBER(E60),E60*$B$3/'币价'!$B$12,"")</x:f>
        <x:v>0.004141462262451401</x:v>
      </x:c>
      <x:c r="G60" s="562" t="n">
        <x:f>IF(A60&gt;=1,"",E60*$B$4)</x:f>
        <x:v>4137999.9999999925</x:v>
      </x:c>
      <x:c r="H60" s="562" t="n">
        <x:f>IF(A60&gt;=1,"",G60*$B$3)</x:f>
        <x:v>4137999.9999999925</x:v>
      </x:c>
      <x:c r="I60" s="562" t="n">
        <x:f>IF(A60&gt;=1,"",C60-C59)</x:f>
        <x:v>17241.666666666657</x:v>
      </x:c>
      <x:c r="J60" s="562" t="n">
        <x:f>IF(A60&gt;=1,"",I60*(1+$B$8))</x:f>
        <x:v>17457.18749999999</x:v>
      </x:c>
      <x:c r="K60" s="567" t="n">
        <x:f>IF(A60&gt;=1,"不可达",$B$5+(C60-$D$5)*(1+$B$8))</x:f>
        <x:v>104941.4845029262</x:v>
      </x:c>
    </x:row>
    <x:row r="61">
      <x:c r="A61" s="58" t="n">
        <x:v>0.98</x:v>
      </x:c>
      <x:c r="B61" s="64" t="n">
        <x:f>IF(A61&gt;=1,"",IF(ABS(A61-$B$6)&lt;0.000001,$D$4,$B$4*(1-A61)))</x:f>
        <x:v>20000000.00000002</x:v>
      </x:c>
      <x:c r="C61" s="64" t="n">
        <x:f>IF(A61&gt;=1,"",IF(ABS(A61-$B$6)&lt;0.000001,$D$5,$D$6/B61))</x:f>
        <x:v>129312.49999999988</x:v>
      </x:c>
      <x:c r="D61" s="75" t="n">
        <x:f>IF(A61&gt;=1,"",B61*C61)</x:f>
        <x:v>2586250000000</x:v>
      </x:c>
      <x:c r="E61" s="374" t="n">
        <x:f>IF(A61&gt;=1,"",C61/B61)</x:f>
        <x:v>0.006465624999999988</x:v>
      </x:c>
      <x:c r="F61" s="374" t="n">
        <x:f>IF(ISNUMBER(E61),E61*$B$3/'币价'!$B$12,"")</x:f>
        <x:v>0.006471034785080315</x:v>
      </x:c>
      <x:c r="G61" s="562" t="n">
        <x:f>IF(A61&gt;=1,"",E61*$B$4)</x:f>
        <x:v>6465624.999999988</x:v>
      </x:c>
      <x:c r="H61" s="562" t="n">
        <x:f>IF(A61&gt;=1,"",G61*$B$3)</x:f>
        <x:v>6465624.999999988</x:v>
      </x:c>
      <x:c r="I61" s="562" t="n">
        <x:f>IF(A61&gt;=1,"",C61-C60)</x:f>
        <x:v>25862.49999999997</x:v>
      </x:c>
      <x:c r="J61" s="562" t="n">
        <x:f>IF(A61&gt;=1,"",I61*(1+$B$8))</x:f>
        <x:v>26185.78124999997</x:v>
      </x:c>
      <x:c r="K61" s="567" t="n">
        <x:f>IF(A61&gt;=1,"不可达",$B$5+(C61-$D$5)*(1+$B$8))</x:f>
        <x:v>131127.26575292618</x:v>
      </x:c>
    </x:row>
    <x:row r="62">
      <x:c r="A62" s="58" t="n">
        <x:v>0.985</x:v>
      </x:c>
      <x:c r="B62" s="64" t="n">
        <x:f>IF(A62&gt;=1,"",IF(ABS(A62-$B$6)&lt;0.000001,$D$4,$B$4*(1-A62)))</x:f>
        <x:v>15000000.000000013</x:v>
      </x:c>
      <x:c r="C62" s="64" t="n">
        <x:f>IF(A62&gt;=1,"",IF(ABS(A62-$B$6)&lt;0.000001,$D$5,$D$6/B62))</x:f>
        <x:v>172416.6666666665</x:v>
      </x:c>
      <x:c r="D62" s="75" t="n">
        <x:f>IF(A62&gt;=1,"",B62*C62)</x:f>
        <x:v>2586250000000</x:v>
      </x:c>
      <x:c r="E62" s="374" t="n">
        <x:f>IF(A62&gt;=1,"",C62/B62)</x:f>
        <x:v>0.011494444444444423</x:v>
      </x:c>
      <x:c r="F62" s="374" t="n">
        <x:f>IF(ISNUMBER(E62),E62*$B$3/'币价'!$B$12,"")</x:f>
        <x:v>0.011504061840142783</x:v>
      </x:c>
      <x:c r="G62" s="562" t="n">
        <x:f>IF(A62&gt;=1,"",E62*$B$4)</x:f>
        <x:v>11494444.444444424</x:v>
      </x:c>
      <x:c r="H62" s="562" t="n">
        <x:f>IF(A62&gt;=1,"",G62*$B$3)</x:f>
        <x:v>11494444.444444424</x:v>
      </x:c>
      <x:c r="I62" s="562" t="n">
        <x:f>IF(A62&gt;=1,"",C62-C61)</x:f>
        <x:v>43104.16666666663</x:v>
      </x:c>
      <x:c r="J62" s="562" t="n">
        <x:f>IF(A62&gt;=1,"",I62*(1+$B$8))</x:f>
        <x:v>43642.968749999956</x:v>
      </x:c>
      <x:c r="K62" s="567" t="n">
        <x:f>IF(A62&gt;=1,"不可达",$B$5+(C62-$D$5)*(1+$B$8))</x:f>
        <x:v>174770.23450292612</x:v>
      </x:c>
    </x:row>
    <x:row r="63">
      <x:c r="A63" s="58" t="n">
        <x:v>0.99</x:v>
      </x:c>
      <x:c r="B63" s="64" t="n">
        <x:f>IF(A63&gt;=1,"",IF(ABS(A63-$B$6)&lt;0.000001,$D$4,$B$4*(1-A63)))</x:f>
        <x:v>10000000.00000001</x:v>
      </x:c>
      <x:c r="C63" s="64" t="n">
        <x:f>IF(A63&gt;=1,"",IF(ABS(A63-$B$6)&lt;0.000001,$D$5,$D$6/B63))</x:f>
        <x:v>258624.99999999977</x:v>
      </x:c>
      <x:c r="D63" s="75" t="n">
        <x:f>IF(A63&gt;=1,"",B63*C63)</x:f>
        <x:v>2586250000000</x:v>
      </x:c>
      <x:c r="E63" s="374" t="n">
        <x:f>IF(A63&gt;=1,"",C63/B63)</x:f>
        <x:v>0.02586249999999995</x:v>
      </x:c>
      <x:c r="F63" s="374" t="n">
        <x:f>IF(ISNUMBER(E63),E63*$B$3/'币价'!$B$12,"")</x:f>
        <x:v>0.02588413914032126</x:v>
      </x:c>
      <x:c r="G63" s="562" t="n">
        <x:f>IF(A63&gt;=1,"",E63*$B$4)</x:f>
        <x:v>25862499.99999995</x:v>
      </x:c>
      <x:c r="H63" s="562" t="n">
        <x:f>IF(A63&gt;=1,"",G63*$B$3)</x:f>
        <x:v>25862499.99999995</x:v>
      </x:c>
      <x:c r="I63" s="562" t="n">
        <x:f>IF(A63&gt;=1,"",C63-C62)</x:f>
        <x:v>86208.33333333326</x:v>
      </x:c>
      <x:c r="J63" s="562" t="n">
        <x:f>IF(A63&gt;=1,"",I63*(1+$B$8))</x:f>
        <x:v>87285.93749999991</x:v>
      </x:c>
      <x:c r="K63" s="567" t="n">
        <x:f>IF(A63&gt;=1,"不可达",$B$5+(C63-$D$5)*(1+$B$8))</x:f>
        <x:v>262056.17200292606</x:v>
      </x:c>
    </x:row>
    <x:row r="64">
      <x:c r="A64" s="58" t="n">
        <x:v>0.995</x:v>
      </x:c>
      <x:c r="B64" s="64" t="n">
        <x:f>IF(A64&gt;=1,"",IF(ABS(A64-$B$6)&lt;0.000001,$D$4,$B$4*(1-A64)))</x:f>
        <x:v>5000000.000000005</x:v>
      </x:c>
      <x:c r="C64" s="64" t="n">
        <x:f>IF(A64&gt;=1,"",IF(ABS(A64-$B$6)&lt;0.000001,$D$5,$D$6/B64))</x:f>
        <x:v>517249.99999999953</x:v>
      </x:c>
      <x:c r="D64" s="75" t="n">
        <x:f>IF(A64&gt;=1,"",B64*C64)</x:f>
        <x:v>2586250000000</x:v>
      </x:c>
      <x:c r="E64" s="374" t="n">
        <x:f>IF(A64&gt;=1,"",C64/B64)</x:f>
        <x:v>0.1034499999999998</x:v>
      </x:c>
      <x:c r="F64" s="374" t="n">
        <x:f>IF(ISNUMBER(E64),E64*$B$3/'币价'!$B$12,"")</x:f>
        <x:v>0.10353655656128503</x:v>
      </x:c>
      <x:c r="G64" s="562" t="n">
        <x:f>IF(A64&gt;=1,"",E64*$B$4)</x:f>
        <x:v>103449999.9999998</x:v>
      </x:c>
      <x:c r="H64" s="562" t="n">
        <x:f>IF(A64&gt;=1,"",G64*$B$3)</x:f>
        <x:v>103449999.9999998</x:v>
      </x:c>
      <x:c r="I64" s="562" t="n">
        <x:f>IF(A64&gt;=1,"",C64-C63)</x:f>
        <x:v>258624.99999999977</x:v>
      </x:c>
      <x:c r="J64" s="562" t="n">
        <x:f>IF(A64&gt;=1,"",I64*(1+$B$8))</x:f>
        <x:v>261857.81249999977</x:v>
      </x:c>
      <x:c r="K64" s="567" t="n">
        <x:f>IF(A64&gt;=1,"不可达",$B$5+(C64-$D$5)*(1+$B$8))</x:f>
        <x:v>523913.9845029258</x:v>
      </x:c>
    </x:row>
    <x:row r="65">
      <x:c r="A65" s="58" t="n">
        <x:v>1</x:v>
      </x:c>
      <x:c r="B65" s="64" t="str">
        <x:f>IF(A65&gt;=1,"",IF(ABS(A65-$B$6)&lt;0.000001,$D$4,$B$4*(1-A65)))</x:f>
      </x:c>
      <x:c r="C65" s="64" t="str">
        <x:f>IF(A65&gt;=1,"",IF(ABS(A65-$B$6)&lt;0.000001,$D$5,$D$6/B65))</x:f>
      </x:c>
      <x:c r="D65" s="75" t="str">
        <x:f>IF(A65&gt;=1,"",B65*C65)</x:f>
      </x:c>
      <x:c r="E65" s="374" t="str">
        <x:f>IF(A65&gt;=1,"",C65/B65)</x:f>
      </x:c>
      <x:c r="F65" s="374" t="str">
        <x:f>IF(ISNUMBER(E65),E65*$B$3/'币价'!$B$12,"")</x:f>
      </x:c>
      <x:c r="G65" s="562" t="str">
        <x:f>IF(A65&gt;=1,"",E65*$B$4)</x:f>
      </x:c>
      <x:c r="H65" s="562" t="str">
        <x:f>IF(A65&gt;=1,"",G65*$B$3)</x:f>
      </x:c>
      <x:c r="I65" s="562" t="str">
        <x:f>IF(A65&gt;=1,"",C65-C64)</x:f>
      </x:c>
      <x:c r="J65" s="562" t="str">
        <x:f>IF(A65&gt;=1,"",I65*(1+$B$8))</x:f>
      </x:c>
      <x:c r="K65" s="567" t="str">
        <x:f>IF(A65&gt;=1,"不可达",$B$5+(C65-$D$5)*(1+$B$8))</x:f>
        <x:v>不可达</x:v>
      </x:c>
    </x:row>
    <x:row r="66">
      <x:c r="A66" s="59"/>
      <x:c r="B66" s="65"/>
      <x:c r="C66" s="65"/>
      <x:c r="D66" s="76"/>
      <x:c r="E66" s="82"/>
      <x:c r="F66" s="88"/>
      <x:c r="G66" s="65"/>
      <x:c r="H66" s="65"/>
      <x:c r="I66" s="65"/>
      <x:c r="J66" s="65"/>
      <x:c r="K66" s="65"/>
    </x:row>
    <x:row r="67">
      <x:c r="A67" s="59"/>
      <x:c r="B67" s="65"/>
      <x:c r="C67" s="17"/>
      <x:c r="D67" s="76"/>
      <x:c r="E67" s="82"/>
      <x:c r="F67" s="88"/>
      <x:c r="G67" s="88"/>
    </x:row>
    <x:row r="68">
      <x:c r="A68" s="59"/>
      <x:c r="B68" s="65"/>
      <x:c r="C68" s="17"/>
      <x:c r="D68" s="76"/>
      <x:c r="E68" s="82"/>
      <x:c r="F68" s="88"/>
      <x:c r="G68" s="88"/>
    </x:row>
    <x:row r="69">
      <x:c r="A69" s="59"/>
      <x:c r="B69" s="65"/>
      <x:c r="C69" s="17"/>
      <x:c r="D69" s="76"/>
      <x:c r="E69" s="82"/>
      <x:c r="F69" s="88"/>
      <x:c r="G69" s="88"/>
    </x:row>
    <x:row r="70">
      <x:c r="A70" s="59"/>
      <x:c r="B70" s="65"/>
      <x:c r="C70" s="17"/>
      <x:c r="D70" s="76"/>
      <x:c r="E70" s="82"/>
      <x:c r="F70" s="88"/>
      <x:c r="G70" s="88"/>
    </x:row>
    <x:row r="71" ht="28" customHeight="1">
      <x:c r="A71" s="61" t="str">
        <x:v>外盘回落参考 · 从 80% 控筹回落至 0%（每 10%）</x:v>
      </x:c>
      <x:c r="B71" s="67"/>
      <x:c r="C71" s="72"/>
      <x:c r="D71" s="78"/>
      <x:c r="E71" s="84"/>
      <x:c r="F71" s="90"/>
      <x:c r="G71" s="90"/>
      <x:c r="H71" s="26"/>
      <x:c r="I71" s="26"/>
      <x:c r="J71" s="26"/>
    </x:row>
    <x:row r="72" ht="28" customHeight="1">
      <x:c r="A72" s="60" t="str">
        <x:v>控筹率</x:v>
      </x:c>
      <x:c r="B72" s="66" t="str">
        <x:v>pooled token</x:v>
      </x:c>
      <x:c r="C72" s="71" t="str">
        <x:v>pooled USD1</x:v>
      </x:c>
      <x:c r="D72" s="77" t="str">
        <x:v>k</x:v>
      </x:c>
      <x:c r="E72" s="391" t="str">
        <x:v>价格 / USD1</x:v>
      </x:c>
      <x:c r="F72" s="391" t="str">
        <x:v>价格 / USDT</x:v>
      </x:c>
      <x:c r="G72" s="393" t="str">
        <x:v>市值 / USD1</x:v>
      </x:c>
      <x:c r="H72" s="393" t="str">
        <x:v>市值 / USD</x:v>
      </x:c>
      <x:c r="I72" s="331" t="str">
        <x:v>较 80% 回撤</x:v>
      </x:c>
      <x:c r="J72"/>
      <x:c r="K72"/>
    </x:row>
    <x:row r="73">
      <x:c r="A73" s="58" t="n">
        <x:v>0.8</x:v>
      </x:c>
      <x:c r="B73" s="64" t="n">
        <x:f>IF(ABS(A73-$B$6)&lt;0.000001,$D$4,$B$4*(1-A73))</x:f>
        <x:v>199999999.99999997</x:v>
      </x:c>
      <x:c r="C73" s="70" t="n">
        <x:f>IF(ABS(A73-$B$6)&lt;0.000001,$D$5,$D$6/B73)</x:f>
        <x:v>12931.250000000002</x:v>
      </x:c>
      <x:c r="D73" s="75" t="n">
        <x:f>B73*C73</x:f>
        <x:v>2586250000000</x:v>
      </x:c>
      <x:c r="E73" s="374" t="n">
        <x:f>C73/B73</x:f>
        <x:v>0.00006465625000000002</x:v>
      </x:c>
      <x:c r="F73" s="374" t="n">
        <x:f>IF(ISNUMBER(E73),E73*$B$3/'币价'!$B$12,"")</x:f>
        <x:v>0.00006471034785080328</x:v>
      </x:c>
      <x:c r="G73" s="379" t="n">
        <x:f>E73*$B$4</x:f>
        <x:v>64656.250000000015</x:v>
      </x:c>
      <x:c r="H73" s="379" t="n">
        <x:f>G73*$B$3</x:f>
        <x:v>64656.250000000015</x:v>
      </x:c>
      <x:c r="I73" s="408" t="n">
        <x:f>1-G73/$G$73</x:f>
        <x:v>0</x:v>
      </x:c>
      <x:c r="J73"/>
      <x:c r="K73"/>
    </x:row>
    <x:row r="74">
      <x:c r="A74" s="58" t="n">
        <x:v>0.7</x:v>
      </x:c>
      <x:c r="B74" s="64" t="n">
        <x:f>IF(ABS(A74-$B$6)&lt;0.000001,$D$4,$B$4*(1-A74))</x:f>
        <x:v>300000000.00000006</x:v>
      </x:c>
      <x:c r="C74" s="64" t="n">
        <x:f>IF(ABS(A74-$B$6)&lt;0.000001,$D$5,$D$6/B74)</x:f>
        <x:v>8620.833333333332</x:v>
      </x:c>
      <x:c r="D74" s="75" t="n">
        <x:f>B74*C74</x:f>
        <x:v>2586250000000</x:v>
      </x:c>
      <x:c r="E74" s="374" t="n">
        <x:f>C74/B74</x:f>
        <x:v>0.000028736111111111103</x:v>
      </x:c>
      <x:c r="F74" s="374" t="n">
        <x:f>IF(ISNUMBER(E74),E74*$B$3/'币价'!$B$12,"")</x:f>
        <x:v>0.000028760154600357</x:v>
      </x:c>
      <x:c r="G74" s="562" t="n">
        <x:f>E74*$B$4</x:f>
        <x:v>28736.111111111102</x:v>
      </x:c>
      <x:c r="H74" s="562" t="n">
        <x:f>G74*$B$3</x:f>
        <x:v>28736.111111111102</x:v>
      </x:c>
      <x:c r="I74" s="562" t="n">
        <x:f>1-G74/$G$73</x:f>
        <x:v>0.5555555555555558</x:v>
      </x:c>
      <x:c r="J74" s="65"/>
      <x:c r="K74" s="65"/>
    </x:row>
    <x:row r="75">
      <x:c r="A75" s="58" t="n">
        <x:v>0.6</x:v>
      </x:c>
      <x:c r="B75" s="64" t="n">
        <x:f>IF(ABS(A75-$B$6)&lt;0.000001,$D$4,$B$4*(1-A75))</x:f>
        <x:v>400000000</x:v>
      </x:c>
      <x:c r="C75" s="64" t="n">
        <x:f>IF(ABS(A75-$B$6)&lt;0.000001,$D$5,$D$6/B75)</x:f>
        <x:v>6465.625</x:v>
      </x:c>
      <x:c r="D75" s="75" t="n">
        <x:f>B75*C75</x:f>
        <x:v>2586250000000</x:v>
      </x:c>
      <x:c r="E75" s="374" t="n">
        <x:f>C75/B75</x:f>
        <x:v>0.0000161640625</x:v>
      </x:c>
      <x:c r="F75" s="374" t="n">
        <x:f>IF(ISNUMBER(E75),E75*$B$3/'币价'!$B$12,"")</x:f>
        <x:v>0.000016177586962700816</x:v>
      </x:c>
      <x:c r="G75" s="562" t="n">
        <x:f>E75*$B$4</x:f>
        <x:v>16164.0625</x:v>
      </x:c>
      <x:c r="H75" s="562" t="n">
        <x:f>G75*$B$3</x:f>
        <x:v>16164.0625</x:v>
      </x:c>
      <x:c r="I75" s="562" t="n">
        <x:f>1-G75/$G$73</x:f>
        <x:v>0.75</x:v>
      </x:c>
      <x:c r="J75" s="65"/>
      <x:c r="K75" s="65"/>
    </x:row>
    <x:row r="76">
      <x:c r="A76" s="58" t="n">
        <x:v>0.5</x:v>
      </x:c>
      <x:c r="B76" s="64" t="n">
        <x:f>IF(ABS(A76-$B$6)&lt;0.000001,$D$4,$B$4*(1-A76))</x:f>
        <x:v>500000000</x:v>
      </x:c>
      <x:c r="C76" s="64" t="n">
        <x:f>IF(ABS(A76-$B$6)&lt;0.000001,$D$5,$D$6/B76)</x:f>
        <x:v>5172.5</x:v>
      </x:c>
      <x:c r="D76" s="75" t="n">
        <x:f>B76*C76</x:f>
        <x:v>2586250000000</x:v>
      </x:c>
      <x:c r="E76" s="374" t="n">
        <x:f>C76/B76</x:f>
        <x:v>0.000010345</x:v>
      </x:c>
      <x:c r="F76" s="374" t="n">
        <x:f>IF(ISNUMBER(E76),E76*$B$3/'币价'!$B$12,"")</x:f>
        <x:v>0.000010353655656128523</x:v>
      </x:c>
      <x:c r="G76" s="562" t="n">
        <x:f>E76*$B$4</x:f>
        <x:v>10345</x:v>
      </x:c>
      <x:c r="H76" s="562" t="n">
        <x:f>G76*$B$3</x:f>
        <x:v>10345</x:v>
      </x:c>
      <x:c r="I76" s="562" t="n">
        <x:f>1-G76/$G$73</x:f>
        <x:v>0.8400000000000001</x:v>
      </x:c>
      <x:c r="J76" s="65"/>
      <x:c r="K76" s="65"/>
    </x:row>
    <x:row r="77">
      <x:c r="A77" s="58" t="n">
        <x:v>0.4</x:v>
      </x:c>
      <x:c r="B77" s="64" t="n">
        <x:f>IF(ABS(A77-$B$6)&lt;0.000001,$D$4,$B$4*(1-A77))</x:f>
        <x:v>600000000</x:v>
      </x:c>
      <x:c r="C77" s="64" t="n">
        <x:f>IF(ABS(A77-$B$6)&lt;0.000001,$D$5,$D$6/B77)</x:f>
        <x:v>4310.416666666667</x:v>
      </x:c>
      <x:c r="D77" s="75" t="n">
        <x:f>B77*C77</x:f>
        <x:v>2586250000000</x:v>
      </x:c>
      <x:c r="E77" s="374" t="n">
        <x:f>C77/B77</x:f>
        <x:v>0.000007184027777777778</x:v>
      </x:c>
      <x:c r="F77" s="374" t="n">
        <x:f>IF(ISNUMBER(E77),E77*$B$3/'币价'!$B$12,"")</x:f>
        <x:v>0.000007190038650089253</x:v>
      </x:c>
      <x:c r="G77" s="562" t="n">
        <x:f>E77*$B$4</x:f>
        <x:v>7184.027777777778</x:v>
      </x:c>
      <x:c r="H77" s="562" t="n">
        <x:f>G77*$B$3</x:f>
        <x:v>7184.027777777778</x:v>
      </x:c>
      <x:c r="I77" s="562" t="n">
        <x:f>1-G77/$G$73</x:f>
        <x:v>0.888888888888889</x:v>
      </x:c>
      <x:c r="J77" s="65"/>
      <x:c r="K77" s="65"/>
    </x:row>
    <x:row r="78">
      <x:c r="A78" s="58" t="n">
        <x:v>0.3</x:v>
      </x:c>
      <x:c r="B78" s="64" t="n">
        <x:f>IF(ABS(A78-$B$6)&lt;0.000001,$D$4,$B$4*(1-A78))</x:f>
        <x:v>700000000</x:v>
      </x:c>
      <x:c r="C78" s="64" t="n">
        <x:f>IF(ABS(A78-$B$6)&lt;0.000001,$D$5,$D$6/B78)</x:f>
        <x:v>3694.6428571428573</x:v>
      </x:c>
      <x:c r="D78" s="75" t="n">
        <x:f>B78*C78</x:f>
        <x:v>2586250000000</x:v>
      </x:c>
      <x:c r="E78" s="374" t="n">
        <x:f>C78/B78</x:f>
        <x:v>0.000005278061224489796</x:v>
      </x:c>
      <x:c r="F78" s="374" t="n">
        <x:f>IF(ISNUMBER(E78),E78*$B$3/'币价'!$B$12,"")</x:f>
        <x:v>0.000005282477375575777</x:v>
      </x:c>
      <x:c r="G78" s="562" t="n">
        <x:f>E78*$B$4</x:f>
        <x:v>5278.061224489797</x:v>
      </x:c>
      <x:c r="H78" s="562" t="n">
        <x:f>G78*$B$3</x:f>
        <x:v>5278.061224489797</x:v>
      </x:c>
      <x:c r="I78" s="562" t="n">
        <x:f>1-G78/$G$73</x:f>
        <x:v>0.9183673469387755</x:v>
      </x:c>
      <x:c r="J78" s="65"/>
      <x:c r="K78" s="65"/>
    </x:row>
    <x:row r="79">
      <x:c r="A79" s="58" t="n">
        <x:v>0.2</x:v>
      </x:c>
      <x:c r="B79" s="64" t="n">
        <x:f>IF(ABS(A79-$B$6)&lt;0.000001,$D$4,$B$4*(1-A79))</x:f>
        <x:v>800000000</x:v>
      </x:c>
      <x:c r="C79" s="64" t="n">
        <x:f>IF(ABS(A79-$B$6)&lt;0.000001,$D$5,$D$6/B79)</x:f>
        <x:v>3232.8125</x:v>
      </x:c>
      <x:c r="D79" s="75" t="n">
        <x:f>B79*C79</x:f>
        <x:v>2586250000000</x:v>
      </x:c>
      <x:c r="E79" s="374" t="n">
        <x:f>C79/B79</x:f>
        <x:v>0.000004041015625</x:v>
      </x:c>
      <x:c r="F79" s="374" t="n">
        <x:f>IF(ISNUMBER(E79),E79*$B$3/'币价'!$B$12,"")</x:f>
        <x:v>0.000004044396740675204</x:v>
      </x:c>
      <x:c r="G79" s="562" t="n">
        <x:f>E79*$B$4</x:f>
        <x:v>4041.015625</x:v>
      </x:c>
      <x:c r="H79" s="562" t="n">
        <x:f>G79*$B$3</x:f>
        <x:v>4041.015625</x:v>
      </x:c>
      <x:c r="I79" s="562" t="n">
        <x:f>1-G79/$G$73</x:f>
        <x:v>0.9375</x:v>
      </x:c>
      <x:c r="J79" s="65"/>
      <x:c r="K79" s="65"/>
    </x:row>
    <x:row r="80">
      <x:c r="A80" s="58" t="n">
        <x:v>0.1</x:v>
      </x:c>
      <x:c r="B80" s="64" t="n">
        <x:f>IF(ABS(A80-$B$6)&lt;0.000001,$D$4,$B$4*(1-A80))</x:f>
        <x:v>900000000</x:v>
      </x:c>
      <x:c r="C80" s="64" t="n">
        <x:f>IF(ABS(A80-$B$6)&lt;0.000001,$D$5,$D$6/B80)</x:f>
        <x:v>2873.6111111111113</x:v>
      </x:c>
      <x:c r="D80" s="75" t="n">
        <x:f>B80*C80</x:f>
        <x:v>2586250000000</x:v>
      </x:c>
      <x:c r="E80" s="374" t="n">
        <x:f>C80/B80</x:f>
        <x:v>0.0000031929012345679013</x:v>
      </x:c>
      <x:c r="F80" s="374" t="n">
        <x:f>IF(ISNUMBER(E80),E80*$B$3/'币价'!$B$12,"")</x:f>
        <x:v>0.0000031955727333730007</x:v>
      </x:c>
      <x:c r="G80" s="562" t="n">
        <x:f>E80*$B$4</x:f>
        <x:v>3192.901234567901</x:v>
      </x:c>
      <x:c r="H80" s="562" t="n">
        <x:f>G80*$B$3</x:f>
        <x:v>3192.901234567901</x:v>
      </x:c>
      <x:c r="I80" s="562" t="n">
        <x:f>1-G80/$G$73</x:f>
        <x:v>0.9506172839506173</x:v>
      </x:c>
      <x:c r="J80" s="65"/>
      <x:c r="K80" s="65"/>
    </x:row>
    <x:row r="81">
      <x:c r="A81" s="62" t="n">
        <x:v>0</x:v>
      </x:c>
      <x:c r="B81" s="68" t="n">
        <x:f>IF(ABS(A81-$B$6)&lt;0.000001,$D$4,$B$4*(1-A81))</x:f>
        <x:v>1000000000</x:v>
      </x:c>
      <x:c r="C81" s="68" t="n">
        <x:f>IF(ABS(A81-$B$6)&lt;0.000001,$D$5,$D$6/B81)</x:f>
        <x:v>2586.25</x:v>
      </x:c>
      <x:c r="D81" s="79" t="n">
        <x:f>B81*C81</x:f>
        <x:v>2586250000000</x:v>
      </x:c>
      <x:c r="E81" s="412" t="n">
        <x:f>C81/B81</x:f>
        <x:v>0.00000258625</x:v>
      </x:c>
      <x:c r="F81" s="412" t="n">
        <x:f>IF(ISNUMBER(E81),E81*$B$3/'币价'!$B$12,"")</x:f>
        <x:v>0.000002588413914032131</x:v>
      </x:c>
      <x:c r="G81" s="565" t="n">
        <x:f>E81*$B$4</x:f>
        <x:v>2586.25</x:v>
      </x:c>
      <x:c r="H81" s="565" t="n">
        <x:f>G81*$B$3</x:f>
        <x:v>2586.25</x:v>
      </x:c>
      <x:c r="I81" s="565" t="n">
        <x:f>1-G81/$G$73</x:f>
        <x:v>0.96</x:v>
      </x:c>
      <x:c r="J81" s="565" t="str">
        <x:v>沉没成本</x:v>
      </x:c>
      <x:c r="K81" s="565" t="n">
        <x:f>C81</x:f>
        <x:v>2586.25</x:v>
      </x:c>
    </x:row>
    <x:row r="82">
      <x:c r="B82" s="65" t="n">
        <x:f>IF(ABS(A82-$B$6)&lt;0.000001,$D$4,$B$4*(1-A82))</x:f>
        <x:v>1000000000</x:v>
      </x:c>
      <x:c r="C82" s="65"/>
      <x:c r="G82" s="65"/>
      <x:c r="H82" s="65"/>
      <x:c r="I82" s="65"/>
      <x:c r="J82" s="65"/>
      <x:c r="K82" s="65"/>
    </x:row>
  </x:sheetData>
  <x:mergeCells>
    <x:mergeCell ref="A1:J1"/>
    <x:mergeCell ref="A71:J7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0" hidden="0" customWidth="1"/>
    <x:col min="7" max="7" width="16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4" t="str">
        <x:v>Four.meme / USD1 · 发射控筹模型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55" t="str">
        <x:v>Quote USD 价格</x:v>
      </x:c>
      <x:c r="B3" s="50" t="n">
        <x:f>1</x:f>
        <x:v>1</x:v>
      </x:c>
      <x:c r="C3" s="56" t="str">
        <x:v>内盘 k</x:v>
      </x:c>
      <x:c r="D3" s="51" t="n">
        <x:v>4413590452240.8545</x:v>
      </x:c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s="55" t="str">
        <x:v>total supply</x:v>
      </x:c>
      <x:c r="B4" s="51" t="n">
        <x:v>1000000000</x:v>
      </x:c>
      <x:c r="C4" s="56" t="str">
        <x:v>外盘初始 token</x:v>
      </x:c>
      <x:c r="D4" s="51" t="n">
        <x:v>200000000</x:v>
      </x:c>
      <x:c r="G4" t="str">
        <x:v>单地址 Gas / BNB</x:v>
      </x:c>
      <x:c r="H4" s="99" t="n">
        <x:v>0.01</x:v>
      </x:c>
      <x:c r="I4" t="str">
        <x:v>Holder 地址</x:v>
      </x:c>
      <x:c r="J4" s="100" t="n">
        <x:v>150</x:v>
      </x:c>
    </x:row>
    <x:row r="5">
      <x:c r="A5" s="55" t="str">
        <x:v>内盘毕业所需</x:v>
      </x:c>
      <x:c r="B5" s="51" t="n">
        <x:f>K21</x:f>
        <x:v>12120.012119999847</x:v>
      </x:c>
      <x:c r="C5" s="56" t="str">
        <x:v>外盘初始 Quote</x:v>
      </x:c>
      <x:c r="D5" s="51" t="n">
        <x:v>11759</x:v>
      </x:c>
      <x:c r="G5" t="str">
        <x:v>资金预留 / USD1</x:v>
      </x:c>
      <x:c r="H5" s="553" t="n">
        <x:f>IF($B$3&gt;0,ROUNDUP('币价'!$B$15/($B$3/'币价'!$B$12),0),"")</x:f>
        <x:v>9992</x:v>
      </x:c>
      <x:c r="I5" t="str">
        <x:v>默认目标控筹率</x:v>
      </x:c>
      <x:c r="J5" s="102" t="n">
        <x:v>0.94</x:v>
      </x:c>
    </x:row>
    <x:row r="6">
      <x:c r="A6" s="55" t="str">
        <x:v>毕业控筹率</x:v>
      </x:c>
      <x:c r="B6" s="52" t="n">
        <x:v>0.8</x:v>
      </x:c>
      <x:c r="C6" s="56" t="str">
        <x:v>外盘 k</x:v>
      </x:c>
      <x:c r="D6" s="51" t="n">
        <x:v>2351800000000</x:v>
      </x:c>
      <x:c r="G6" t="str">
        <x:v>洗筹口径</x:v>
      </x:c>
      <x:c r="H6" s="95" t="str">
        <x:v>FDV × 外盘费率 × 2</x:v>
      </x:c>
      <x:c r="I6" t="str">
        <x:v>目标 +1% 理论资金</x:v>
      </x:c>
      <x:c r="J6" s="566" t="n">
        <x:f>INDEX($K$25:$K$65,ROUND(($J$5+1%-80%)/0.5%,0)+1)</x:f>
        <x:v>47485.2046199998</x:v>
      </x:c>
    </x:row>
    <x:row r="7">
      <x:c r="A7" s="55" t="str">
        <x:v>内盘交易手续费</x:v>
      </x:c>
      <x:c r="B7" s="52" t="n">
        <x:v>0.01</x:v>
      </x:c>
      <x:c r="C7"/>
      <x:c r="D7"/>
      <x:c r="G7" t="str">
        <x:v>内盘地址 / 套</x:v>
      </x:c>
      <x:c r="H7" s="100" t="n">
        <x:v>20</x:v>
      </x:c>
      <x:c r="I7" t="str">
        <x:v>额外内盘资金</x:v>
      </x:c>
      <x:c r="J7" s="566" t="n">
        <x:f>$B$5*($H$8-1)</x:f>
        <x:v>12120.012119999847</x:v>
      </x:c>
    </x:row>
    <x:row r="8">
      <x:c r="A8" s="55" t="str">
        <x:v>外盘交易手续费</x:v>
      </x:c>
      <x:c r="B8" s="52" t="n">
        <x:v>0.0025</x:v>
      </x:c>
      <x:c r="C8"/>
      <x:c r="D8"/>
      <x:c r="G8" t="str">
        <x:v>内盘套数</x:v>
      </x:c>
      <x:c r="H8" s="100" t="n">
        <x:v>2</x:v>
      </x:c>
      <x:c r="I8" t="str">
        <x:v>动态洗筹手续费</x:v>
      </x:c>
      <x:c r="J8" s="566" t="n">
        <x:f>INDEX($G$25:$G$65,ROUND(($J$5+1%-80%)/0.5%,0)+1)*$H$9*2</x:f>
        <x:v>4703.599999999991</x:v>
      </x:c>
    </x:row>
    <x:row r="9">
      <x:c r="A9" s="55" t="str">
        <x:v>内盘初始 token</x:v>
      </x:c>
      <x:c r="B9" s="51" t="n">
        <x:v>1073972602.73965</x:v>
      </x:c>
      <x:c r="C9"/>
      <x:c r="D9"/>
      <x:c r="G9" t="str">
        <x:v>外盘费率</x:v>
      </x:c>
      <x:c r="H9" s="101" t="n">
        <x:f>$B$8</x:f>
        <x:v>0.0025</x:v>
      </x:c>
      <x:c r="I9" t="str">
        <x:v>建议 Quote 资金</x:v>
      </x:c>
      <x:c r="J9" s="566" t="n">
        <x:f>IF(AND(ISNUMBER($J$6),ISNUMBER($H$5)),SUM(J6:J8)+$H$5,"")</x:f>
        <x:v>74300.81673999963</x:v>
      </x:c>
    </x:row>
    <x:row r="10">
      <x:c r="A10" s="55" t="str">
        <x:v>内盘初始 Quote</x:v>
      </x:c>
      <x:c r="B10" s="51" t="n">
        <x:v>4109.59315068374</x:v>
      </x:c>
      <x:c r="C10"/>
      <x:c r="D10"/>
      <x:c r="G10" t="str">
        <x:v>滑点预留</x:v>
      </x:c>
      <x:c r="H10" s="102" t="n">
        <x:v>0</x:v>
      </x:c>
      <x:c r="I10" t="str">
        <x:v>Gas 储备 / BNB</x:v>
      </x:c>
      <x:c r="J10" s="554" t="n">
        <x:f>($H$7*$H$8+$J$3+$J$4)*$H$4</x:f>
        <x:v>2.2</x:v>
      </x:c>
    </x:row>
    <x:row r="11">
      <x:c r="J11" s="65"/>
    </x:row>
    <x:row r="12" ht="34" customHeight="1">
      <x:c r="A12" s="10" t="str">
        <x:v>控筹率</x:v>
      </x:c>
      <x:c r="B12" s="10" t="str">
        <x:v>pooled token</x:v>
      </x:c>
      <x:c r="C12" s="10" t="str">
        <x:v>pooled USD1</x:v>
      </x:c>
      <x:c r="D12" s="10" t="str">
        <x:v>k</x:v>
      </x:c>
      <x:c r="E12" s="331" t="str">
        <x:v>价格 / USD1</x:v>
      </x:c>
      <x:c r="F12" s="331" t="str">
        <x:v>价格 / USDT</x:v>
      </x:c>
      <x:c r="G12" s="331" t="str">
        <x:v>市值 / USD1</x:v>
      </x:c>
      <x:c r="H12" s="331" t="str">
        <x:v>市值 / USD</x:v>
      </x:c>
      <x:c r="I12" s="331" t="str">
        <x:v>所需 USD1</x:v>
      </x:c>
      <x:c r="J12" s="331" t="str">
        <x:v>加手续费</x:v>
      </x:c>
      <x:c r="K12" s="344" t="str">
        <x:v>理论累计所需</x:v>
      </x:c>
    </x:row>
    <x:row r="13">
      <x:c r="A13" s="57" t="n">
        <x:v>0</x:v>
      </x:c>
      <x:c r="B13" s="63" t="n">
        <x:f>$B$9-A13*$B$4</x:f>
        <x:v>1073972602.73965</x:v>
      </x:c>
      <x:c r="C13" s="63" t="n">
        <x:f>$D$3/B13</x:f>
        <x:v>4109.59315068374</x:v>
      </x:c>
      <x:c r="D13" s="74" t="n">
        <x:f>B13*C13</x:f>
        <x:v>4413590452240.8545</x:v>
      </x:c>
      <x:c r="E13" s="348" t="n">
        <x:f>C13/B13</x:f>
        <x:v>0.000003826534438774671</x:v>
      </x:c>
      <x:c r="F13" s="348" t="n">
        <x:f>IF(ISNUMBER(E13),E13*$B$3/'币价'!$B$12,"")</x:f>
        <x:v>0.000003829736098152727</x:v>
      </x:c>
      <x:c r="G13" s="561" t="n">
        <x:f>E13*$B$4</x:f>
        <x:v>3826.5344387746713</x:v>
      </x:c>
      <x:c r="H13" s="561" t="n">
        <x:f>G13*$B$3</x:f>
        <x:v>3826.5344387746713</x:v>
      </x:c>
      <x:c r="I13" s="561" t="n">
        <x:f>0</x:f>
        <x:v>0</x:v>
      </x:c>
      <x:c r="J13" s="561" t="n">
        <x:f>I13*(1+$B$7)</x:f>
        <x:v>0</x:v>
      </x:c>
      <x:c r="K13" s="567" t="n">
        <x:f>0</x:f>
        <x:v>0</x:v>
      </x:c>
    </x:row>
    <x:row r="14">
      <x:c r="A14" s="58" t="n">
        <x:v>0.1</x:v>
      </x:c>
      <x:c r="B14" s="64" t="n">
        <x:f>$B$9-A14*$B$4</x:f>
        <x:v>973972602.73965</x:v>
      </x:c>
      <x:c r="C14" s="64" t="n">
        <x:f>$D$3/B14</x:f>
        <x:v>4531.534500894621</x:v>
      </x:c>
      <x:c r="D14" s="75" t="n">
        <x:f>B14*C14</x:f>
        <x:v>4413590452240.8545</x:v>
      </x:c>
      <x:c r="E14" s="374" t="n">
        <x:f>C14/B14</x:f>
        <x:v>0.00000465263035956868</x:v>
      </x:c>
      <x:c r="F14" s="374" t="n">
        <x:f>IF(ISNUMBER(E14),E14*$B$3/'币价'!$B$12,"")</x:f>
        <x:v>0.000004656523212974727</x:v>
      </x:c>
      <x:c r="G14" s="562" t="n">
        <x:f>E14*$B$4</x:f>
        <x:v>4652.6303595686795</x:v>
      </x:c>
      <x:c r="H14" s="562" t="n">
        <x:f>G14*$B$3</x:f>
        <x:v>4652.6303595686795</x:v>
      </x:c>
      <x:c r="I14" s="562" t="n">
        <x:f>C14-C13</x:f>
        <x:v>421.94135021088096</x:v>
      </x:c>
      <x:c r="J14" s="562" t="n">
        <x:f>I14*(1+$B$7)</x:f>
        <x:v>426.16076371298976</x:v>
      </x:c>
      <x:c r="K14" s="567" t="n">
        <x:f>K13+J14</x:f>
        <x:v>426.16076371298976</x:v>
      </x:c>
    </x:row>
    <x:row r="15">
      <x:c r="A15" s="58" t="n">
        <x:v>0.2</x:v>
      </x:c>
      <x:c r="B15" s="64" t="n">
        <x:f>$B$9-A15*$B$4</x:f>
        <x:v>873972602.73965</x:v>
      </x:c>
      <x:c r="C15" s="64" t="n">
        <x:f>$D$3/B15</x:f>
        <x:v>5050.032962595775</x:v>
      </x:c>
      <x:c r="D15" s="75" t="n">
        <x:f>B15*C15</x:f>
        <x:v>4413590452240.8545</x:v>
      </x:c>
      <x:c r="E15" s="374" t="n">
        <x:f>C15/B15</x:f>
        <x:v>0.000005778250881967455</x:v>
      </x:c>
      <x:c r="F15" s="374" t="n">
        <x:f>IF(ISNUMBER(E15),E15*$B$3/'币价'!$B$12,"")</x:f>
        <x:v>0.000005783085541480132</x:v>
      </x:c>
      <x:c r="G15" s="562" t="n">
        <x:f>E15*$B$4</x:f>
        <x:v>5778.250881967455</x:v>
      </x:c>
      <x:c r="H15" s="562" t="n">
        <x:f>G15*$B$3</x:f>
        <x:v>5778.250881967455</x:v>
      </x:c>
      <x:c r="I15" s="562" t="n">
        <x:f>C15-C14</x:f>
        <x:v>518.4984617011542</x:v>
      </x:c>
      <x:c r="J15" s="562" t="n">
        <x:f>I15*(1+$B$7)</x:f>
        <x:v>523.6834463181657</x:v>
      </x:c>
      <x:c r="K15" s="567" t="n">
        <x:f>K14+J15</x:f>
        <x:v>949.8442100311554</x:v>
      </x:c>
    </x:row>
    <x:row r="16">
      <x:c r="A16" s="58" t="n">
        <x:v>0.3</x:v>
      </x:c>
      <x:c r="B16" s="64" t="n">
        <x:f>$B$9-A16*$B$4</x:f>
        <x:v>773972602.73965</x:v>
      </x:c>
      <x:c r="C16" s="64" t="n">
        <x:f>$D$3/B16</x:f>
        <x:v>5702.515097586089</x:v>
      </x:c>
      <x:c r="D16" s="75" t="n">
        <x:f>B16*C16</x:f>
        <x:v>4413590452240.8545</x:v>
      </x:c>
      <x:c r="E16" s="374" t="n">
        <x:f>C16/B16</x:f>
        <x:v>0.000007367851365023458</x:v>
      </x:c>
      <x:c r="F16" s="374" t="n">
        <x:f>IF(ISNUMBER(E16),E16*$B$3/'币价'!$B$12,"")</x:f>
        <x:v>0.000007374016042434933</x:v>
      </x:c>
      <x:c r="G16" s="562" t="n">
        <x:f>E16*$B$4</x:f>
        <x:v>7367.851365023457</x:v>
      </x:c>
      <x:c r="H16" s="562" t="n">
        <x:f>G16*$B$3</x:f>
        <x:v>7367.851365023457</x:v>
      </x:c>
      <x:c r="I16" s="562" t="n">
        <x:f>C16-C15</x:f>
        <x:v>652.4821349903141</x:v>
      </x:c>
      <x:c r="J16" s="562" t="n">
        <x:f>I16*(1+$B$7)</x:f>
        <x:v>659.0069563402172</x:v>
      </x:c>
      <x:c r="K16" s="567" t="n">
        <x:f>K15+J16</x:f>
        <x:v>1608.8511663713725</x:v>
      </x:c>
    </x:row>
    <x:row r="17">
      <x:c r="A17" s="58" t="n">
        <x:v>0.4</x:v>
      </x:c>
      <x:c r="B17" s="64" t="n">
        <x:f>$B$9-A17*$B$4</x:f>
        <x:v>673972602.73965</x:v>
      </x:c>
      <x:c r="C17" s="64" t="n">
        <x:f>$D$3/B17</x:f>
        <x:v>6548.6199799516</x:v>
      </x:c>
      <x:c r="D17" s="75" t="n">
        <x:f>B17*C17</x:f>
        <x:v>4413590452240.8545</x:v>
      </x:c>
      <x:c r="E17" s="374" t="n">
        <x:f>C17/B17</x:f>
        <x:v>0.000009716448344238225</x:v>
      </x:c>
      <x:c r="F17" s="374" t="n">
        <x:f>IF(ISNUMBER(E17),E17*$B$3/'币价'!$B$12,"")</x:f>
        <x:v>0.000009724578091522738</x:v>
      </x:c>
      <x:c r="G17" s="562" t="n">
        <x:f>E17*$B$4</x:f>
        <x:v>9716.448344238226</x:v>
      </x:c>
      <x:c r="H17" s="562" t="n">
        <x:f>G17*$B$3</x:f>
        <x:v>9716.448344238226</x:v>
      </x:c>
      <x:c r="I17" s="562" t="n">
        <x:f>C17-C16</x:f>
        <x:v>846.104882365511</x:v>
      </x:c>
      <x:c r="J17" s="562" t="n">
        <x:f>I17*(1+$B$7)</x:f>
        <x:v>854.5659311891661</x:v>
      </x:c>
      <x:c r="K17" s="567" t="n">
        <x:f>K16+J17</x:f>
        <x:v>2463.4170975605384</x:v>
      </x:c>
    </x:row>
    <x:row r="18">
      <x:c r="A18" s="58" t="n">
        <x:v>0.5</x:v>
      </x:c>
      <x:c r="B18" s="64" t="n">
        <x:f>$B$9-A18*$B$4</x:f>
        <x:v>573972602.73965</x:v>
      </x:c>
      <x:c r="C18" s="64" t="n">
        <x:f>$D$3/B18</x:f>
        <x:v>7689.548997938546</x:v>
      </x:c>
      <x:c r="D18" s="75" t="n">
        <x:f>B18*C18</x:f>
        <x:v>4413590452240.8545</x:v>
      </x:c>
      <x:c r="E18" s="374" t="n">
        <x:f>C18/B18</x:f>
        <x:v>0.00001339706627325986</x:v>
      </x:c>
      <x:c r="F18" s="374" t="n">
        <x:f>IF(ISNUMBER(E18),E18*$B$3/'币价'!$B$12,"")</x:f>
        <x:v>0.000013408275591654482</x:v>
      </x:c>
      <x:c r="G18" s="562" t="n">
        <x:f>E18*$B$4</x:f>
        <x:v>13397.066273259861</x:v>
      </x:c>
      <x:c r="H18" s="562" t="n">
        <x:f>G18*$B$3</x:f>
        <x:v>13397.066273259861</x:v>
      </x:c>
      <x:c r="I18" s="562" t="n">
        <x:f>C18-C17</x:f>
        <x:v>1140.9290179869458</x:v>
      </x:c>
      <x:c r="J18" s="562" t="n">
        <x:f>I18*(1+$B$7)</x:f>
        <x:v>1152.3383081668153</x:v>
      </x:c>
      <x:c r="K18" s="567" t="n">
        <x:f>K17+J18</x:f>
        <x:v>3615.7554057273537</x:v>
      </x:c>
    </x:row>
    <x:row r="19">
      <x:c r="A19" s="58" t="n">
        <x:v>0.6</x:v>
      </x:c>
      <x:c r="B19" s="64" t="n">
        <x:f>$B$9-A19*$B$4</x:f>
        <x:v>473972602.73965</x:v>
      </x:c>
      <x:c r="C19" s="64" t="n">
        <x:f>$D$3/B19</x:f>
        <x:v>9311.910491723527</x:v>
      </x:c>
      <x:c r="D19" s="75" t="n">
        <x:f>B19*C19</x:f>
        <x:v>4413590452240.8545</x:v>
      </x:c>
      <x:c r="E19" s="374" t="n">
        <x:f>C19/B19</x:f>
        <x:v>0.000019646516355373597</x:v>
      </x:c>
      <x:c r="F19" s="374" t="n">
        <x:f>IF(ISNUMBER(E19),E19*$B$3/'币价'!$B$12,"")</x:f>
        <x:v>0.000019662954585406996</x:v>
      </x:c>
      <x:c r="G19" s="562" t="n">
        <x:f>E19*$B$4</x:f>
        <x:v>19646.5163553736</x:v>
      </x:c>
      <x:c r="H19" s="562" t="n">
        <x:f>G19*$B$3</x:f>
        <x:v>19646.5163553736</x:v>
      </x:c>
      <x:c r="I19" s="562" t="n">
        <x:f>C19-C18</x:f>
        <x:v>1622.3614937849816</x:v>
      </x:c>
      <x:c r="J19" s="562" t="n">
        <x:f>I19*(1+$B$7)</x:f>
        <x:v>1638.5851087228314</x:v>
      </x:c>
      <x:c r="K19" s="567" t="n">
        <x:f>K18+J19</x:f>
        <x:v>5254.340514450185</x:v>
      </x:c>
    </x:row>
    <x:row r="20">
      <x:c r="A20" s="58" t="n">
        <x:v>0.7</x:v>
      </x:c>
      <x:c r="B20" s="64" t="n">
        <x:f>$B$9-A20*$B$4</x:f>
        <x:v>373972602.73965</x:v>
      </x:c>
      <x:c r="C20" s="64" t="n">
        <x:f>$D$3/B20</x:f>
        <x:v>11801.908535298457</x:v>
      </x:c>
      <x:c r="D20" s="75" t="n">
        <x:f>B20*C20</x:f>
        <x:v>4413590452240.8545</x:v>
      </x:c>
      <x:c r="E20" s="374" t="n">
        <x:f>C20/B20</x:f>
        <x:v>0.000031558216962526096</x:v>
      </x:c>
      <x:c r="F20" s="374" t="n">
        <x:f>IF(ISNUMBER(E20),E20*$B$3/'币价'!$B$12,"")</x:f>
        <x:v>0.00003158462170627254</x:v>
      </x:c>
      <x:c r="G20" s="562" t="n">
        <x:f>E20*$B$4</x:f>
        <x:v>31558.216962526094</x:v>
      </x:c>
      <x:c r="H20" s="562" t="n">
        <x:f>G20*$B$3</x:f>
        <x:v>31558.216962526094</x:v>
      </x:c>
      <x:c r="I20" s="562" t="n">
        <x:f>C20-C19</x:f>
        <x:v>2489.9980435749294</x:v>
      </x:c>
      <x:c r="J20" s="562" t="n">
        <x:f>I20*(1+$B$7)</x:f>
        <x:v>2514.898024010679</x:v>
      </x:c>
      <x:c r="K20" s="567" t="n">
        <x:f>K19+J20</x:f>
        <x:v>7769.238538460864</x:v>
      </x:c>
    </x:row>
    <x:row r="21">
      <x:c r="A21" s="57" t="n">
        <x:v>0.8</x:v>
      </x:c>
      <x:c r="B21" s="63" t="n">
        <x:f>$B$9-A21*$B$4</x:f>
        <x:v>273972602.73965</x:v>
      </x:c>
      <x:c r="C21" s="63" t="n">
        <x:f>$D$3/B21</x:f>
        <x:v>16109.605150683588</x:v>
      </x:c>
      <x:c r="D21" s="74" t="n">
        <x:f>B21*C21</x:f>
        <x:v>4413590452240.8545</x:v>
      </x:c>
      <x:c r="E21" s="348" t="n">
        <x:f>C21/B21</x:f>
        <x:v>0.00005880005880001141</x:v>
      </x:c>
      <x:c r="F21" s="348" t="n">
        <x:f>IF(ISNUMBER(E21),E21*$B$3/'币价'!$B$12,"")</x:f>
        <x:v>0.00005884925677867838</x:v>
      </x:c>
      <x:c r="G21" s="561" t="n">
        <x:f>E21*$B$4</x:f>
        <x:v>58800.05880001141</x:v>
      </x:c>
      <x:c r="H21" s="561" t="n">
        <x:f>G21*$B$3</x:f>
        <x:v>58800.05880001141</x:v>
      </x:c>
      <x:c r="I21" s="561" t="n">
        <x:f>C21-C20</x:f>
        <x:v>4307.696615385132</x:v>
      </x:c>
      <x:c r="J21" s="561" t="n">
        <x:f>I21*(1+$B$7)</x:f>
        <x:v>4350.773581538983</x:v>
      </x:c>
      <x:c r="K21" s="567" t="n">
        <x:f>K20+J21</x:f>
        <x:v>12120.012119999847</x:v>
      </x:c>
    </x:row>
    <x:row r="22">
      <x:c r="A22" s="59"/>
      <x:c r="B22" s="65"/>
      <x:c r="C22" s="17"/>
      <x:c r="D22" s="76"/>
      <x:c r="E22" s="82"/>
      <x:c r="F22" s="88"/>
      <x:c r="G22" s="88"/>
    </x:row>
    <x:row r="23">
      <x:c r="A23" s="59"/>
      <x:c r="B23" s="65"/>
      <x:c r="C23" s="17"/>
      <x:c r="D23" s="76"/>
      <x:c r="E23" s="82"/>
      <x:c r="F23" s="88"/>
      <x:c r="G23" s="88"/>
    </x:row>
    <x:row r="24" ht="34" customHeight="1">
      <x:c r="A24" s="60" t="str">
        <x:v>控筹率</x:v>
      </x:c>
      <x:c r="B24" s="66" t="str">
        <x:v>pooled token</x:v>
      </x:c>
      <x:c r="C24" s="71" t="str">
        <x:v>pooled USD1</x:v>
      </x:c>
      <x:c r="D24" s="77" t="str">
        <x:v>k</x:v>
      </x:c>
      <x:c r="E24" s="391" t="str">
        <x:v>价格 / USD1</x:v>
      </x:c>
      <x:c r="F24" s="391" t="str">
        <x:v>价格 / USDT</x:v>
      </x:c>
      <x:c r="G24" s="393" t="str">
        <x:v>市值 / USD1</x:v>
      </x:c>
      <x:c r="H24" s="393" t="str">
        <x:v>市值 / USD</x:v>
      </x:c>
      <x:c r="I24" s="331" t="str">
        <x:v>所需 USD1</x:v>
      </x:c>
      <x:c r="J24" s="331" t="str">
        <x:v>加手续费</x:v>
      </x:c>
      <x:c r="K24" s="344" t="str">
        <x:v>理论累计所需</x:v>
      </x:c>
    </x:row>
    <x:row r="25">
      <x:c r="A25" s="57" t="n">
        <x:v>0.8</x:v>
      </x:c>
      <x:c r="B25" s="63" t="n">
        <x:f>IF(A25&gt;=1,"",IF(ABS(A25-$B$6)&lt;0.000001,$D$4,$B$4*(1-A25)))</x:f>
        <x:v>200000000</x:v>
      </x:c>
      <x:c r="C25" s="63" t="n">
        <x:f>IF(A25&gt;=1,"",IF(ABS(A25-$B$6)&lt;0.000001,$D$5,$D$6/B25))</x:f>
        <x:v>11759</x:v>
      </x:c>
      <x:c r="D25" s="74" t="n">
        <x:f>IF(A25&gt;=1,"",B25*C25)</x:f>
        <x:v>2351800000000</x:v>
      </x:c>
      <x:c r="E25" s="348" t="n">
        <x:f>IF(A25&gt;=1,"",C25/B25)</x:f>
        <x:v>0.000058795</x:v>
      </x:c>
      <x:c r="F25" s="348" t="n">
        <x:f>IF(ISNUMBER(E25),E25*$B$3/'币价'!$B$12,"")</x:f>
        <x:v>0.00005884419374597163</x:v>
      </x:c>
      <x:c r="G25" s="561" t="n">
        <x:f>IF(A25&gt;=1,"",E25*$B$4)</x:f>
        <x:v>58795</x:v>
      </x:c>
      <x:c r="H25" s="561" t="n">
        <x:f>IF(A25&gt;=1,"",G25*$B$3)</x:f>
        <x:v>58795</x:v>
      </x:c>
      <x:c r="I25" s="561" t="n">
        <x:f>IF(A25&gt;=1,"",C25-$D$5)</x:f>
        <x:v>0</x:v>
      </x:c>
      <x:c r="J25" s="561" t="n">
        <x:f>IF(A25&gt;=1,"",I25*(1+$B$8))</x:f>
        <x:v>0</x:v>
      </x:c>
      <x:c r="K25" s="567" t="n">
        <x:f>IF(A25&gt;=1,"不可达",$B$5+(C25-$D$5)*(1+$B$8))</x:f>
        <x:v>12120.012119999847</x:v>
      </x:c>
    </x:row>
    <x:row r="26">
      <x:c r="A26" s="58" t="n">
        <x:v>0.805</x:v>
      </x:c>
      <x:c r="B26" s="64" t="n">
        <x:f>IF(A26&gt;=1,"",IF(ABS(A26-$B$6)&lt;0.000001,$D$4,$B$4*(1-A26)))</x:f>
        <x:v>194999999.99999994</x:v>
      </x:c>
      <x:c r="C26" s="64" t="n">
        <x:f>IF(A26&gt;=1,"",IF(ABS(A26-$B$6)&lt;0.000001,$D$5,$D$6/B26))</x:f>
        <x:v>12060.512820512824</x:v>
      </x:c>
      <x:c r="D26" s="75" t="n">
        <x:f>IF(A26&gt;=1,"",B26*C26)</x:f>
        <x:v>2351800000000</x:v>
      </x:c>
      <x:c r="E26" s="374" t="n">
        <x:f>IF(A26&gt;=1,"",C26/B26)</x:f>
        <x:v>0.00006184878369493758</x:v>
      </x:c>
      <x:c r="F26" s="374" t="n">
        <x:f>IF(ISNUMBER(E26),E26*$B$3/'币价'!$B$12,"")</x:f>
        <x:v>0.00006190053254014114</x:v>
      </x:c>
      <x:c r="G26" s="562" t="n">
        <x:f>IF(A26&gt;=1,"",E26*$B$4)</x:f>
        <x:v>61848.78369493758</x:v>
      </x:c>
      <x:c r="H26" s="562" t="n">
        <x:f>IF(A26&gt;=1,"",G26*$B$3)</x:f>
        <x:v>61848.78369493758</x:v>
      </x:c>
      <x:c r="I26" s="562" t="n">
        <x:f>IF(A26&gt;=1,"",C26-C25)</x:f>
        <x:v>301.51282051282396</x:v>
      </x:c>
      <x:c r="J26" s="562" t="n">
        <x:f>IF(A26&gt;=1,"",I26*(1+$B$8))</x:f>
        <x:v>302.266602564106</x:v>
      </x:c>
      <x:c r="K26" s="567" t="n">
        <x:f>IF(A26&gt;=1,"不可达",$B$5+(C26-$D$5)*(1+$B$8))</x:f>
        <x:v>12422.278722563953</x:v>
      </x:c>
    </x:row>
    <x:row r="27">
      <x:c r="A27" s="58" t="n">
        <x:v>0.81</x:v>
      </x:c>
      <x:c r="B27" s="64" t="n">
        <x:f>IF(A27&gt;=1,"",IF(ABS(A27-$B$6)&lt;0.000001,$D$4,$B$4*(1-A27)))</x:f>
        <x:v>189999999.99999994</x:v>
      </x:c>
      <x:c r="C27" s="64" t="n">
        <x:f>IF(A27&gt;=1,"",IF(ABS(A27-$B$6)&lt;0.000001,$D$5,$D$6/B27))</x:f>
        <x:v>12377.894736842109</x:v>
      </x:c>
      <x:c r="D27" s="75" t="n">
        <x:f>IF(A27&gt;=1,"",B27*C27)</x:f>
        <x:v>2351800000000</x:v>
      </x:c>
      <x:c r="E27" s="374" t="n">
        <x:f>IF(A27&gt;=1,"",C27/B27)</x:f>
        <x:v>0.00006514681440443217</x:v>
      </x:c>
      <x:c r="F27" s="374" t="n">
        <x:f>IF(ISNUMBER(E27),E27*$B$3/'币价'!$B$12,"")</x:f>
        <x:v>0.00006520132271021791</x:v>
      </x:c>
      <x:c r="G27" s="562" t="n">
        <x:f>IF(A27&gt;=1,"",E27*$B$4)</x:f>
        <x:v>65146.814404432174</x:v>
      </x:c>
      <x:c r="H27" s="562" t="n">
        <x:f>IF(A27&gt;=1,"",G27*$B$3)</x:f>
        <x:v>65146.814404432174</x:v>
      </x:c>
      <x:c r="I27" s="562" t="n">
        <x:f>IF(A27&gt;=1,"",C27-C26)</x:f>
        <x:v>317.38191632928465</x:v>
      </x:c>
      <x:c r="J27" s="562" t="n">
        <x:f>IF(A27&gt;=1,"",I27*(1+$B$8))</x:f>
        <x:v>318.17537112010785</x:v>
      </x:c>
      <x:c r="K27" s="567" t="n">
        <x:f>IF(A27&gt;=1,"不可达",$B$5+(C27-$D$5)*(1+$B$8))</x:f>
        <x:v>12740.45409368406</x:v>
      </x:c>
    </x:row>
    <x:row r="28">
      <x:c r="A28" s="58" t="n">
        <x:v>0.815</x:v>
      </x:c>
      <x:c r="B28" s="64" t="n">
        <x:f>IF(A28&gt;=1,"",IF(ABS(A28-$B$6)&lt;0.000001,$D$4,$B$4*(1-A28)))</x:f>
        <x:v>185000000.00000006</x:v>
      </x:c>
      <x:c r="C28" s="64" t="n">
        <x:f>IF(A28&gt;=1,"",IF(ABS(A28-$B$6)&lt;0.000001,$D$5,$D$6/B28))</x:f>
        <x:v>12712.432432432428</x:v>
      </x:c>
      <x:c r="D28" s="75" t="n">
        <x:f>IF(A28&gt;=1,"",B28*C28)</x:f>
        <x:v>2351800000000</x:v>
      </x:c>
      <x:c r="E28" s="374" t="n">
        <x:f>IF(A28&gt;=1,"",C28/B28)</x:f>
        <x:v>0.0000687158509861212</x:v>
      </x:c>
      <x:c r="F28" s="374" t="n">
        <x:f>IF(ISNUMBER(E28),E28*$B$3/'币价'!$B$12,"")</x:f>
        <x:v>0.00006877334550296168</x:v>
      </x:c>
      <x:c r="G28" s="562" t="n">
        <x:f>IF(A28&gt;=1,"",E28*$B$4)</x:f>
        <x:v>68715.85098612121</x:v>
      </x:c>
      <x:c r="H28" s="562" t="n">
        <x:f>IF(A28&gt;=1,"",G28*$B$3)</x:f>
        <x:v>68715.85098612121</x:v>
      </x:c>
      <x:c r="I28" s="562" t="n">
        <x:f>IF(A28&gt;=1,"",C28-C27)</x:f>
        <x:v>334.53769559031934</x:v>
      </x:c>
      <x:c r="J28" s="562" t="n">
        <x:f>IF(A28&gt;=1,"",I28*(1+$B$8))</x:f>
        <x:v>335.3740398292951</x:v>
      </x:c>
      <x:c r="K28" s="567" t="n">
        <x:f>IF(A28&gt;=1,"不可达",$B$5+(C28-$D$5)*(1+$B$8))</x:f>
        <x:v>13075.828133513356</x:v>
      </x:c>
    </x:row>
    <x:row r="29">
      <x:c r="A29" s="58" t="n">
        <x:v>0.82</x:v>
      </x:c>
      <x:c r="B29" s="64" t="n">
        <x:f>IF(A29&gt;=1,"",IF(ABS(A29-$B$6)&lt;0.000001,$D$4,$B$4*(1-A29)))</x:f>
        <x:v>180000000.00000006</x:v>
      </x:c>
      <x:c r="C29" s="64" t="n">
        <x:f>IF(A29&gt;=1,"",IF(ABS(A29-$B$6)&lt;0.000001,$D$5,$D$6/B29))</x:f>
        <x:v>13065.555555555551</x:v>
      </x:c>
      <x:c r="D29" s="75" t="n">
        <x:f>IF(A29&gt;=1,"",B29*C29)</x:f>
        <x:v>2351800000000</x:v>
      </x:c>
      <x:c r="E29" s="374" t="n">
        <x:f>IF(A29&gt;=1,"",C29/B29)</x:f>
        <x:v>0.00007258641975308637</x:v>
      </x:c>
      <x:c r="F29" s="374" t="n">
        <x:f>IF(ISNUMBER(E29),E29*$B$3/'币价'!$B$12,"")</x:f>
        <x:v>0.00007264715277280443</x:v>
      </x:c>
      <x:c r="G29" s="562" t="n">
        <x:f>IF(A29&gt;=1,"",E29*$B$4)</x:f>
        <x:v>72586.41975308637</x:v>
      </x:c>
      <x:c r="H29" s="562" t="n">
        <x:f>IF(A29&gt;=1,"",G29*$B$3)</x:f>
        <x:v>72586.41975308637</x:v>
      </x:c>
      <x:c r="I29" s="562" t="n">
        <x:f>IF(A29&gt;=1,"",C29-C28)</x:f>
        <x:v>353.12312312312315</x:v>
      </x:c>
      <x:c r="J29" s="562" t="n">
        <x:f>IF(A29&gt;=1,"",I29*(1+$B$8))</x:f>
        <x:v>354.00593093093096</x:v>
      </x:c>
      <x:c r="K29" s="567" t="n">
        <x:f>IF(A29&gt;=1,"不可达",$B$5+(C29-$D$5)*(1+$B$8))</x:f>
        <x:v>13429.834064444287</x:v>
      </x:c>
    </x:row>
    <x:row r="30">
      <x:c r="A30" s="58" t="n">
        <x:v>0.825</x:v>
      </x:c>
      <x:c r="B30" s="64" t="n">
        <x:f>IF(A30&gt;=1,"",IF(ABS(A30-$B$6)&lt;0.000001,$D$4,$B$4*(1-A30)))</x:f>
        <x:v>175000000.00000003</x:v>
      </x:c>
      <x:c r="C30" s="64" t="n">
        <x:f>IF(A30&gt;=1,"",IF(ABS(A30-$B$6)&lt;0.000001,$D$5,$D$6/B30))</x:f>
        <x:v>13438.857142857141</x:v>
      </x:c>
      <x:c r="D30" s="75" t="n">
        <x:f>IF(A30&gt;=1,"",B30*C30)</x:f>
        <x:v>2351800000000</x:v>
      </x:c>
      <x:c r="E30" s="374" t="n">
        <x:f>IF(A30&gt;=1,"",C30/B30)</x:f>
        <x:v>0.00007679346938775509</x:v>
      </x:c>
      <x:c r="F30" s="374" t="n">
        <x:f>IF(ISNUMBER(E30),E30*$B$3/'币价'!$B$12,"")</x:f>
        <x:v>0.00007685772244371803</x:v>
      </x:c>
      <x:c r="G30" s="562" t="n">
        <x:f>IF(A30&gt;=1,"",E30*$B$4)</x:f>
        <x:v>76793.46938775509</x:v>
      </x:c>
      <x:c r="H30" s="562" t="n">
        <x:f>IF(A30&gt;=1,"",G30*$B$3)</x:f>
        <x:v>76793.46938775509</x:v>
      </x:c>
      <x:c r="I30" s="562" t="n">
        <x:f>IF(A30&gt;=1,"",C30-C29)</x:f>
        <x:v>373.3015873015902</x:v>
      </x:c>
      <x:c r="J30" s="562" t="n">
        <x:f>IF(A30&gt;=1,"",I30*(1+$B$8))</x:f>
        <x:v>374.23484126984414</x:v>
      </x:c>
      <x:c r="K30" s="567" t="n">
        <x:f>IF(A30&gt;=1,"不可达",$B$5+(C30-$D$5)*(1+$B$8))</x:f>
        <x:v>13804.068905714132</x:v>
      </x:c>
    </x:row>
    <x:row r="31">
      <x:c r="A31" s="58" t="n">
        <x:v>0.83</x:v>
      </x:c>
      <x:c r="B31" s="64" t="n">
        <x:f>IF(A31&gt;=1,"",IF(ABS(A31-$B$6)&lt;0.000001,$D$4,$B$4*(1-A31)))</x:f>
        <x:v>170000000.00000003</x:v>
      </x:c>
      <x:c r="C31" s="64" t="n">
        <x:f>IF(A31&gt;=1,"",IF(ABS(A31-$B$6)&lt;0.000001,$D$5,$D$6/B31))</x:f>
        <x:v>13834.117647058822</x:v>
      </x:c>
      <x:c r="D31" s="75" t="n">
        <x:f>IF(A31&gt;=1,"",B31*C31)</x:f>
        <x:v>2351800000000</x:v>
      </x:c>
      <x:c r="E31" s="374" t="n">
        <x:f>IF(A31&gt;=1,"",C31/B31)</x:f>
        <x:v>0.00008137716262975775</x:v>
      </x:c>
      <x:c r="F31" s="374" t="n">
        <x:f>IF(ISNUMBER(E31),E31*$B$3/'币价'!$B$12,"")</x:f>
        <x:v>0.00008144525085947628</x:v>
      </x:c>
      <x:c r="G31" s="562" t="n">
        <x:f>IF(A31&gt;=1,"",E31*$B$4)</x:f>
        <x:v>81377.16262975776</x:v>
      </x:c>
      <x:c r="H31" s="562" t="n">
        <x:f>IF(A31&gt;=1,"",G31*$B$3)</x:f>
        <x:v>81377.16262975776</x:v>
      </x:c>
      <x:c r="I31" s="562" t="n">
        <x:f>IF(A31&gt;=1,"",C31-C30)</x:f>
        <x:v>395.2605042016803</x:v>
      </x:c>
      <x:c r="J31" s="562" t="n">
        <x:f>IF(A31&gt;=1,"",I31*(1+$B$8))</x:f>
        <x:v>396.2486554621845</x:v>
      </x:c>
      <x:c r="K31" s="567" t="n">
        <x:f>IF(A31&gt;=1,"不可达",$B$5+(C31-$D$5)*(1+$B$8))</x:f>
        <x:v>14200.317561176314</x:v>
      </x:c>
    </x:row>
    <x:row r="32">
      <x:c r="A32" s="58" t="n">
        <x:v>0.835</x:v>
      </x:c>
      <x:c r="B32" s="64" t="n">
        <x:f>IF(A32&gt;=1,"",IF(ABS(A32-$B$6)&lt;0.000001,$D$4,$B$4*(1-A32)))</x:f>
        <x:v>165000000.00000003</x:v>
      </x:c>
      <x:c r="C32" s="64" t="n">
        <x:f>IF(A32&gt;=1,"",IF(ABS(A32-$B$6)&lt;0.000001,$D$5,$D$6/B32))</x:f>
        <x:v>14253.33333333333</x:v>
      </x:c>
      <x:c r="D32" s="75" t="n">
        <x:f>IF(A32&gt;=1,"",B32*C32)</x:f>
        <x:v>2351800000000</x:v>
      </x:c>
      <x:c r="E32" s="374" t="n">
        <x:f>IF(A32&gt;=1,"",C32/B32)</x:f>
        <x:v>0.00008638383838383835</x:v>
      </x:c>
      <x:c r="F32" s="374" t="n">
        <x:f>IF(ISNUMBER(E32),E32*$B$3/'币价'!$B$12,"")</x:f>
        <x:v>0.00008645611569656066</x:v>
      </x:c>
      <x:c r="G32" s="562" t="n">
        <x:f>IF(A32&gt;=1,"",E32*$B$4)</x:f>
        <x:v>86383.83838383835</x:v>
      </x:c>
      <x:c r="H32" s="562" t="n">
        <x:f>IF(A32&gt;=1,"",G32*$B$3)</x:f>
        <x:v>86383.83838383835</x:v>
      </x:c>
      <x:c r="I32" s="562" t="n">
        <x:f>IF(A32&gt;=1,"",C32-C31)</x:f>
        <x:v>419.2156862745087</x:v>
      </x:c>
      <x:c r="J32" s="562" t="n">
        <x:f>IF(A32&gt;=1,"",I32*(1+$B$8))</x:f>
        <x:v>420.26372549019493</x:v>
      </x:c>
      <x:c r="K32" s="567" t="n">
        <x:f>IF(A32&gt;=1,"不可达",$B$5+(C32-$D$5)*(1+$B$8))</x:f>
        <x:v>14620.581286666511</x:v>
      </x:c>
    </x:row>
    <x:row r="33">
      <x:c r="A33" s="58" t="n">
        <x:v>0.84</x:v>
      </x:c>
      <x:c r="B33" s="64" t="n">
        <x:f>IF(A33&gt;=1,"",IF(ABS(A33-$B$6)&lt;0.000001,$D$4,$B$4*(1-A33)))</x:f>
        <x:v>160000000.00000003</x:v>
      </x:c>
      <x:c r="C33" s="64" t="n">
        <x:f>IF(A33&gt;=1,"",IF(ABS(A33-$B$6)&lt;0.000001,$D$5,$D$6/B33))</x:f>
        <x:v>14698.749999999996</x:v>
      </x:c>
      <x:c r="D33" s="75" t="n">
        <x:f>IF(A33&gt;=1,"",B33*C33)</x:f>
        <x:v>2351800000000</x:v>
      </x:c>
      <x:c r="E33" s="374" t="n">
        <x:f>IF(A33&gt;=1,"",C33/B33)</x:f>
        <x:v>0.00009186718749999996</x:v>
      </x:c>
      <x:c r="F33" s="374" t="n">
        <x:f>IF(ISNUMBER(E33),E33*$B$3/'币价'!$B$12,"")</x:f>
        <x:v>0.00009194405272808064</x:v>
      </x:c>
      <x:c r="G33" s="562" t="n">
        <x:f>IF(A33&gt;=1,"",E33*$B$4)</x:f>
        <x:v>91867.18749999996</x:v>
      </x:c>
      <x:c r="H33" s="562" t="n">
        <x:f>IF(A33&gt;=1,"",G33*$B$3)</x:f>
        <x:v>91867.18749999996</x:v>
      </x:c>
      <x:c r="I33" s="562" t="n">
        <x:f>IF(A33&gt;=1,"",C33-C32)</x:f>
        <x:v>445.41666666666606</x:v>
      </x:c>
      <x:c r="J33" s="562" t="n">
        <x:f>IF(A33&gt;=1,"",I33*(1+$B$8))</x:f>
        <x:v>446.5302083333327</x:v>
      </x:c>
      <x:c r="K33" s="567" t="n">
        <x:f>IF(A33&gt;=1,"不可达",$B$5+(C33-$D$5)*(1+$B$8))</x:f>
        <x:v>15067.111494999843</x:v>
      </x:c>
    </x:row>
    <x:row r="34">
      <x:c r="A34" s="58" t="n">
        <x:v>0.845</x:v>
      </x:c>
      <x:c r="B34" s="64" t="n">
        <x:f>IF(A34&gt;=1,"",IF(ABS(A34-$B$6)&lt;0.000001,$D$4,$B$4*(1-A34)))</x:f>
        <x:v>155000000.00000003</x:v>
      </x:c>
      <x:c r="C34" s="64" t="n">
        <x:f>IF(A34&gt;=1,"",IF(ABS(A34-$B$6)&lt;0.000001,$D$5,$D$6/B34))</x:f>
        <x:v>15172.903225806449</x:v>
      </x:c>
      <x:c r="D34" s="75" t="n">
        <x:f>IF(A34&gt;=1,"",B34*C34)</x:f>
        <x:v>2351800000000</x:v>
      </x:c>
      <x:c r="E34" s="374" t="n">
        <x:f>IF(A34&gt;=1,"",C34/B34)</x:f>
        <x:v>0.00009788969823100933</x:v>
      </x:c>
      <x:c r="F34" s="374" t="n">
        <x:f>IF(ISNUMBER(E34),E34*$B$3/'币价'!$B$12,"")</x:f>
        <x:v>0.00009797160249069155</x:v>
      </x:c>
      <x:c r="G34" s="562" t="n">
        <x:f>IF(A34&gt;=1,"",E34*$B$4)</x:f>
        <x:v>97889.69823100933</x:v>
      </x:c>
      <x:c r="H34" s="562" t="n">
        <x:f>IF(A34&gt;=1,"",G34*$B$3)</x:f>
        <x:v>97889.69823100933</x:v>
      </x:c>
      <x:c r="I34" s="562" t="n">
        <x:f>IF(A34&gt;=1,"",C34-C33)</x:f>
        <x:v>474.1532258064526</x:v>
      </x:c>
      <x:c r="J34" s="562" t="n">
        <x:f>IF(A34&gt;=1,"",I34*(1+$B$8))</x:f>
        <x:v>475.3386088709687</x:v>
      </x:c>
      <x:c r="K34" s="567" t="n">
        <x:f>IF(A34&gt;=1,"不可达",$B$5+(C34-$D$5)*(1+$B$8))</x:f>
        <x:v>15542.450103870811</x:v>
      </x:c>
    </x:row>
    <x:row r="35">
      <x:c r="A35" s="58" t="n">
        <x:v>0.85</x:v>
      </x:c>
      <x:c r="B35" s="64" t="n">
        <x:f>IF(A35&gt;=1,"",IF(ABS(A35-$B$6)&lt;0.000001,$D$4,$B$4*(1-A35)))</x:f>
        <x:v>150000000.00000003</x:v>
      </x:c>
      <x:c r="C35" s="64" t="n">
        <x:f>IF(A35&gt;=1,"",IF(ABS(A35-$B$6)&lt;0.000001,$D$5,$D$6/B35))</x:f>
        <x:v>15678.666666666664</x:v>
      </x:c>
      <x:c r="D35" s="75" t="n">
        <x:f>IF(A35&gt;=1,"",B35*C35)</x:f>
        <x:v>2351800000000</x:v>
      </x:c>
      <x:c r="E35" s="374" t="n">
        <x:f>IF(A35&gt;=1,"",C35/B35)</x:f>
        <x:v>0.00010452444444444441</x:v>
      </x:c>
      <x:c r="F35" s="374" t="n">
        <x:f>IF(ISNUMBER(E35),E35*$B$3/'币价'!$B$12,"")</x:f>
        <x:v>0.00010461189999283842</x:v>
      </x:c>
      <x:c r="G35" s="562" t="n">
        <x:f>IF(A35&gt;=1,"",E35*$B$4)</x:f>
        <x:v>104524.44444444441</x:v>
      </x:c>
      <x:c r="H35" s="562" t="n">
        <x:f>IF(A35&gt;=1,"",G35*$B$3)</x:f>
        <x:v>104524.44444444441</x:v>
      </x:c>
      <x:c r="I35" s="562" t="n">
        <x:f>IF(A35&gt;=1,"",C35-C34)</x:f>
        <x:v>505.76344086021527</x:v>
      </x:c>
      <x:c r="J35" s="562" t="n">
        <x:f>IF(A35&gt;=1,"",I35*(1+$B$8))</x:f>
        <x:v>507.0278494623658</x:v>
      </x:c>
      <x:c r="K35" s="567" t="n">
        <x:f>IF(A35&gt;=1,"不可达",$B$5+(C35-$D$5)*(1+$B$8))</x:f>
        <x:v>16049.477953333178</x:v>
      </x:c>
    </x:row>
    <x:row r="36">
      <x:c r="A36" s="58" t="n">
        <x:v>0.855</x:v>
      </x:c>
      <x:c r="B36" s="64" t="n">
        <x:f>IF(A36&gt;=1,"",IF(ABS(A36-$B$6)&lt;0.000001,$D$4,$B$4*(1-A36)))</x:f>
        <x:v>145000000.00000003</x:v>
      </x:c>
      <x:c r="C36" s="64" t="n">
        <x:f>IF(A36&gt;=1,"",IF(ABS(A36-$B$6)&lt;0.000001,$D$5,$D$6/B36))</x:f>
        <x:v>16219.310344827583</x:v>
      </x:c>
      <x:c r="D36" s="75" t="n">
        <x:f>IF(A36&gt;=1,"",B36*C36)</x:f>
        <x:v>2351800000000</x:v>
      </x:c>
      <x:c r="E36" s="374" t="n">
        <x:f>IF(A36&gt;=1,"",C36/B36)</x:f>
        <x:v>0.00011185731272294882</x:v>
      </x:c>
      <x:c r="F36" s="374" t="n">
        <x:f>IF(ISNUMBER(E36),E36*$B$3/'币价'!$B$12,"")</x:f>
        <x:v>0.00011195090367842399</x:v>
      </x:c>
      <x:c r="G36" s="562" t="n">
        <x:f>IF(A36&gt;=1,"",E36*$B$4)</x:f>
        <x:v>111857.31272294883</x:v>
      </x:c>
      <x:c r="H36" s="562" t="n">
        <x:f>IF(A36&gt;=1,"",G36*$B$3)</x:f>
        <x:v>111857.31272294883</x:v>
      </x:c>
      <x:c r="I36" s="562" t="n">
        <x:f>IF(A36&gt;=1,"",C36-C35)</x:f>
        <x:v>540.6436781609191</x:v>
      </x:c>
      <x:c r="J36" s="562" t="n">
        <x:f>IF(A36&gt;=1,"",I36*(1+$B$8))</x:f>
        <x:v>541.9952873563213</x:v>
      </x:c>
      <x:c r="K36" s="567" t="n">
        <x:f>IF(A36&gt;=1,"不可达",$B$5+(C36-$D$5)*(1+$B$8))</x:f>
        <x:v>16591.4732406895</x:v>
      </x:c>
    </x:row>
    <x:row r="37">
      <x:c r="A37" s="58" t="n">
        <x:v>0.86</x:v>
      </x:c>
      <x:c r="B37" s="64" t="n">
        <x:f>IF(A37&gt;=1,"",IF(ABS(A37-$B$6)&lt;0.000001,$D$4,$B$4*(1-A37)))</x:f>
        <x:v>140000000</x:v>
      </x:c>
      <x:c r="C37" s="64" t="n">
        <x:f>IF(A37&gt;=1,"",IF(ABS(A37-$B$6)&lt;0.000001,$D$5,$D$6/B37))</x:f>
        <x:v>16798.571428571428</x:v>
      </x:c>
      <x:c r="D37" s="75" t="n">
        <x:f>IF(A37&gt;=1,"",B37*C37)</x:f>
        <x:v>2351800000000</x:v>
      </x:c>
      <x:c r="E37" s="374" t="n">
        <x:f>IF(A37&gt;=1,"",C37/B37)</x:f>
        <x:v>0.00011998979591836734</x:v>
      </x:c>
      <x:c r="F37" s="374" t="n">
        <x:f>IF(ISNUMBER(E37),E37*$B$3/'币价'!$B$12,"")</x:f>
        <x:v>0.00012009019131830944</x:v>
      </x:c>
      <x:c r="G37" s="562" t="n">
        <x:f>IF(A37&gt;=1,"",E37*$B$4)</x:f>
        <x:v>119989.79591836734</x:v>
      </x:c>
      <x:c r="H37" s="562" t="n">
        <x:f>IF(A37&gt;=1,"",G37*$B$3)</x:f>
        <x:v>119989.79591836734</x:v>
      </x:c>
      <x:c r="I37" s="562" t="n">
        <x:f>IF(A37&gt;=1,"",C37-C36)</x:f>
        <x:v>579.2610837438442</x:v>
      </x:c>
      <x:c r="J37" s="562" t="n">
        <x:f>IF(A37&gt;=1,"",I37*(1+$B$8))</x:f>
        <x:v>580.7092364532037</x:v>
      </x:c>
      <x:c r="K37" s="567" t="n">
        <x:f>IF(A37&gt;=1,"不可达",$B$5+(C37-$D$5)*(1+$B$8))</x:f>
        <x:v>17172.182477142702</x:v>
      </x:c>
    </x:row>
    <x:row r="38">
      <x:c r="A38" s="58" t="n">
        <x:v>0.865</x:v>
      </x:c>
      <x:c r="B38" s="64" t="n">
        <x:f>IF(A38&gt;=1,"",IF(ABS(A38-$B$6)&lt;0.000001,$D$4,$B$4*(1-A38)))</x:f>
        <x:v>135000000</x:v>
      </x:c>
      <x:c r="C38" s="64" t="n">
        <x:f>IF(A38&gt;=1,"",IF(ABS(A38-$B$6)&lt;0.000001,$D$5,$D$6/B38))</x:f>
        <x:v>17420.74074074074</x:v>
      </x:c>
      <x:c r="D38" s="75" t="n">
        <x:f>IF(A38&gt;=1,"",B38*C38)</x:f>
        <x:v>2351800000000</x:v>
      </x:c>
      <x:c r="E38" s="374" t="n">
        <x:f>IF(A38&gt;=1,"",C38/B38)</x:f>
        <x:v>0.00012904252400548698</x:v>
      </x:c>
      <x:c r="F38" s="374" t="n">
        <x:f>IF(ISNUMBER(E38),E38*$B$3/'币价'!$B$12,"")</x:f>
        <x:v>0.00012915049381831908</x:v>
      </x:c>
      <x:c r="G38" s="562" t="n">
        <x:f>IF(A38&gt;=1,"",E38*$B$4)</x:f>
        <x:v>129042.52400548698</x:v>
      </x:c>
      <x:c r="H38" s="562" t="n">
        <x:f>IF(A38&gt;=1,"",G38*$B$3)</x:f>
        <x:v>129042.52400548698</x:v>
      </x:c>
      <x:c r="I38" s="562" t="n">
        <x:f>IF(A38&gt;=1,"",C38-C37)</x:f>
        <x:v>622.1693121693133</x:v>
      </x:c>
      <x:c r="J38" s="562" t="n">
        <x:f>IF(A38&gt;=1,"",I38*(1+$B$8))</x:f>
        <x:v>623.7247354497366</x:v>
      </x:c>
      <x:c r="K38" s="567" t="n">
        <x:f>IF(A38&gt;=1,"不可达",$B$5+(C38-$D$5)*(1+$B$8))</x:f>
        <x:v>17795.90721259244</x:v>
      </x:c>
    </x:row>
    <x:row r="39">
      <x:c r="A39" s="58" t="n">
        <x:v>0.87</x:v>
      </x:c>
      <x:c r="B39" s="64" t="n">
        <x:f>IF(A39&gt;=1,"",IF(ABS(A39-$B$6)&lt;0.000001,$D$4,$B$4*(1-A39)))</x:f>
        <x:v>130000000</x:v>
      </x:c>
      <x:c r="C39" s="64" t="n">
        <x:f>IF(A39&gt;=1,"",IF(ABS(A39-$B$6)&lt;0.000001,$D$5,$D$6/B39))</x:f>
        <x:v>18090.76923076923</x:v>
      </x:c>
      <x:c r="D39" s="75" t="n">
        <x:f>IF(A39&gt;=1,"",B39*C39)</x:f>
        <x:v>2351800000000</x:v>
      </x:c>
      <x:c r="E39" s="374" t="n">
        <x:f>IF(A39&gt;=1,"",C39/B39)</x:f>
        <x:v>0.00013915976331360948</x:v>
      </x:c>
      <x:c r="F39" s="374" t="n">
        <x:f>IF(ISNUMBER(E39),E39*$B$3/'币价'!$B$12,"")</x:f>
        <x:v>0.00013927619821531748</x:v>
      </x:c>
      <x:c r="G39" s="562" t="n">
        <x:f>IF(A39&gt;=1,"",E39*$B$4)</x:f>
        <x:v>139159.76331360947</x:v>
      </x:c>
      <x:c r="H39" s="562" t="n">
        <x:f>IF(A39&gt;=1,"",G39*$B$3)</x:f>
        <x:v>139159.76331360947</x:v>
      </x:c>
      <x:c r="I39" s="562" t="n">
        <x:f>IF(A39&gt;=1,"",C39-C38)</x:f>
        <x:v>670.0284900284896</x:v>
      </x:c>
      <x:c r="J39" s="562" t="n">
        <x:f>IF(A39&gt;=1,"",I39*(1+$B$8))</x:f>
        <x:v>671.7035612535608</x:v>
      </x:c>
      <x:c r="K39" s="567" t="n">
        <x:f>IF(A39&gt;=1,"不可达",$B$5+(C39-$D$5)*(1+$B$8))</x:f>
        <x:v>18467.610773845998</x:v>
      </x:c>
    </x:row>
    <x:row r="40">
      <x:c r="A40" s="58" t="n">
        <x:v>0.875</x:v>
      </x:c>
      <x:c r="B40" s="64" t="n">
        <x:f>IF(A40&gt;=1,"",IF(ABS(A40-$B$6)&lt;0.000001,$D$4,$B$4*(1-A40)))</x:f>
        <x:v>125000000</x:v>
      </x:c>
      <x:c r="C40" s="64" t="n">
        <x:f>IF(A40&gt;=1,"",IF(ABS(A40-$B$6)&lt;0.000001,$D$5,$D$6/B40))</x:f>
        <x:v>18814.4</x:v>
      </x:c>
      <x:c r="D40" s="75" t="n">
        <x:f>IF(A40&gt;=1,"",B40*C40)</x:f>
        <x:v>2351800000000</x:v>
      </x:c>
      <x:c r="E40" s="374" t="n">
        <x:f>IF(A40&gt;=1,"",C40/B40)</x:f>
        <x:v>0.0001505152</x:v>
      </x:c>
      <x:c r="F40" s="374" t="n">
        <x:f>IF(ISNUMBER(E40),E40*$B$3/'币价'!$B$12,"")</x:f>
        <x:v>0.0001506411359896874</x:v>
      </x:c>
      <x:c r="G40" s="562" t="n">
        <x:f>IF(A40&gt;=1,"",E40*$B$4)</x:f>
        <x:v>150515.2</x:v>
      </x:c>
      <x:c r="H40" s="562" t="n">
        <x:f>IF(A40&gt;=1,"",G40*$B$3)</x:f>
        <x:v>150515.2</x:v>
      </x:c>
      <x:c r="I40" s="562" t="n">
        <x:f>IF(A40&gt;=1,"",C40-C39)</x:f>
        <x:v>723.630769230771</x:v>
      </x:c>
      <x:c r="J40" s="562" t="n">
        <x:f>IF(A40&gt;=1,"",I40*(1+$B$8))</x:f>
        <x:v>725.4398461538478</x:v>
      </x:c>
      <x:c r="K40" s="567" t="n">
        <x:f>IF(A40&gt;=1,"不可达",$B$5+(C40-$D$5)*(1+$B$8))</x:f>
        <x:v>19193.05061999985</x:v>
      </x:c>
    </x:row>
    <x:row r="41">
      <x:c r="A41" s="58" t="n">
        <x:v>0.88</x:v>
      </x:c>
      <x:c r="B41" s="64" t="n">
        <x:f>IF(A41&gt;=1,"",IF(ABS(A41-$B$6)&lt;0.000001,$D$4,$B$4*(1-A41)))</x:f>
        <x:v>120000000</x:v>
      </x:c>
      <x:c r="C41" s="64" t="n">
        <x:f>IF(A41&gt;=1,"",IF(ABS(A41-$B$6)&lt;0.000001,$D$5,$D$6/B41))</x:f>
        <x:v>19598.333333333332</x:v>
      </x:c>
      <x:c r="D41" s="75" t="n">
        <x:f>IF(A41&gt;=1,"",B41*C41)</x:f>
        <x:v>2351800000000</x:v>
      </x:c>
      <x:c r="E41" s="374" t="n">
        <x:f>IF(A41&gt;=1,"",C41/B41)</x:f>
        <x:v>0.00016331944444444442</x:v>
      </x:c>
      <x:c r="F41" s="374" t="n">
        <x:f>IF(ISNUMBER(E41),E41*$B$3/'币价'!$B$12,"")</x:f>
        <x:v>0.00016345609373881006</x:v>
      </x:c>
      <x:c r="G41" s="562" t="n">
        <x:f>IF(A41&gt;=1,"",E41*$B$4)</x:f>
        <x:v>163319.4444444444</x:v>
      </x:c>
      <x:c r="H41" s="562" t="n">
        <x:f>IF(A41&gt;=1,"",G41*$B$3)</x:f>
        <x:v>163319.4444444444</x:v>
      </x:c>
      <x:c r="I41" s="562" t="n">
        <x:f>IF(A41&gt;=1,"",C41-C40)</x:f>
        <x:v>783.9333333333307</x:v>
      </x:c>
      <x:c r="J41" s="562" t="n">
        <x:f>IF(A41&gt;=1,"",I41*(1+$B$8))</x:f>
        <x:v>785.893166666664</x:v>
      </x:c>
      <x:c r="K41" s="567" t="n">
        <x:f>IF(A41&gt;=1,"不可达",$B$5+(C41-$D$5)*(1+$B$8))</x:f>
        <x:v>19978.94378666651</x:v>
      </x:c>
    </x:row>
    <x:row r="42">
      <x:c r="A42" s="58" t="n">
        <x:v>0.885</x:v>
      </x:c>
      <x:c r="B42" s="64" t="n">
        <x:f>IF(A42&gt;=1,"",IF(ABS(A42-$B$6)&lt;0.000001,$D$4,$B$4*(1-A42)))</x:f>
        <x:v>114999999.99999999</x:v>
      </x:c>
      <x:c r="C42" s="64" t="n">
        <x:f>IF(A42&gt;=1,"",IF(ABS(A42-$B$6)&lt;0.000001,$D$5,$D$6/B42))</x:f>
        <x:v>20450.4347826087</x:v>
      </x:c>
      <x:c r="D42" s="75" t="n">
        <x:f>IF(A42&gt;=1,"",B42*C42)</x:f>
        <x:v>2351800000000</x:v>
      </x:c>
      <x:c r="E42" s="374" t="n">
        <x:f>IF(A42&gt;=1,"",C42/B42)</x:f>
        <x:v>0.00017782986767485827</x:v>
      </x:c>
      <x:c r="F42" s="374" t="n">
        <x:f>IF(ISNUMBER(E42),E42*$B$3/'币价'!$B$12,"")</x:f>
        <x:v>0.00017797865783280648</x:v>
      </x:c>
      <x:c r="G42" s="562" t="n">
        <x:f>IF(A42&gt;=1,"",E42*$B$4)</x:f>
        <x:v>177829.86767485828</x:v>
      </x:c>
      <x:c r="H42" s="562" t="n">
        <x:f>IF(A42&gt;=1,"",G42*$B$3)</x:f>
        <x:v>177829.86767485828</x:v>
      </x:c>
      <x:c r="I42" s="562" t="n">
        <x:f>IF(A42&gt;=1,"",C42-C41)</x:f>
        <x:v>852.1014492753675</x:v>
      </x:c>
      <x:c r="J42" s="562" t="n">
        <x:f>IF(A42&gt;=1,"",I42*(1+$B$8))</x:f>
        <x:v>854.2317028985559</x:v>
      </x:c>
      <x:c r="K42" s="567" t="n">
        <x:f>IF(A42&gt;=1,"不可达",$B$5+(C42-$D$5)*(1+$B$8))</x:f>
        <x:v>20833.175489565067</x:v>
      </x:c>
    </x:row>
    <x:row r="43">
      <x:c r="A43" s="58" t="n">
        <x:v>0.89</x:v>
      </x:c>
      <x:c r="B43" s="64" t="n">
        <x:f>IF(A43&gt;=1,"",IF(ABS(A43-$B$6)&lt;0.000001,$D$4,$B$4*(1-A43)))</x:f>
        <x:v>109999999.99999999</x:v>
      </x:c>
      <x:c r="C43" s="64" t="n">
        <x:f>IF(A43&gt;=1,"",IF(ABS(A43-$B$6)&lt;0.000001,$D$5,$D$6/B43))</x:f>
        <x:v>21380.000000000004</x:v>
      </x:c>
      <x:c r="D43" s="75" t="n">
        <x:f>IF(A43&gt;=1,"",B43*C43)</x:f>
        <x:v>2351800000000</x:v>
      </x:c>
      <x:c r="E43" s="374" t="n">
        <x:f>IF(A43&gt;=1,"",C43/B43)</x:f>
        <x:v>0.00019436363636363642</x:v>
      </x:c>
      <x:c r="F43" s="374" t="n">
        <x:f>IF(ISNUMBER(E43),E43*$B$3/'币价'!$B$12,"")</x:f>
        <x:v>0.00019452626031726166</x:v>
      </x:c>
      <x:c r="G43" s="562" t="n">
        <x:f>IF(A43&gt;=1,"",E43*$B$4)</x:f>
        <x:v>194363.6363636364</x:v>
      </x:c>
      <x:c r="H43" s="562" t="n">
        <x:f>IF(A43&gt;=1,"",G43*$B$3)</x:f>
        <x:v>194363.6363636364</x:v>
      </x:c>
      <x:c r="I43" s="562" t="n">
        <x:f>IF(A43&gt;=1,"",C43-C42)</x:f>
        <x:v>929.565217391304</x:v>
      </x:c>
      <x:c r="J43" s="562" t="n">
        <x:f>IF(A43&gt;=1,"",I43*(1+$B$8))</x:f>
        <x:v>931.8891304347823</x:v>
      </x:c>
      <x:c r="K43" s="567" t="n">
        <x:f>IF(A43&gt;=1,"不可达",$B$5+(C43-$D$5)*(1+$B$8))</x:f>
        <x:v>21765.064619999852</x:v>
      </x:c>
    </x:row>
    <x:row r="44">
      <x:c r="A44" s="58" t="n">
        <x:v>0.895</x:v>
      </x:c>
      <x:c r="B44" s="64" t="n">
        <x:f>IF(A44&gt;=1,"",IF(ABS(A44-$B$6)&lt;0.000001,$D$4,$B$4*(1-A44)))</x:f>
        <x:v>104999999.99999999</x:v>
      </x:c>
      <x:c r="C44" s="64" t="n">
        <x:f>IF(A44&gt;=1,"",IF(ABS(A44-$B$6)&lt;0.000001,$D$5,$D$6/B44))</x:f>
        <x:v>22398.09523809524</x:v>
      </x:c>
      <x:c r="D44" s="75" t="n">
        <x:f>IF(A44&gt;=1,"",B44*C44)</x:f>
        <x:v>2351800000000</x:v>
      </x:c>
      <x:c r="E44" s="374" t="n">
        <x:f>IF(A44&gt;=1,"",C44/B44)</x:f>
        <x:v>0.00021331519274376423</x:v>
      </x:c>
      <x:c r="F44" s="374" t="n">
        <x:f>IF(ISNUMBER(E44),E44*$B$3/'币价'!$B$12,"")</x:f>
        <x:v>0.0002134936734547724</x:v>
      </x:c>
      <x:c r="G44" s="562" t="n">
        <x:f>IF(A44&gt;=1,"",E44*$B$4)</x:f>
        <x:v>213315.19274376423</x:v>
      </x:c>
      <x:c r="H44" s="562" t="n">
        <x:f>IF(A44&gt;=1,"",G44*$B$3)</x:f>
        <x:v>213315.19274376423</x:v>
      </x:c>
      <x:c r="I44" s="562" t="n">
        <x:f>IF(A44&gt;=1,"",C44-C43)</x:f>
        <x:v>1018.0952380952367</x:v>
      </x:c>
      <x:c r="J44" s="562" t="n">
        <x:f>IF(A44&gt;=1,"",I44*(1+$B$8))</x:f>
        <x:v>1020.6404761904747</x:v>
      </x:c>
      <x:c r="K44" s="567" t="n">
        <x:f>IF(A44&gt;=1,"不可达",$B$5+(C44-$D$5)*(1+$B$8))</x:f>
        <x:v>22785.705096190322</x:v>
      </x:c>
    </x:row>
    <x:row r="45">
      <x:c r="A45" s="58" t="n">
        <x:v>0.9</x:v>
      </x:c>
      <x:c r="B45" s="64" t="n">
        <x:f>IF(A45&gt;=1,"",IF(ABS(A45-$B$6)&lt;0.000001,$D$4,$B$4*(1-A45)))</x:f>
        <x:v>99999999.99999999</x:v>
      </x:c>
      <x:c r="C45" s="64" t="n">
        <x:f>IF(A45&gt;=1,"",IF(ABS(A45-$B$6)&lt;0.000001,$D$5,$D$6/B45))</x:f>
        <x:v>23518.000000000004</x:v>
      </x:c>
      <x:c r="D45" s="75" t="n">
        <x:f>IF(A45&gt;=1,"",B45*C45)</x:f>
        <x:v>2351800000000</x:v>
      </x:c>
      <x:c r="E45" s="374" t="n">
        <x:f>IF(A45&gt;=1,"",C45/B45)</x:f>
        <x:v>0.00023518000000000006</x:v>
      </x:c>
      <x:c r="F45" s="374" t="n">
        <x:f>IF(ISNUMBER(E45),E45*$B$3/'币价'!$B$12,"")</x:f>
        <x:v>0.00023537677498388658</x:v>
      </x:c>
      <x:c r="G45" s="562" t="n">
        <x:f>IF(A45&gt;=1,"",E45*$B$4)</x:f>
        <x:v>235180.00000000006</x:v>
      </x:c>
      <x:c r="H45" s="562" t="n">
        <x:f>IF(A45&gt;=1,"",G45*$B$3)</x:f>
        <x:v>235180.00000000006</x:v>
      </x:c>
      <x:c r="I45" s="562" t="n">
        <x:f>IF(A45&gt;=1,"",C45-C44)</x:f>
        <x:v>1119.9047619047633</x:v>
      </x:c>
      <x:c r="J45" s="562" t="n">
        <x:f>IF(A45&gt;=1,"",I45*(1+$B$8))</x:f>
        <x:v>1122.7045238095252</x:v>
      </x:c>
      <x:c r="K45" s="567" t="n">
        <x:f>IF(A45&gt;=1,"不可达",$B$5+(C45-$D$5)*(1+$B$8))</x:f>
        <x:v>23908.40961999985</x:v>
      </x:c>
    </x:row>
    <x:row r="46">
      <x:c r="A46" s="58" t="n">
        <x:v>0.905</x:v>
      </x:c>
      <x:c r="B46" s="64" t="n">
        <x:f>IF(A46&gt;=1,"",IF(ABS(A46-$B$6)&lt;0.000001,$D$4,$B$4*(1-A46)))</x:f>
        <x:v>94999999.99999997</x:v>
      </x:c>
      <x:c r="C46" s="64" t="n">
        <x:f>IF(A46&gt;=1,"",IF(ABS(A46-$B$6)&lt;0.000001,$D$5,$D$6/B46))</x:f>
        <x:v>24755.789473684217</x:v>
      </x:c>
      <x:c r="D46" s="75" t="n">
        <x:f>IF(A46&gt;=1,"",B46*C46)</x:f>
        <x:v>2351800000000</x:v>
      </x:c>
      <x:c r="E46" s="374" t="n">
        <x:f>IF(A46&gt;=1,"",C46/B46)</x:f>
        <x:v>0.0002605872576177287</x:v>
      </x:c>
      <x:c r="F46" s="374" t="n">
        <x:f>IF(ISNUMBER(E46),E46*$B$3/'币价'!$B$12,"")</x:f>
        <x:v>0.00026080529084087164</x:v>
      </x:c>
      <x:c r="G46" s="562" t="n">
        <x:f>IF(A46&gt;=1,"",E46*$B$4)</x:f>
        <x:v>260587.2576177287</x:v>
      </x:c>
      <x:c r="H46" s="562" t="n">
        <x:f>IF(A46&gt;=1,"",G46*$B$3)</x:f>
        <x:v>260587.2576177287</x:v>
      </x:c>
      <x:c r="I46" s="562" t="n">
        <x:f>IF(A46&gt;=1,"",C46-C45)</x:f>
        <x:v>1237.7894736842136</x:v>
      </x:c>
      <x:c r="J46" s="562" t="n">
        <x:f>IF(A46&gt;=1,"",I46*(1+$B$8))</x:f>
        <x:v>1240.883947368424</x:v>
      </x:c>
      <x:c r="K46" s="567" t="n">
        <x:f>IF(A46&gt;=1,"不可达",$B$5+(C46-$D$5)*(1+$B$8))</x:f>
        <x:v>25149.293567368273</x:v>
      </x:c>
    </x:row>
    <x:row r="47">
      <x:c r="A47" s="58" t="n">
        <x:v>0.91</x:v>
      </x:c>
      <x:c r="B47" s="64" t="n">
        <x:f>IF(A47&gt;=1,"",IF(ABS(A47-$B$6)&lt;0.000001,$D$4,$B$4*(1-A47)))</x:f>
        <x:v>89999999.99999997</x:v>
      </x:c>
      <x:c r="C47" s="64" t="n">
        <x:f>IF(A47&gt;=1,"",IF(ABS(A47-$B$6)&lt;0.000001,$D$5,$D$6/B47))</x:f>
        <x:v>26131.11111111112</x:v>
      </x:c>
      <x:c r="D47" s="75" t="n">
        <x:f>IF(A47&gt;=1,"",B47*C47)</x:f>
        <x:v>2351800000000</x:v>
      </x:c>
      <x:c r="E47" s="374" t="n">
        <x:f>IF(A47&gt;=1,"",C47/B47)</x:f>
        <x:v>0.0002903456790123459</x:v>
      </x:c>
      <x:c r="F47" s="374" t="n">
        <x:f>IF(ISNUMBER(E47),E47*$B$3/'币价'!$B$12,"")</x:f>
        <x:v>0.0002905886110912181</x:v>
      </x:c>
      <x:c r="G47" s="562" t="n">
        <x:f>IF(A47&gt;=1,"",E47*$B$4)</x:f>
        <x:v>290345.67901234585</x:v>
      </x:c>
      <x:c r="H47" s="562" t="n">
        <x:f>IF(A47&gt;=1,"",G47*$B$3)</x:f>
        <x:v>290345.67901234585</x:v>
      </x:c>
      <x:c r="I47" s="562" t="n">
        <x:f>IF(A47&gt;=1,"",C47-C46)</x:f>
        <x:v>1375.3216374269032</x:v>
      </x:c>
      <x:c r="J47" s="562" t="n">
        <x:f>IF(A47&gt;=1,"",I47*(1+$B$8))</x:f>
        <x:v>1378.7599415204704</x:v>
      </x:c>
      <x:c r="K47" s="567" t="n">
        <x:f>IF(A47&gt;=1,"不可达",$B$5+(C47-$D$5)*(1+$B$8))</x:f>
        <x:v>26528.053508888745</x:v>
      </x:c>
    </x:row>
    <x:row r="48">
      <x:c r="A48" s="58" t="n">
        <x:v>0.915</x:v>
      </x:c>
      <x:c r="B48" s="64" t="n">
        <x:f>IF(A48&gt;=1,"",IF(ABS(A48-$B$6)&lt;0.000001,$D$4,$B$4*(1-A48)))</x:f>
        <x:v>84999999.99999997</x:v>
      </x:c>
      <x:c r="C48" s="64" t="n">
        <x:f>IF(A48&gt;=1,"",IF(ABS(A48-$B$6)&lt;0.000001,$D$5,$D$6/B48))</x:f>
        <x:v>27668.235294117658</x:v>
      </x:c>
      <x:c r="D48" s="75" t="n">
        <x:f>IF(A48&gt;=1,"",B48*C48)</x:f>
        <x:v>2351800000000</x:v>
      </x:c>
      <x:c r="E48" s="374" t="n">
        <x:f>IF(A48&gt;=1,"",C48/B48)</x:f>
        <x:v>0.0003255086505190314</x:v>
      </x:c>
      <x:c r="F48" s="374" t="n">
        <x:f>IF(ISNUMBER(E48),E48*$B$3/'币价'!$B$12,"")</x:f>
        <x:v>0.0003257810034379055</x:v>
      </x:c>
      <x:c r="G48" s="562" t="n">
        <x:f>IF(A48&gt;=1,"",E48*$B$4)</x:f>
        <x:v>325508.6505190314</x:v>
      </x:c>
      <x:c r="H48" s="562" t="n">
        <x:f>IF(A48&gt;=1,"",G48*$B$3)</x:f>
        <x:v>325508.6505190314</x:v>
      </x:c>
      <x:c r="I48" s="562" t="n">
        <x:f>IF(A48&gt;=1,"",C48-C47)</x:f>
        <x:v>1537.1241830065374</x:v>
      </x:c>
      <x:c r="J48" s="562" t="n">
        <x:f>IF(A48&gt;=1,"",I48*(1+$B$8))</x:f>
        <x:v>1540.9669934640535</x:v>
      </x:c>
      <x:c r="K48" s="567" t="n">
        <x:f>IF(A48&gt;=1,"不可达",$B$5+(C48-$D$5)*(1+$B$8))</x:f>
        <x:v>28069.020502352796</x:v>
      </x:c>
    </x:row>
    <x:row r="49">
      <x:c r="A49" s="58" t="n">
        <x:v>0.92</x:v>
      </x:c>
      <x:c r="B49" s="64" t="n">
        <x:f>IF(A49&gt;=1,"",IF(ABS(A49-$B$6)&lt;0.000001,$D$4,$B$4*(1-A49)))</x:f>
        <x:v>79999999.99999996</x:v>
      </x:c>
      <x:c r="C49" s="64" t="n">
        <x:f>IF(A49&gt;=1,"",IF(ABS(A49-$B$6)&lt;0.000001,$D$5,$D$6/B49))</x:f>
        <x:v>29397.50000000002</x:v>
      </x:c>
      <x:c r="D49" s="75" t="n">
        <x:f>IF(A49&gt;=1,"",B49*C49)</x:f>
        <x:v>2351800000000</x:v>
      </x:c>
      <x:c r="E49" s="374" t="n">
        <x:f>IF(A49&gt;=1,"",C49/B49)</x:f>
        <x:v>0.00036746875000000044</x:v>
      </x:c>
      <x:c r="F49" s="374" t="n">
        <x:f>IF(ISNUMBER(E49),E49*$B$3/'币价'!$B$12,"")</x:f>
        <x:v>0.00036777621091232314</x:v>
      </x:c>
      <x:c r="G49" s="562" t="n">
        <x:f>IF(A49&gt;=1,"",E49*$B$4)</x:f>
        <x:v>367468.75000000047</x:v>
      </x:c>
      <x:c r="H49" s="562" t="n">
        <x:f>IF(A49&gt;=1,"",G49*$B$3)</x:f>
        <x:v>367468.75000000047</x:v>
      </x:c>
      <x:c r="I49" s="562" t="n">
        <x:f>IF(A49&gt;=1,"",C49-C48)</x:f>
        <x:v>1729.2647058823604</x:v>
      </x:c>
      <x:c r="J49" s="562" t="n">
        <x:f>IF(A49&gt;=1,"",I49*(1+$B$8))</x:f>
        <x:v>1733.5878676470663</x:v>
      </x:c>
      <x:c r="K49" s="567" t="n">
        <x:f>IF(A49&gt;=1,"不可达",$B$5+(C49-$D$5)*(1+$B$8))</x:f>
        <x:v>29802.608369999863</x:v>
      </x:c>
    </x:row>
    <x:row r="50">
      <x:c r="A50" s="58" t="n">
        <x:v>0.925</x:v>
      </x:c>
      <x:c r="B50" s="64" t="n">
        <x:f>IF(A50&gt;=1,"",IF(ABS(A50-$B$6)&lt;0.000001,$D$4,$B$4*(1-A50)))</x:f>
        <x:v>74999999.99999996</x:v>
      </x:c>
      <x:c r="C50" s="64" t="n">
        <x:f>IF(A50&gt;=1,"",IF(ABS(A50-$B$6)&lt;0.000001,$D$5,$D$6/B50))</x:f>
        <x:v>31357.33333333335</x:v>
      </x:c>
      <x:c r="D50" s="75" t="n">
        <x:f>IF(A50&gt;=1,"",B50*C50)</x:f>
        <x:v>2351800000000</x:v>
      </x:c>
      <x:c r="E50" s="374" t="n">
        <x:f>IF(A50&gt;=1,"",C50/B50)</x:f>
        <x:v>0.00041809777777777825</x:v>
      </x:c>
      <x:c r="F50" s="374" t="n">
        <x:f>IF(ISNUMBER(E50),E50*$B$3/'币价'!$B$12,"")</x:f>
        <x:v>0.0004184475999713543</x:v>
      </x:c>
      <x:c r="G50" s="562" t="n">
        <x:f>IF(A50&gt;=1,"",E50*$B$4)</x:f>
        <x:v>418097.7777777783</x:v>
      </x:c>
      <x:c r="H50" s="562" t="n">
        <x:f>IF(A50&gt;=1,"",G50*$B$3)</x:f>
        <x:v>418097.7777777783</x:v>
      </x:c>
      <x:c r="I50" s="562" t="n">
        <x:f>IF(A50&gt;=1,"",C50-C49)</x:f>
        <x:v>1959.8333333333321</x:v>
      </x:c>
      <x:c r="J50" s="562" t="n">
        <x:f>IF(A50&gt;=1,"",I50*(1+$B$8))</x:f>
        <x:v>1964.7329166666655</x:v>
      </x:c>
      <x:c r="K50" s="567" t="n">
        <x:f>IF(A50&gt;=1,"不可达",$B$5+(C50-$D$5)*(1+$B$8))</x:f>
        <x:v>31767.341286666528</x:v>
      </x:c>
    </x:row>
    <x:row r="51">
      <x:c r="A51" s="58" t="n">
        <x:v>0.93</x:v>
      </x:c>
      <x:c r="B51" s="64" t="n">
        <x:f>IF(A51&gt;=1,"",IF(ABS(A51-$B$6)&lt;0.000001,$D$4,$B$4*(1-A51)))</x:f>
        <x:v>69999999.99999996</x:v>
      </x:c>
      <x:c r="C51" s="64" t="n">
        <x:f>IF(A51&gt;=1,"",IF(ABS(A51-$B$6)&lt;0.000001,$D$5,$D$6/B51))</x:f>
        <x:v>33597.14285714288</x:v>
      </x:c>
      <x:c r="D51" s="75" t="n">
        <x:f>IF(A51&gt;=1,"",B51*C51)</x:f>
        <x:v>2351800000000</x:v>
      </x:c>
      <x:c r="E51" s="374" t="n">
        <x:f>IF(A51&gt;=1,"",C51/B51)</x:f>
        <x:v>0.00047995918367346995</x:v>
      </x:c>
      <x:c r="F51" s="374" t="n">
        <x:f>IF(ISNUMBER(E51),E51*$B$3/'币价'!$B$12,"")</x:f>
        <x:v>0.0004803607652732384</x:v>
      </x:c>
      <x:c r="G51" s="562" t="n">
        <x:f>IF(A51&gt;=1,"",E51*$B$4)</x:f>
        <x:v>479959.18367346993</x:v>
      </x:c>
      <x:c r="H51" s="562" t="n">
        <x:f>IF(A51&gt;=1,"",G51*$B$3)</x:f>
        <x:v>479959.18367346993</x:v>
      </x:c>
      <x:c r="I51" s="562" t="n">
        <x:f>IF(A51&gt;=1,"",C51-C50)</x:f>
        <x:v>2239.8095238095266</x:v>
      </x:c>
      <x:c r="J51" s="562" t="n">
        <x:f>IF(A51&gt;=1,"",I51*(1+$B$8))</x:f>
        <x:v>2245.4090476190504</x:v>
      </x:c>
      <x:c r="K51" s="567" t="n">
        <x:f>IF(A51&gt;=1,"不可达",$B$5+(C51-$D$5)*(1+$B$8))</x:f>
        <x:v>34012.75033428558</x:v>
      </x:c>
    </x:row>
    <x:row r="52">
      <x:c r="A52" s="58" t="n">
        <x:v>0.935</x:v>
      </x:c>
      <x:c r="B52" s="64" t="n">
        <x:f>IF(A52&gt;=1,"",IF(ABS(A52-$B$6)&lt;0.000001,$D$4,$B$4*(1-A52)))</x:f>
        <x:v>64999999.99999995</x:v>
      </x:c>
      <x:c r="C52" s="64" t="n">
        <x:f>IF(A52&gt;=1,"",IF(ABS(A52-$B$6)&lt;0.000001,$D$5,$D$6/B52))</x:f>
        <x:v>36181.53846153849</x:v>
      </x:c>
      <x:c r="D52" s="75" t="n">
        <x:f>IF(A52&gt;=1,"",B52*C52)</x:f>
        <x:v>2351800000000</x:v>
      </x:c>
      <x:c r="E52" s="374" t="n">
        <x:f>IF(A52&gt;=1,"",C52/B52)</x:f>
        <x:v>0.0005566390532544388</x:v>
      </x:c>
      <x:c r="F52" s="374" t="n">
        <x:f>IF(ISNUMBER(E52),E52*$B$3/'币价'!$B$12,"")</x:f>
        <x:v>0.0005571047928612708</x:v>
      </x:c>
      <x:c r="G52" s="562" t="n">
        <x:f>IF(A52&gt;=1,"",E52*$B$4)</x:f>
        <x:v>556639.0532544388</x:v>
      </x:c>
      <x:c r="H52" s="562" t="n">
        <x:f>IF(A52&gt;=1,"",G52*$B$3)</x:f>
        <x:v>556639.0532544388</x:v>
      </x:c>
      <x:c r="I52" s="562" t="n">
        <x:f>IF(A52&gt;=1,"",C52-C51)</x:f>
        <x:v>2584.395604395613</x:v>
      </x:c>
      <x:c r="J52" s="562" t="n">
        <x:f>IF(A52&gt;=1,"",I52*(1+$B$8))</x:f>
        <x:v>2590.856593406602</x:v>
      </x:c>
      <x:c r="K52" s="567" t="n">
        <x:f>IF(A52&gt;=1,"不可达",$B$5+(C52-$D$5)*(1+$B$8))</x:f>
        <x:v>36603.60692769218</x:v>
      </x:c>
    </x:row>
    <x:row r="53">
      <x:c r="A53" s="58" t="n">
        <x:v>0.94</x:v>
      </x:c>
      <x:c r="B53" s="64" t="n">
        <x:f>IF(A53&gt;=1,"",IF(ABS(A53-$B$6)&lt;0.000001,$D$4,$B$4*(1-A53)))</x:f>
        <x:v>60000000.00000005</x:v>
      </x:c>
      <x:c r="C53" s="64" t="n">
        <x:f>IF(A53&gt;=1,"",IF(ABS(A53-$B$6)&lt;0.000001,$D$5,$D$6/B53))</x:f>
        <x:v>39196.666666666635</x:v>
      </x:c>
      <x:c r="D53" s="75" t="n">
        <x:f>IF(A53&gt;=1,"",B53*C53)</x:f>
        <x:v>2351800000000</x:v>
      </x:c>
      <x:c r="E53" s="374" t="n">
        <x:f>IF(A53&gt;=1,"",C53/B53)</x:f>
        <x:v>0.0006532777777777767</x:v>
      </x:c>
      <x:c r="F53" s="374" t="n">
        <x:f>IF(ISNUMBER(E53),E53*$B$3/'币价'!$B$12,"")</x:f>
        <x:v>0.0006538243749552393</x:v>
      </x:c>
      <x:c r="G53" s="562" t="n">
        <x:f>IF(A53&gt;=1,"",E53*$B$4)</x:f>
        <x:v>653277.7777777767</x:v>
      </x:c>
      <x:c r="H53" s="562" t="n">
        <x:f>IF(A53&gt;=1,"",G53*$B$3)</x:f>
        <x:v>653277.7777777767</x:v>
      </x:c>
      <x:c r="I53" s="562" t="n">
        <x:f>IF(A53&gt;=1,"",C53-C52)</x:f>
        <x:v>3015.128205128145</x:v>
      </x:c>
      <x:c r="J53" s="562" t="n">
        <x:f>IF(A53&gt;=1,"",I53*(1+$B$8))</x:f>
        <x:v>3022.6660256409655</x:v>
      </x:c>
      <x:c r="K53" s="567" t="n">
        <x:f>IF(A53&gt;=1,"不可达",$B$5+(C53-$D$5)*(1+$B$8))</x:f>
        <x:v>39626.272953333144</x:v>
      </x:c>
    </x:row>
    <x:row r="54">
      <x:c r="A54" s="58" t="n">
        <x:v>0.945</x:v>
      </x:c>
      <x:c r="B54" s="64" t="n">
        <x:f>IF(A54&gt;=1,"",IF(ABS(A54-$B$6)&lt;0.000001,$D$4,$B$4*(1-A54)))</x:f>
        <x:v>55000000.00000005</x:v>
      </x:c>
      <x:c r="C54" s="64" t="n">
        <x:f>IF(A54&gt;=1,"",IF(ABS(A54-$B$6)&lt;0.000001,$D$5,$D$6/B54))</x:f>
        <x:v>42759.999999999956</x:v>
      </x:c>
      <x:c r="D54" s="75" t="n">
        <x:f>IF(A54&gt;=1,"",B54*C54)</x:f>
        <x:v>2351800000000</x:v>
      </x:c>
      <x:c r="E54" s="374" t="n">
        <x:f>IF(A54&gt;=1,"",C54/B54)</x:f>
        <x:v>0.000777454545454544</x:v>
      </x:c>
      <x:c r="F54" s="374" t="n">
        <x:f>IF(ISNUMBER(E54),E54*$B$3/'币价'!$B$12,"")</x:f>
        <x:v>0.0007781050412690448</x:v>
      </x:c>
      <x:c r="G54" s="562" t="n">
        <x:f>IF(A54&gt;=1,"",E54*$B$4)</x:f>
        <x:v>777454.545454544</x:v>
      </x:c>
      <x:c r="H54" s="562" t="n">
        <x:f>IF(A54&gt;=1,"",G54*$B$3)</x:f>
        <x:v>777454.545454544</x:v>
      </x:c>
      <x:c r="I54" s="562" t="n">
        <x:f>IF(A54&gt;=1,"",C54-C53)</x:f>
        <x:v>3563.333333333321</x:v>
      </x:c>
      <x:c r="J54" s="562" t="n">
        <x:f>IF(A54&gt;=1,"",I54*(1+$B$8))</x:f>
        <x:v>3572.2416666666545</x:v>
      </x:c>
      <x:c r="K54" s="567" t="n">
        <x:f>IF(A54&gt;=1,"不可达",$B$5+(C54-$D$5)*(1+$B$8))</x:f>
        <x:v>43198.5146199998</x:v>
      </x:c>
    </x:row>
    <x:row r="55">
      <x:c r="A55" s="58" t="n">
        <x:v>0.95</x:v>
      </x:c>
      <x:c r="B55" s="64" t="n">
        <x:f>IF(A55&gt;=1,"",IF(ABS(A55-$B$6)&lt;0.000001,$D$4,$B$4*(1-A55)))</x:f>
        <x:v>50000000.000000045</x:v>
      </x:c>
      <x:c r="C55" s="64" t="n">
        <x:f>IF(A55&gt;=1,"",IF(ABS(A55-$B$6)&lt;0.000001,$D$5,$D$6/B55))</x:f>
        <x:v>47035.999999999956</x:v>
      </x:c>
      <x:c r="D55" s="75" t="n">
        <x:f>IF(A55&gt;=1,"",B55*C55)</x:f>
        <x:v>2351800000000</x:v>
      </x:c>
      <x:c r="E55" s="374" t="n">
        <x:f>IF(A55&gt;=1,"",C55/B55)</x:f>
        <x:v>0.0009407199999999983</x:v>
      </x:c>
      <x:c r="F55" s="374" t="n">
        <x:f>IF(ISNUMBER(E55),E55*$B$3/'币价'!$B$12,"")</x:f>
        <x:v>0.0009415070999355444</x:v>
      </x:c>
      <x:c r="G55" s="562" t="n">
        <x:f>IF(A55&gt;=1,"",E55*$B$4)</x:f>
        <x:v>940719.9999999983</x:v>
      </x:c>
      <x:c r="H55" s="562" t="n">
        <x:f>IF(A55&gt;=1,"",G55*$B$3)</x:f>
        <x:v>940719.9999999983</x:v>
      </x:c>
      <x:c r="I55" s="562" t="n">
        <x:f>IF(A55&gt;=1,"",C55-C54)</x:f>
        <x:v>4276</x:v>
      </x:c>
      <x:c r="J55" s="562" t="n">
        <x:f>IF(A55&gt;=1,"",I55*(1+$B$8))</x:f>
        <x:v>4286.69</x:v>
      </x:c>
      <x:c r="K55" s="567" t="n">
        <x:f>IF(A55&gt;=1,"不可达",$B$5+(C55-$D$5)*(1+$B$8))</x:f>
        <x:v>47485.2046199998</x:v>
      </x:c>
    </x:row>
    <x:row r="56">
      <x:c r="A56" s="58" t="n">
        <x:v>0.955</x:v>
      </x:c>
      <x:c r="B56" s="64" t="n">
        <x:f>IF(A56&gt;=1,"",IF(ABS(A56-$B$6)&lt;0.000001,$D$4,$B$4*(1-A56)))</x:f>
        <x:v>45000000.00000004</x:v>
      </x:c>
      <x:c r="C56" s="64" t="n">
        <x:f>IF(A56&gt;=1,"",IF(ABS(A56-$B$6)&lt;0.000001,$D$5,$D$6/B56))</x:f>
        <x:v>52262.222222222175</x:v>
      </x:c>
      <x:c r="D56" s="75" t="n">
        <x:f>IF(A56&gt;=1,"",B56*C56)</x:f>
        <x:v>2351800000000</x:v>
      </x:c>
      <x:c r="E56" s="374" t="n">
        <x:f>IF(A56&gt;=1,"",C56/B56)</x:f>
        <x:v>0.0011613827160493807</x:v>
      </x:c>
      <x:c r="F56" s="374" t="n">
        <x:f>IF(ISNUMBER(E56),E56*$B$3/'币价'!$B$12,"")</x:f>
        <x:v>0.0011623544443648695</x:v>
      </x:c>
      <x:c r="G56" s="562" t="n">
        <x:f>IF(A56&gt;=1,"",E56*$B$4)</x:f>
        <x:v>1161382.7160493806</x:v>
      </x:c>
      <x:c r="H56" s="562" t="n">
        <x:f>IF(A56&gt;=1,"",G56*$B$3)</x:f>
        <x:v>1161382.7160493806</x:v>
      </x:c>
      <x:c r="I56" s="562" t="n">
        <x:f>IF(A56&gt;=1,"",C56-C55)</x:f>
        <x:v>5226.222222222219</x:v>
      </x:c>
      <x:c r="J56" s="562" t="n">
        <x:f>IF(A56&gt;=1,"",I56*(1+$B$8))</x:f>
        <x:v>5239.287777777774</x:v>
      </x:c>
      <x:c r="K56" s="567" t="n">
        <x:f>IF(A56&gt;=1,"不可达",$B$5+(C56-$D$5)*(1+$B$8))</x:f>
        <x:v>52724.492397777576</x:v>
      </x:c>
    </x:row>
    <x:row r="57">
      <x:c r="A57" s="58" t="n">
        <x:v>0.96</x:v>
      </x:c>
      <x:c r="B57" s="64" t="n">
        <x:f>IF(A57&gt;=1,"",IF(ABS(A57-$B$6)&lt;0.000001,$D$4,$B$4*(1-A57)))</x:f>
        <x:v>40000000.00000004</x:v>
      </x:c>
      <x:c r="C57" s="64" t="n">
        <x:f>IF(A57&gt;=1,"",IF(ABS(A57-$B$6)&lt;0.000001,$D$5,$D$6/B57))</x:f>
        <x:v>58794.99999999994</x:v>
      </x:c>
      <x:c r="D57" s="75" t="n">
        <x:f>IF(A57&gt;=1,"",B57*C57)</x:f>
        <x:v>2351800000000</x:v>
      </x:c>
      <x:c r="E57" s="374" t="n">
        <x:f>IF(A57&gt;=1,"",C57/B57)</x:f>
        <x:v>0.0014698749999999972</x:v>
      </x:c>
      <x:c r="F57" s="374" t="n">
        <x:f>IF(ISNUMBER(E57),E57*$B$3/'币价'!$B$12,"")</x:f>
        <x:v>0.001471104843649288</x:v>
      </x:c>
      <x:c r="G57" s="562" t="n">
        <x:f>IF(A57&gt;=1,"",E57*$B$4)</x:f>
        <x:v>1469874.9999999972</x:v>
      </x:c>
      <x:c r="H57" s="562" t="n">
        <x:f>IF(A57&gt;=1,"",G57*$B$3)</x:f>
        <x:v>1469874.9999999972</x:v>
      </x:c>
      <x:c r="I57" s="562" t="n">
        <x:f>IF(A57&gt;=1,"",C57-C56)</x:f>
        <x:v>6532.7777777777665</x:v>
      </x:c>
      <x:c r="J57" s="562" t="n">
        <x:f>IF(A57&gt;=1,"",I57*(1+$B$8))</x:f>
        <x:v>6549.109722222211</x:v>
      </x:c>
      <x:c r="K57" s="567" t="n">
        <x:f>IF(A57&gt;=1,"不可达",$B$5+(C57-$D$5)*(1+$B$8))</x:f>
        <x:v>59273.602119999785</x:v>
      </x:c>
    </x:row>
    <x:row r="58">
      <x:c r="A58" s="58" t="n">
        <x:v>0.965</x:v>
      </x:c>
      <x:c r="B58" s="64" t="n">
        <x:f>IF(A58&gt;=1,"",IF(ABS(A58-$B$6)&lt;0.000001,$D$4,$B$4*(1-A58)))</x:f>
        <x:v>35000000.00000003</x:v>
      </x:c>
      <x:c r="C58" s="64" t="n">
        <x:f>IF(A58&gt;=1,"",IF(ABS(A58-$B$6)&lt;0.000001,$D$5,$D$6/B58))</x:f>
        <x:v>67194.28571428565</x:v>
      </x:c>
      <x:c r="D58" s="75" t="n">
        <x:f>IF(A58&gt;=1,"",B58*C58)</x:f>
        <x:v>2351800000000</x:v>
      </x:c>
      <x:c r="E58" s="374" t="n">
        <x:f>IF(A58&gt;=1,"",C58/B58)</x:f>
        <x:v>0.0019198367346938742</x:v>
      </x:c>
      <x:c r="F58" s="374" t="n">
        <x:f>IF(ISNUMBER(E58),E58*$B$3/'币价'!$B$12,"")</x:f>
        <x:v>0.0019214430610929479</x:v>
      </x:c>
      <x:c r="G58" s="562" t="n">
        <x:f>IF(A58&gt;=1,"",E58*$B$4)</x:f>
        <x:v>1919836.7346938741</x:v>
      </x:c>
      <x:c r="H58" s="562" t="n">
        <x:f>IF(A58&gt;=1,"",G58*$B$3)</x:f>
        <x:v>1919836.7346938741</x:v>
      </x:c>
      <x:c r="I58" s="562" t="n">
        <x:f>IF(A58&gt;=1,"",C58-C57)</x:f>
        <x:v>8399.28571428571</x:v>
      </x:c>
      <x:c r="J58" s="562" t="n">
        <x:f>IF(A58&gt;=1,"",I58*(1+$B$8))</x:f>
        <x:v>8420.283928571424</x:v>
      </x:c>
      <x:c r="K58" s="567" t="n">
        <x:f>IF(A58&gt;=1,"不可达",$B$5+(C58-$D$5)*(1+$B$8))</x:f>
        <x:v>67693.8860485712</x:v>
      </x:c>
    </x:row>
    <x:row r="59">
      <x:c r="A59" s="58" t="n">
        <x:v>0.97</x:v>
      </x:c>
      <x:c r="B59" s="64" t="n">
        <x:f>IF(A59&gt;=1,"",IF(ABS(A59-$B$6)&lt;0.000001,$D$4,$B$4*(1-A59)))</x:f>
        <x:v>30000000.000000026</x:v>
      </x:c>
      <x:c r="C59" s="64" t="n">
        <x:f>IF(A59&gt;=1,"",IF(ABS(A59-$B$6)&lt;0.000001,$D$5,$D$6/B59))</x:f>
        <x:v>78393.33333333327</x:v>
      </x:c>
      <x:c r="D59" s="75" t="n">
        <x:f>IF(A59&gt;=1,"",B59*C59)</x:f>
        <x:v>2351800000000</x:v>
      </x:c>
      <x:c r="E59" s="374" t="n">
        <x:f>IF(A59&gt;=1,"",C59/B59)</x:f>
        <x:v>0.002613111111111107</x:v>
      </x:c>
      <x:c r="F59" s="374" t="n">
        <x:f>IF(ISNUMBER(E59),E59*$B$3/'币价'!$B$12,"")</x:f>
        <x:v>0.002615297499820957</x:v>
      </x:c>
      <x:c r="G59" s="562" t="n">
        <x:f>IF(A59&gt;=1,"",E59*$B$4)</x:f>
        <x:v>2613111.111111107</x:v>
      </x:c>
      <x:c r="H59" s="562" t="n">
        <x:f>IF(A59&gt;=1,"",G59*$B$3)</x:f>
        <x:v>2613111.111111107</x:v>
      </x:c>
      <x:c r="I59" s="562" t="n">
        <x:f>IF(A59&gt;=1,"",C59-C58)</x:f>
        <x:v>11199.047619047618</x:v>
      </x:c>
      <x:c r="J59" s="562" t="n">
        <x:f>IF(A59&gt;=1,"",I59*(1+$B$8))</x:f>
        <x:v>11227.045238095237</x:v>
      </x:c>
      <x:c r="K59" s="567" t="n">
        <x:f>IF(A59&gt;=1,"不可达",$B$5+(C59-$D$5)*(1+$B$8))</x:f>
        <x:v>78920.93128666645</x:v>
      </x:c>
    </x:row>
    <x:row r="60">
      <x:c r="A60" s="58" t="n">
        <x:v>0.975</x:v>
      </x:c>
      <x:c r="B60" s="64" t="n">
        <x:f>IF(A60&gt;=1,"",IF(ABS(A60-$B$6)&lt;0.000001,$D$4,$B$4*(1-A60)))</x:f>
        <x:v>25000000.000000022</x:v>
      </x:c>
      <x:c r="C60" s="64" t="n">
        <x:f>IF(A60&gt;=1,"",IF(ABS(A60-$B$6)&lt;0.000001,$D$5,$D$6/B60))</x:f>
        <x:v>94071.99999999991</x:v>
      </x:c>
      <x:c r="D60" s="75" t="n">
        <x:f>IF(A60&gt;=1,"",B60*C60)</x:f>
        <x:v>2351800000000</x:v>
      </x:c>
      <x:c r="E60" s="374" t="n">
        <x:f>IF(A60&gt;=1,"",C60/B60)</x:f>
        <x:v>0.003762879999999993</x:v>
      </x:c>
      <x:c r="F60" s="374" t="n">
        <x:f>IF(ISNUMBER(E60),E60*$B$3/'币价'!$B$12,"")</x:f>
        <x:v>0.0037660283997421776</x:v>
      </x:c>
      <x:c r="G60" s="562" t="n">
        <x:f>IF(A60&gt;=1,"",E60*$B$4)</x:f>
        <x:v>3762879.999999993</x:v>
      </x:c>
      <x:c r="H60" s="562" t="n">
        <x:f>IF(A60&gt;=1,"",G60*$B$3)</x:f>
        <x:v>3762879.999999993</x:v>
      </x:c>
      <x:c r="I60" s="562" t="n">
        <x:f>IF(A60&gt;=1,"",C60-C59)</x:f>
        <x:v>15678.666666666642</x:v>
      </x:c>
      <x:c r="J60" s="562" t="n">
        <x:f>IF(A60&gt;=1,"",I60*(1+$B$8))</x:f>
        <x:v>15717.863333333307</x:v>
      </x:c>
      <x:c r="K60" s="567" t="n">
        <x:f>IF(A60&gt;=1,"不可达",$B$5+(C60-$D$5)*(1+$B$8))</x:f>
        <x:v>94638.79461999977</x:v>
      </x:c>
    </x:row>
    <x:row r="61">
      <x:c r="A61" s="58" t="n">
        <x:v>0.98</x:v>
      </x:c>
      <x:c r="B61" s="64" t="n">
        <x:f>IF(A61&gt;=1,"",IF(ABS(A61-$B$6)&lt;0.000001,$D$4,$B$4*(1-A61)))</x:f>
        <x:v>20000000.00000002</x:v>
      </x:c>
      <x:c r="C61" s="64" t="n">
        <x:f>IF(A61&gt;=1,"",IF(ABS(A61-$B$6)&lt;0.000001,$D$5,$D$6/B61))</x:f>
        <x:v>117589.99999999988</x:v>
      </x:c>
      <x:c r="D61" s="75" t="n">
        <x:f>IF(A61&gt;=1,"",B61*C61)</x:f>
        <x:v>2351800000000</x:v>
      </x:c>
      <x:c r="E61" s="374" t="n">
        <x:f>IF(A61&gt;=1,"",C61/B61)</x:f>
        <x:v>0.005879499999999989</x:v>
      </x:c>
      <x:c r="F61" s="374" t="n">
        <x:f>IF(ISNUMBER(E61),E61*$B$3/'币价'!$B$12,"")</x:f>
        <x:v>0.005884419374597152</x:v>
      </x:c>
      <x:c r="G61" s="562" t="n">
        <x:f>IF(A61&gt;=1,"",E61*$B$4)</x:f>
        <x:v>5879499.999999989</x:v>
      </x:c>
      <x:c r="H61" s="562" t="n">
        <x:f>IF(A61&gt;=1,"",G61*$B$3)</x:f>
        <x:v>5879499.999999989</x:v>
      </x:c>
      <x:c r="I61" s="562" t="n">
        <x:f>IF(A61&gt;=1,"",C61-C60)</x:f>
        <x:v>23517.99999999997</x:v>
      </x:c>
      <x:c r="J61" s="562" t="n">
        <x:f>IF(A61&gt;=1,"",I61*(1+$B$8))</x:f>
        <x:v>23576.79499999997</x:v>
      </x:c>
      <x:c r="K61" s="567" t="n">
        <x:f>IF(A61&gt;=1,"不可达",$B$5+(C61-$D$5)*(1+$B$8))</x:f>
        <x:v>118215.58961999972</x:v>
      </x:c>
    </x:row>
    <x:row r="62">
      <x:c r="A62" s="58" t="n">
        <x:v>0.985</x:v>
      </x:c>
      <x:c r="B62" s="64" t="n">
        <x:f>IF(A62&gt;=1,"",IF(ABS(A62-$B$6)&lt;0.000001,$D$4,$B$4*(1-A62)))</x:f>
        <x:v>15000000.000000013</x:v>
      </x:c>
      <x:c r="C62" s="64" t="n">
        <x:f>IF(A62&gt;=1,"",IF(ABS(A62-$B$6)&lt;0.000001,$D$5,$D$6/B62))</x:f>
        <x:v>156786.66666666654</x:v>
      </x:c>
      <x:c r="D62" s="75" t="n">
        <x:f>IF(A62&gt;=1,"",B62*C62)</x:f>
        <x:v>2351800000000</x:v>
      </x:c>
      <x:c r="E62" s="374" t="n">
        <x:f>IF(A62&gt;=1,"",C62/B62)</x:f>
        <x:v>0.010452444444444427</x:v>
      </x:c>
      <x:c r="F62" s="374" t="n">
        <x:f>IF(ISNUMBER(E62),E62*$B$3/'币价'!$B$12,"")</x:f>
        <x:v>0.010461189999283829</x:v>
      </x:c>
      <x:c r="G62" s="562" t="n">
        <x:f>IF(A62&gt;=1,"",E62*$B$4)</x:f>
        <x:v>10452444.444444427</x:v>
      </x:c>
      <x:c r="H62" s="562" t="n">
        <x:f>IF(A62&gt;=1,"",G62*$B$3)</x:f>
        <x:v>10452444.444444427</x:v>
      </x:c>
      <x:c r="I62" s="562" t="n">
        <x:f>IF(A62&gt;=1,"",C62-C61)</x:f>
        <x:v>39196.66666666666</x:v>
      </x:c>
      <x:c r="J62" s="562" t="n">
        <x:f>IF(A62&gt;=1,"",I62*(1+$B$8))</x:f>
        <x:v>39294.65833333332</x:v>
      </x:c>
      <x:c r="K62" s="567" t="n">
        <x:f>IF(A62&gt;=1,"不可达",$B$5+(C62-$D$5)*(1+$B$8))</x:f>
        <x:v>157510.24795333305</x:v>
      </x:c>
    </x:row>
    <x:row r="63">
      <x:c r="A63" s="58" t="n">
        <x:v>0.99</x:v>
      </x:c>
      <x:c r="B63" s="64" t="n">
        <x:f>IF(A63&gt;=1,"",IF(ABS(A63-$B$6)&lt;0.000001,$D$4,$B$4*(1-A63)))</x:f>
        <x:v>10000000.00000001</x:v>
      </x:c>
      <x:c r="C63" s="64" t="n">
        <x:f>IF(A63&gt;=1,"",IF(ABS(A63-$B$6)&lt;0.000001,$D$5,$D$6/B63))</x:f>
        <x:v>235179.99999999977</x:v>
      </x:c>
      <x:c r="D63" s="75" t="n">
        <x:f>IF(A63&gt;=1,"",B63*C63)</x:f>
        <x:v>2351800000000</x:v>
      </x:c>
      <x:c r="E63" s="374" t="n">
        <x:f>IF(A63&gt;=1,"",C63/B63)</x:f>
        <x:v>0.023517999999999956</x:v>
      </x:c>
      <x:c r="F63" s="374" t="n">
        <x:f>IF(ISNUMBER(E63),E63*$B$3/'币价'!$B$12,"")</x:f>
        <x:v>0.023537677498388608</x:v>
      </x:c>
      <x:c r="G63" s="562" t="n">
        <x:f>IF(A63&gt;=1,"",E63*$B$4)</x:f>
        <x:v>23517999.999999955</x:v>
      </x:c>
      <x:c r="H63" s="562" t="n">
        <x:f>IF(A63&gt;=1,"",G63*$B$3)</x:f>
        <x:v>23517999.999999955</x:v>
      </x:c>
      <x:c r="I63" s="562" t="n">
        <x:f>IF(A63&gt;=1,"",C63-C62)</x:f>
        <x:v>78393.33333333323</x:v>
      </x:c>
      <x:c r="J63" s="562" t="n">
        <x:f>IF(A63&gt;=1,"",I63*(1+$B$8))</x:f>
        <x:v>78589.31666666655</x:v>
      </x:c>
      <x:c r="K63" s="567" t="n">
        <x:f>IF(A63&gt;=1,"不可达",$B$5+(C63-$D$5)*(1+$B$8))</x:f>
        <x:v>236099.5646199996</x:v>
      </x:c>
    </x:row>
    <x:row r="64">
      <x:c r="A64" s="58" t="n">
        <x:v>0.995</x:v>
      </x:c>
      <x:c r="B64" s="64" t="n">
        <x:f>IF(A64&gt;=1,"",IF(ABS(A64-$B$6)&lt;0.000001,$D$4,$B$4*(1-A64)))</x:f>
        <x:v>5000000.000000005</x:v>
      </x:c>
      <x:c r="C64" s="64" t="n">
        <x:f>IF(A64&gt;=1,"",IF(ABS(A64-$B$6)&lt;0.000001,$D$5,$D$6/B64))</x:f>
        <x:v>470359.99999999953</x:v>
      </x:c>
      <x:c r="D64" s="75" t="n">
        <x:f>IF(A64&gt;=1,"",B64*C64)</x:f>
        <x:v>2351800000000</x:v>
      </x:c>
      <x:c r="E64" s="374" t="n">
        <x:f>IF(A64&gt;=1,"",C64/B64)</x:f>
        <x:v>0.09407199999999982</x:v>
      </x:c>
      <x:c r="F64" s="374" t="n">
        <x:f>IF(ISNUMBER(E64),E64*$B$3/'币价'!$B$12,"")</x:f>
        <x:v>0.09415070999355443</x:v>
      </x:c>
      <x:c r="G64" s="562" t="n">
        <x:f>IF(A64&gt;=1,"",E64*$B$4)</x:f>
        <x:v>94071999.99999982</x:v>
      </x:c>
      <x:c r="H64" s="562" t="n">
        <x:f>IF(A64&gt;=1,"",G64*$B$3)</x:f>
        <x:v>94071999.99999982</x:v>
      </x:c>
      <x:c r="I64" s="562" t="n">
        <x:f>IF(A64&gt;=1,"",C64-C63)</x:f>
        <x:v>235179.99999999977</x:v>
      </x:c>
      <x:c r="J64" s="562" t="n">
        <x:f>IF(A64&gt;=1,"",I64*(1+$B$8))</x:f>
        <x:v>235767.94999999975</x:v>
      </x:c>
      <x:c r="K64" s="567" t="n">
        <x:f>IF(A64&gt;=1,"不可达",$B$5+(C64-$D$5)*(1+$B$8))</x:f>
        <x:v>471867.5146199994</x:v>
      </x:c>
    </x:row>
    <x:row r="65">
      <x:c r="A65" s="58" t="n">
        <x:v>1</x:v>
      </x:c>
      <x:c r="B65" s="64" t="str">
        <x:f>IF(A65&gt;=1,"",IF(ABS(A65-$B$6)&lt;0.000001,$D$4,$B$4*(1-A65)))</x:f>
      </x:c>
      <x:c r="C65" s="64" t="str">
        <x:f>IF(A65&gt;=1,"",IF(ABS(A65-$B$6)&lt;0.000001,$D$5,$D$6/B65))</x:f>
      </x:c>
      <x:c r="D65" s="75" t="str">
        <x:f>IF(A65&gt;=1,"",B65*C65)</x:f>
      </x:c>
      <x:c r="E65" s="374" t="str">
        <x:f>IF(A65&gt;=1,"",C65/B65)</x:f>
      </x:c>
      <x:c r="F65" s="374" t="str">
        <x:f>IF(ISNUMBER(E65),E65*$B$3/'币价'!$B$12,"")</x:f>
      </x:c>
      <x:c r="G65" s="562" t="str">
        <x:f>IF(A65&gt;=1,"",E65*$B$4)</x:f>
      </x:c>
      <x:c r="H65" s="562" t="str">
        <x:f>IF(A65&gt;=1,"",G65*$B$3)</x:f>
      </x:c>
      <x:c r="I65" s="562" t="str">
        <x:f>IF(A65&gt;=1,"",C65-C64)</x:f>
      </x:c>
      <x:c r="J65" s="562" t="str">
        <x:f>IF(A65&gt;=1,"",I65*(1+$B$8))</x:f>
      </x:c>
      <x:c r="K65" s="567" t="str">
        <x:f>IF(A65&gt;=1,"不可达",$B$5+(C65-$D$5)*(1+$B$8))</x:f>
        <x:v>不可达</x:v>
      </x:c>
    </x:row>
    <x:row r="66">
      <x:c r="A66" s="59"/>
      <x:c r="B66" s="65"/>
      <x:c r="C66" s="65"/>
      <x:c r="D66" s="76"/>
      <x:c r="E66" s="82"/>
      <x:c r="F66" s="88"/>
      <x:c r="G66" s="65"/>
      <x:c r="H66" s="65"/>
      <x:c r="I66" s="65"/>
      <x:c r="J66" s="65"/>
      <x:c r="K66" s="65"/>
    </x:row>
    <x:row r="67">
      <x:c r="A67" s="59"/>
      <x:c r="B67" s="65"/>
      <x:c r="C67" s="17"/>
      <x:c r="D67" s="76"/>
      <x:c r="E67" s="82"/>
      <x:c r="F67" s="88"/>
      <x:c r="G67" s="88"/>
    </x:row>
    <x:row r="68">
      <x:c r="A68" s="59"/>
      <x:c r="B68" s="65"/>
      <x:c r="C68" s="17"/>
      <x:c r="D68" s="76"/>
      <x:c r="E68" s="82"/>
      <x:c r="F68" s="88"/>
      <x:c r="G68" s="88"/>
    </x:row>
    <x:row r="69">
      <x:c r="A69" s="59"/>
      <x:c r="B69" s="65"/>
      <x:c r="C69" s="17"/>
      <x:c r="D69" s="76"/>
      <x:c r="E69" s="82"/>
      <x:c r="F69" s="88"/>
      <x:c r="G69" s="88"/>
    </x:row>
    <x:row r="70">
      <x:c r="A70" s="59"/>
      <x:c r="B70" s="65"/>
      <x:c r="C70" s="17"/>
      <x:c r="D70" s="76"/>
      <x:c r="E70" s="82"/>
      <x:c r="F70" s="88"/>
      <x:c r="G70" s="88"/>
    </x:row>
    <x:row r="71" ht="28" customHeight="1">
      <x:c r="A71" s="61" t="str">
        <x:v>外盘回落参考 · 从 80% 控筹回落至 0%（每 10%）</x:v>
      </x:c>
      <x:c r="B71" s="67"/>
      <x:c r="C71" s="72"/>
      <x:c r="D71" s="78"/>
      <x:c r="E71" s="84"/>
      <x:c r="F71" s="90"/>
      <x:c r="G71" s="90"/>
      <x:c r="H71" s="26"/>
      <x:c r="I71" s="26"/>
      <x:c r="J71" s="26"/>
    </x:row>
    <x:row r="72" ht="28" customHeight="1">
      <x:c r="A72" s="60" t="str">
        <x:v>控筹率</x:v>
      </x:c>
      <x:c r="B72" s="66" t="str">
        <x:v>pooled token</x:v>
      </x:c>
      <x:c r="C72" s="71" t="str">
        <x:v>pooled USD1</x:v>
      </x:c>
      <x:c r="D72" s="77" t="str">
        <x:v>k</x:v>
      </x:c>
      <x:c r="E72" s="391" t="str">
        <x:v>价格 / USD1</x:v>
      </x:c>
      <x:c r="F72" s="391" t="str">
        <x:v>价格 / USDT</x:v>
      </x:c>
      <x:c r="G72" s="393" t="str">
        <x:v>市值 / USD1</x:v>
      </x:c>
      <x:c r="H72" s="393" t="str">
        <x:v>市值 / USD</x:v>
      </x:c>
      <x:c r="I72" s="331" t="str">
        <x:v>较 80% 回撤</x:v>
      </x:c>
      <x:c r="J72"/>
      <x:c r="K72"/>
    </x:row>
    <x:row r="73">
      <x:c r="A73" s="58" t="n">
        <x:v>0.8</x:v>
      </x:c>
      <x:c r="B73" s="64" t="n">
        <x:f>IF(ABS(A73-$B$6)&lt;0.000001,$D$4,$B$4*(1-A73))</x:f>
        <x:v>200000000</x:v>
      </x:c>
      <x:c r="C73" s="70" t="n">
        <x:f>IF(ABS(A73-$B$6)&lt;0.000001,$D$5,$D$6/B73)</x:f>
        <x:v>11759</x:v>
      </x:c>
      <x:c r="D73" s="75" t="n">
        <x:f>B73*C73</x:f>
        <x:v>2351800000000</x:v>
      </x:c>
      <x:c r="E73" s="374" t="n">
        <x:f>C73/B73</x:f>
        <x:v>0.000058795</x:v>
      </x:c>
      <x:c r="F73" s="374" t="n">
        <x:f>IF(ISNUMBER(E73),E73*$B$3/'币价'!$B$12,"")</x:f>
        <x:v>0.00005884419374597163</x:v>
      </x:c>
      <x:c r="G73" s="379" t="n">
        <x:f>E73*$B$4</x:f>
        <x:v>58795</x:v>
      </x:c>
      <x:c r="H73" s="379" t="n">
        <x:f>G73*$B$3</x:f>
        <x:v>58795</x:v>
      </x:c>
      <x:c r="I73" s="408" t="n">
        <x:f>1-G73/$G$73</x:f>
        <x:v>0</x:v>
      </x:c>
      <x:c r="J73"/>
      <x:c r="K73"/>
    </x:row>
    <x:row r="74">
      <x:c r="A74" s="58" t="n">
        <x:v>0.7</x:v>
      </x:c>
      <x:c r="B74" s="64" t="n">
        <x:f>IF(ABS(A74-$B$6)&lt;0.000001,$D$4,$B$4*(1-A74))</x:f>
        <x:v>300000000.00000006</x:v>
      </x:c>
      <x:c r="C74" s="64" t="n">
        <x:f>IF(ABS(A74-$B$6)&lt;0.000001,$D$5,$D$6/B74)</x:f>
        <x:v>7839.333333333332</x:v>
      </x:c>
      <x:c r="D74" s="75" t="n">
        <x:f>B74*C74</x:f>
        <x:v>2351800000000</x:v>
      </x:c>
      <x:c r="E74" s="374" t="n">
        <x:f>C74/B74</x:f>
        <x:v>0.000026131111111111103</x:v>
      </x:c>
      <x:c r="F74" s="374" t="n">
        <x:f>IF(ISNUMBER(E74),E74*$B$3/'币价'!$B$12,"")</x:f>
        <x:v>0.000026152974998209606</x:v>
      </x:c>
      <x:c r="G74" s="562" t="n">
        <x:f>E74*$B$4</x:f>
        <x:v>26131.111111111102</x:v>
      </x:c>
      <x:c r="H74" s="562" t="n">
        <x:f>G74*$B$3</x:f>
        <x:v>26131.111111111102</x:v>
      </x:c>
      <x:c r="I74" s="562" t="n">
        <x:f>1-G74/$G$73</x:f>
        <x:v>0.5555555555555557</x:v>
      </x:c>
      <x:c r="J74" s="65"/>
      <x:c r="K74" s="65"/>
    </x:row>
    <x:row r="75">
      <x:c r="A75" s="58" t="n">
        <x:v>0.6</x:v>
      </x:c>
      <x:c r="B75" s="64" t="n">
        <x:f>IF(ABS(A75-$B$6)&lt;0.000001,$D$4,$B$4*(1-A75))</x:f>
        <x:v>400000000</x:v>
      </x:c>
      <x:c r="C75" s="64" t="n">
        <x:f>IF(ABS(A75-$B$6)&lt;0.000001,$D$5,$D$6/B75)</x:f>
        <x:v>5879.5</x:v>
      </x:c>
      <x:c r="D75" s="75" t="n">
        <x:f>B75*C75</x:f>
        <x:v>2351800000000</x:v>
      </x:c>
      <x:c r="E75" s="374" t="n">
        <x:f>C75/B75</x:f>
        <x:v>0.00001469875</x:v>
      </x:c>
      <x:c r="F75" s="374" t="n">
        <x:f>IF(ISNUMBER(E75),E75*$B$3/'币价'!$B$12,"")</x:f>
        <x:v>0.000014711048436492908</x:v>
      </x:c>
      <x:c r="G75" s="562" t="n">
        <x:f>E75*$B$4</x:f>
        <x:v>14698.75</x:v>
      </x:c>
      <x:c r="H75" s="562" t="n">
        <x:f>G75*$B$3</x:f>
        <x:v>14698.75</x:v>
      </x:c>
      <x:c r="I75" s="562" t="n">
        <x:f>1-G75/$G$73</x:f>
        <x:v>0.75</x:v>
      </x:c>
      <x:c r="J75" s="65"/>
      <x:c r="K75" s="65"/>
    </x:row>
    <x:row r="76">
      <x:c r="A76" s="58" t="n">
        <x:v>0.5</x:v>
      </x:c>
      <x:c r="B76" s="64" t="n">
        <x:f>IF(ABS(A76-$B$6)&lt;0.000001,$D$4,$B$4*(1-A76))</x:f>
        <x:v>500000000</x:v>
      </x:c>
      <x:c r="C76" s="64" t="n">
        <x:f>IF(ABS(A76-$B$6)&lt;0.000001,$D$5,$D$6/B76)</x:f>
        <x:v>4703.6</x:v>
      </x:c>
      <x:c r="D76" s="75" t="n">
        <x:f>B76*C76</x:f>
        <x:v>2351800000000</x:v>
      </x:c>
      <x:c r="E76" s="374" t="n">
        <x:f>C76/B76</x:f>
        <x:v>0.0000094072</x:v>
      </x:c>
      <x:c r="F76" s="374" t="n">
        <x:f>IF(ISNUMBER(E76),E76*$B$3/'币价'!$B$12,"")</x:f>
        <x:v>0.000009415070999355462</x:v>
      </x:c>
      <x:c r="G76" s="562" t="n">
        <x:f>E76*$B$4</x:f>
        <x:v>9407.2</x:v>
      </x:c>
      <x:c r="H76" s="562" t="n">
        <x:f>G76*$B$3</x:f>
        <x:v>9407.2</x:v>
      </x:c>
      <x:c r="I76" s="562" t="n">
        <x:f>1-G76/$G$73</x:f>
        <x:v>0.84</x:v>
      </x:c>
      <x:c r="J76" s="65"/>
      <x:c r="K76" s="65"/>
    </x:row>
    <x:row r="77">
      <x:c r="A77" s="58" t="n">
        <x:v>0.4</x:v>
      </x:c>
      <x:c r="B77" s="64" t="n">
        <x:f>IF(ABS(A77-$B$6)&lt;0.000001,$D$4,$B$4*(1-A77))</x:f>
        <x:v>600000000</x:v>
      </x:c>
      <x:c r="C77" s="64" t="n">
        <x:f>IF(ABS(A77-$B$6)&lt;0.000001,$D$5,$D$6/B77)</x:f>
        <x:v>3919.6666666666665</x:v>
      </x:c>
      <x:c r="D77" s="75" t="n">
        <x:f>B77*C77</x:f>
        <x:v>2351800000000</x:v>
      </x:c>
      <x:c r="E77" s="374" t="n">
        <x:f>C77/B77</x:f>
        <x:v>0.0000065327777777777775</x:v>
      </x:c>
      <x:c r="F77" s="374" t="n">
        <x:f>IF(ISNUMBER(E77),E77*$B$3/'币价'!$B$12,"")</x:f>
        <x:v>0.000006538243749552403</x:v>
      </x:c>
      <x:c r="G77" s="562" t="n">
        <x:f>E77*$B$4</x:f>
        <x:v>6532.777777777777</x:v>
      </x:c>
      <x:c r="H77" s="562" t="n">
        <x:f>G77*$B$3</x:f>
        <x:v>6532.777777777777</x:v>
      </x:c>
      <x:c r="I77" s="562" t="n">
        <x:f>1-G77/$G$73</x:f>
        <x:v>0.8888888888888888</x:v>
      </x:c>
      <x:c r="J77" s="65"/>
      <x:c r="K77" s="65"/>
    </x:row>
    <x:row r="78">
      <x:c r="A78" s="58" t="n">
        <x:v>0.3</x:v>
      </x:c>
      <x:c r="B78" s="64" t="n">
        <x:f>IF(ABS(A78-$B$6)&lt;0.000001,$D$4,$B$4*(1-A78))</x:f>
        <x:v>700000000</x:v>
      </x:c>
      <x:c r="C78" s="64" t="n">
        <x:f>IF(ABS(A78-$B$6)&lt;0.000001,$D$5,$D$6/B78)</x:f>
        <x:v>3359.714285714286</x:v>
      </x:c>
      <x:c r="D78" s="75" t="n">
        <x:f>B78*C78</x:f>
        <x:v>2351800000000</x:v>
      </x:c>
      <x:c r="E78" s="374" t="n">
        <x:f>C78/B78</x:f>
        <x:v>0.000004799591836734694</x:v>
      </x:c>
      <x:c r="F78" s="374" t="n">
        <x:f>IF(ISNUMBER(E78),E78*$B$3/'币价'!$B$12,"")</x:f>
        <x:v>0.000004803607652732378</x:v>
      </x:c>
      <x:c r="G78" s="562" t="n">
        <x:f>E78*$B$4</x:f>
        <x:v>4799.591836734694</x:v>
      </x:c>
      <x:c r="H78" s="562" t="n">
        <x:f>G78*$B$3</x:f>
        <x:v>4799.591836734694</x:v>
      </x:c>
      <x:c r="I78" s="562" t="n">
        <x:f>1-G78/$G$73</x:f>
        <x:v>0.9183673469387755</x:v>
      </x:c>
      <x:c r="J78" s="65"/>
      <x:c r="K78" s="65"/>
    </x:row>
    <x:row r="79">
      <x:c r="A79" s="58" t="n">
        <x:v>0.2</x:v>
      </x:c>
      <x:c r="B79" s="64" t="n">
        <x:f>IF(ABS(A79-$B$6)&lt;0.000001,$D$4,$B$4*(1-A79))</x:f>
        <x:v>800000000</x:v>
      </x:c>
      <x:c r="C79" s="64" t="n">
        <x:f>IF(ABS(A79-$B$6)&lt;0.000001,$D$5,$D$6/B79)</x:f>
        <x:v>2939.75</x:v>
      </x:c>
      <x:c r="D79" s="75" t="n">
        <x:f>B79*C79</x:f>
        <x:v>2351800000000</x:v>
      </x:c>
      <x:c r="E79" s="374" t="n">
        <x:f>C79/B79</x:f>
        <x:v>0.0000036746875</x:v>
      </x:c>
      <x:c r="F79" s="374" t="n">
        <x:f>IF(ISNUMBER(E79),E79*$B$3/'币价'!$B$12,"")</x:f>
        <x:v>0.000003677762109123227</x:v>
      </x:c>
      <x:c r="G79" s="562" t="n">
        <x:f>E79*$B$4</x:f>
        <x:v>3674.6875</x:v>
      </x:c>
      <x:c r="H79" s="562" t="n">
        <x:f>G79*$B$3</x:f>
        <x:v>3674.6875</x:v>
      </x:c>
      <x:c r="I79" s="562" t="n">
        <x:f>1-G79/$G$73</x:f>
        <x:v>0.9375</x:v>
      </x:c>
      <x:c r="J79" s="65"/>
      <x:c r="K79" s="65"/>
    </x:row>
    <x:row r="80">
      <x:c r="A80" s="58" t="n">
        <x:v>0.1</x:v>
      </x:c>
      <x:c r="B80" s="64" t="n">
        <x:f>IF(ABS(A80-$B$6)&lt;0.000001,$D$4,$B$4*(1-A80))</x:f>
        <x:v>900000000</x:v>
      </x:c>
      <x:c r="C80" s="64" t="n">
        <x:f>IF(ABS(A80-$B$6)&lt;0.000001,$D$5,$D$6/B80)</x:f>
        <x:v>2613.1111111111113</x:v>
      </x:c>
      <x:c r="D80" s="75" t="n">
        <x:f>B80*C80</x:f>
        <x:v>2351800000000</x:v>
      </x:c>
      <x:c r="E80" s="374" t="n">
        <x:f>C80/B80</x:f>
        <x:v>0.000002903456790123457</x:v>
      </x:c>
      <x:c r="F80" s="374" t="n">
        <x:f>IF(ISNUMBER(E80),E80*$B$3/'币价'!$B$12,"")</x:f>
        <x:v>0.0000029058861109121797</x:v>
      </x:c>
      <x:c r="G80" s="562" t="n">
        <x:f>E80*$B$4</x:f>
        <x:v>2903.4567901234573</x:v>
      </x:c>
      <x:c r="H80" s="562" t="n">
        <x:f>G80*$B$3</x:f>
        <x:v>2903.4567901234573</x:v>
      </x:c>
      <x:c r="I80" s="562" t="n">
        <x:f>1-G80/$G$73</x:f>
        <x:v>0.9506172839506173</x:v>
      </x:c>
      <x:c r="J80" s="65"/>
      <x:c r="K80" s="65"/>
    </x:row>
    <x:row r="81">
      <x:c r="A81" s="62" t="n">
        <x:v>0</x:v>
      </x:c>
      <x:c r="B81" s="68" t="n">
        <x:f>IF(ABS(A81-$B$6)&lt;0.000001,$D$4,$B$4*(1-A81))</x:f>
        <x:v>1000000000</x:v>
      </x:c>
      <x:c r="C81" s="68" t="n">
        <x:f>IF(ABS(A81-$B$6)&lt;0.000001,$D$5,$D$6/B81)</x:f>
        <x:v>2351.8</x:v>
      </x:c>
      <x:c r="D81" s="79" t="n">
        <x:f>B81*C81</x:f>
        <x:v>2351800000000</x:v>
      </x:c>
      <x:c r="E81" s="412" t="n">
        <x:f>C81/B81</x:f>
        <x:v>0.0000023518</x:v>
      </x:c>
      <x:c r="F81" s="412" t="n">
        <x:f>IF(ISNUMBER(E81),E81*$B$3/'币价'!$B$12,"")</x:f>
        <x:v>0.0000023537677498388655</x:v>
      </x:c>
      <x:c r="G81" s="565" t="n">
        <x:f>E81*$B$4</x:f>
        <x:v>2351.8</x:v>
      </x:c>
      <x:c r="H81" s="565" t="n">
        <x:f>G81*$B$3</x:f>
        <x:v>2351.8</x:v>
      </x:c>
      <x:c r="I81" s="565" t="n">
        <x:f>1-G81/$G$73</x:f>
        <x:v>0.96</x:v>
      </x:c>
      <x:c r="J81" s="565" t="str">
        <x:v>沉没成本</x:v>
      </x:c>
      <x:c r="K81" s="565" t="n">
        <x:f>C81</x:f>
        <x:v>2351.8</x:v>
      </x:c>
    </x:row>
    <x:row r="82">
      <x:c r="B82" s="65" t="n">
        <x:f>IF(ABS(A82-$B$6)&lt;0.000001,$D$4,$B$4*(1-A82))</x:f>
        <x:v>1000000000</x:v>
      </x:c>
      <x:c r="C82" s="65"/>
      <x:c r="G82" s="65"/>
      <x:c r="H82" s="65"/>
      <x:c r="I82" s="65"/>
      <x:c r="J82" s="65"/>
      <x:c r="K82" s="65"/>
    </x:row>
  </x:sheetData>
  <x:mergeCells>
    <x:mergeCell ref="A1:J1"/>
    <x:mergeCell ref="A71:J7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0" hidden="0" customWidth="1"/>
    <x:col min="7" max="7" width="16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4" t="str">
        <x:v>Four.meme / BNB · 发射控筹模型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55" t="str">
        <x:v>Quote USD 价格</x:v>
      </x:c>
      <x:c r="B3" s="50" t="n">
        <x:f>'币价'!$B$4</x:f>
        <x:v>753.88</x:v>
      </x:c>
      <x:c r="C3" s="56" t="str">
        <x:v>内盘 k</x:v>
      </x:c>
      <x:c r="D3" s="51" t="n">
        <x:v>6620378206</x:v>
      </x:c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s="55" t="str">
        <x:v>total supply</x:v>
      </x:c>
      <x:c r="B4" s="51" t="n">
        <x:v>1000000000</x:v>
      </x:c>
      <x:c r="C4" s="56" t="str">
        <x:v>外盘初始 token</x:v>
      </x:c>
      <x:c r="D4" s="51" t="n">
        <x:v>200000000</x:v>
      </x:c>
      <x:c r="G4" t="str">
        <x:v>单地址 Gas / BNB</x:v>
      </x:c>
      <x:c r="H4" s="99" t="n">
        <x:v>0.01</x:v>
      </x:c>
      <x:c r="I4" t="str">
        <x:v>Holder 地址</x:v>
      </x:c>
      <x:c r="J4" s="100" t="n">
        <x:v>150</x:v>
      </x:c>
    </x:row>
    <x:row r="5">
      <x:c r="A5" s="55" t="str">
        <x:v>内盘毕业所需</x:v>
      </x:c>
      <x:c r="B5" s="51" t="n">
        <x:f>K21</x:f>
        <x:v>18.180001053394022</x:v>
      </x:c>
      <x:c r="C5" s="56" t="str">
        <x:v>外盘初始 Quote</x:v>
      </x:c>
      <x:c r="D5" s="51" t="n">
        <x:v>17.64</x:v>
      </x:c>
      <x:c r="G5" t="str">
        <x:v>资金预留 / BNB</x:v>
      </x:c>
      <x:c r="H5" s="553" t="n">
        <x:f>IF($B$3&gt;0,ROUNDUP('币价'!$B$15/($B$3/'币价'!$B$12),0),"")</x:f>
        <x:v>14</x:v>
      </x:c>
      <x:c r="I5" t="str">
        <x:v>默认目标控筹率</x:v>
      </x:c>
      <x:c r="J5" s="102" t="n">
        <x:v>0.94</x:v>
      </x:c>
    </x:row>
    <x:row r="6">
      <x:c r="A6" s="55" t="str">
        <x:v>毕业控筹率</x:v>
      </x:c>
      <x:c r="B6" s="52" t="n">
        <x:v>0.8</x:v>
      </x:c>
      <x:c r="C6" s="56" t="str">
        <x:v>外盘 k</x:v>
      </x:c>
      <x:c r="D6" s="51" t="n">
        <x:v>3528000000</x:v>
      </x:c>
      <x:c r="G6" t="str">
        <x:v>洗筹口径</x:v>
      </x:c>
      <x:c r="H6" s="95" t="str">
        <x:v>FDV × 外盘费率 × 2</x:v>
      </x:c>
      <x:c r="I6" t="str">
        <x:v>目标 +1% 理论资金</x:v>
      </x:c>
      <x:c r="J6" s="554" t="n">
        <x:f>INDEX($K$25:$K$65,ROUND(($J$5+1%-80%)/0.5%,0)+1)</x:f>
        <x:v>71.23230105339394</x:v>
      </x:c>
    </x:row>
    <x:row r="7">
      <x:c r="A7" s="55" t="str">
        <x:v>内盘交易手续费</x:v>
      </x:c>
      <x:c r="B7" s="52" t="n">
        <x:v>0.01</x:v>
      </x:c>
      <x:c r="C7"/>
      <x:c r="D7"/>
      <x:c r="G7" t="str">
        <x:v>内盘地址 / 套</x:v>
      </x:c>
      <x:c r="H7" s="100" t="n">
        <x:v>20</x:v>
      </x:c>
      <x:c r="I7" t="str">
        <x:v>额外内盘资金</x:v>
      </x:c>
      <x:c r="J7" s="554" t="n">
        <x:f>$B$5*($H$8-1)</x:f>
        <x:v>18.180001053394022</x:v>
      </x:c>
    </x:row>
    <x:row r="8">
      <x:c r="A8" s="55" t="str">
        <x:v>外盘交易手续费</x:v>
      </x:c>
      <x:c r="B8" s="52" t="n">
        <x:v>0.0025</x:v>
      </x:c>
      <x:c r="C8"/>
      <x:c r="D8"/>
      <x:c r="G8" t="str">
        <x:v>内盘套数</x:v>
      </x:c>
      <x:c r="H8" s="100" t="n">
        <x:v>2</x:v>
      </x:c>
      <x:c r="I8" t="str">
        <x:v>动态洗筹手续费</x:v>
      </x:c>
      <x:c r="J8" s="554" t="n">
        <x:f>INDEX($G$25:$G$65,ROUND(($J$5+1%-80%)/0.5%,0)+1)*$H$9*2</x:f>
        <x:v>7.055999999999987</x:v>
      </x:c>
    </x:row>
    <x:row r="9">
      <x:c r="A9" s="55" t="str">
        <x:v>内盘初始 token</x:v>
      </x:c>
      <x:c r="B9" s="51" t="n">
        <x:v>1073972562</x:v>
      </x:c>
      <x:c r="C9"/>
      <x:c r="D9"/>
      <x:c r="G9" t="str">
        <x:v>外盘费率</x:v>
      </x:c>
      <x:c r="H9" s="101" t="n">
        <x:f>$B$8</x:f>
        <x:v>0.0025</x:v>
      </x:c>
      <x:c r="I9" t="str">
        <x:v>建议 Quote 资金</x:v>
      </x:c>
      <x:c r="J9" s="554" t="n">
        <x:f>IF(AND(ISNUMBER($J$6),ISNUMBER($H$5)),SUM(J6:J8)+$H$5,"")</x:f>
        <x:v>110.46830210678795</x:v>
      </x:c>
    </x:row>
    <x:row r="10">
      <x:c r="A10" s="55" t="str">
        <x:v>内盘初始 Quote</x:v>
      </x:c>
      <x:c r="B10" s="51" t="n">
        <x:v>6.164383561643836</x:v>
      </x:c>
      <x:c r="C10"/>
      <x:c r="D10"/>
      <x:c r="G10" t="str">
        <x:v>滑点预留</x:v>
      </x:c>
      <x:c r="H10" s="102" t="n">
        <x:v>0</x:v>
      </x:c>
      <x:c r="I10" t="str">
        <x:v>Gas 储备 / BNB</x:v>
      </x:c>
      <x:c r="J10" s="554" t="n">
        <x:f>($H$7*$H$8+$J$3+$J$4)*$H$4</x:f>
        <x:v>2.2</x:v>
      </x:c>
    </x:row>
    <x:row r="11">
      <x:c r="J11" s="555"/>
    </x:row>
    <x:row r="12" ht="34" customHeight="1">
      <x:c r="A12" s="10" t="str">
        <x:v>控筹率</x:v>
      </x:c>
      <x:c r="B12" s="10" t="str">
        <x:v>pooled token</x:v>
      </x:c>
      <x:c r="C12" s="10" t="str">
        <x:v>pooled BNB</x:v>
      </x:c>
      <x:c r="D12" s="10" t="str">
        <x:v>k</x:v>
      </x:c>
      <x:c r="E12" s="331" t="str">
        <x:v>价格 / BNB</x:v>
      </x:c>
      <x:c r="F12" s="331" t="str">
        <x:v>价格 / USDT</x:v>
      </x:c>
      <x:c r="G12" s="331" t="str">
        <x:v>市值 / BNB</x:v>
      </x:c>
      <x:c r="H12" s="331" t="str">
        <x:v>市值 / USD</x:v>
      </x:c>
      <x:c r="I12" s="331" t="str">
        <x:v>所需 BNB</x:v>
      </x:c>
      <x:c r="J12" s="331" t="str">
        <x:v>加手续费</x:v>
      </x:c>
      <x:c r="K12" s="344" t="str">
        <x:v>理论累计所需</x:v>
      </x:c>
    </x:row>
    <x:row r="13">
      <x:c r="A13" s="57" t="n">
        <x:v>0</x:v>
      </x:c>
      <x:c r="B13" s="63" t="n">
        <x:f>$B$9-A13*$B$4</x:f>
        <x:v>1073972562</x:v>
      </x:c>
      <x:c r="C13" s="556" t="n">
        <x:f>$D$3/B13</x:f>
        <x:v>6.1643830021795285</x:v>
      </x:c>
      <x:c r="D13" s="74" t="n">
        <x:f>B13*C13</x:f>
        <x:v>6620378206</x:v>
      </x:c>
      <x:c r="E13" s="348" t="n">
        <x:f>C13/B13</x:f>
        <x:v>5.739795615169104e-9</x:v>
      </x:c>
      <x:c r="F13" s="348" t="n">
        <x:f>IF(ISNUMBER(E13),E13*$B$3/'币价'!$B$12,"")</x:f>
        <x:v>0.000004330737615009832</x:v>
      </x:c>
      <x:c r="G13" s="558" t="n">
        <x:f>E13*$B$4</x:f>
        <x:v>5.739795615169104</x:v>
      </x:c>
      <x:c r="H13" s="561" t="n">
        <x:f>G13*$B$3</x:f>
        <x:v>4327.117118363684</x:v>
      </x:c>
      <x:c r="I13" s="558" t="n">
        <x:f>0</x:f>
        <x:v>0</x:v>
      </x:c>
      <x:c r="J13" s="558" t="n">
        <x:f>I13*(1+$B$7)</x:f>
        <x:v>0</x:v>
      </x:c>
      <x:c r="K13" s="560" t="n">
        <x:f>0</x:f>
        <x:v>0</x:v>
      </x:c>
    </x:row>
    <x:row r="14">
      <x:c r="A14" s="58" t="n">
        <x:v>0.1</x:v>
      </x:c>
      <x:c r="B14" s="64" t="n">
        <x:f>$B$9-A14*$B$4</x:f>
        <x:v>973972562</x:v>
      </x:c>
      <x:c r="C14" s="557" t="n">
        <x:f>$D$3/B14</x:f>
        <x:v>6.7972943636167855</x:v>
      </x:c>
      <x:c r="D14" s="75" t="n">
        <x:f>B14*C14</x:f>
        <x:v>6620378206</x:v>
      </x:c>
      <x:c r="E14" s="374" t="n">
        <x:f>C14/B14</x:f>
        <x:v>6.978938246123596e-9</x:v>
      </x:c>
      <x:c r="F14" s="374" t="n">
        <x:f>IF(ISNUMBER(E14),E14*$B$3/'币价'!$B$12,"")</x:f>
        <x:v>0.000005265684076875925</x:v>
      </x:c>
      <x:c r="G14" s="559" t="n">
        <x:f>E14*$B$4</x:f>
        <x:v>6.9789382461235965</x:v>
      </x:c>
      <x:c r="H14" s="562" t="n">
        <x:f>G14*$B$3</x:f>
        <x:v>5261.2819649876565</x:v>
      </x:c>
      <x:c r="I14" s="559" t="n">
        <x:f>C14-C13</x:f>
        <x:v>0.632911361437257</x:v>
      </x:c>
      <x:c r="J14" s="559" t="n">
        <x:f>I14*(1+$B$7)</x:f>
        <x:v>0.6392404750516296</x:v>
      </x:c>
      <x:c r="K14" s="560" t="n">
        <x:f>K13+J14</x:f>
        <x:v>0.6392404750516296</x:v>
      </x:c>
    </x:row>
    <x:row r="15">
      <x:c r="A15" s="58" t="n">
        <x:v>0.2</x:v>
      </x:c>
      <x:c r="B15" s="64" t="n">
        <x:f>$B$9-A15*$B$4</x:f>
        <x:v>873972562</x:v>
      </x:c>
      <x:c r="C15" s="557" t="n">
        <x:f>$D$3/B15</x:f>
        <x:v>7.575041247118694</x:v>
      </x:c>
      <x:c r="D15" s="75" t="n">
        <x:f>B15*C15</x:f>
        <x:v>6620378206</x:v>
      </x:c>
      <x:c r="E15" s="374" t="n">
        <x:f>C15/B15</x:f>
        <x:v>8.667367348219674e-9</x:v>
      </x:c>
      <x:c r="F15" s="374" t="n">
        <x:f>IF(ISNUMBER(E15),E15*$B$3/'币价'!$B$12,"")</x:f>
        <x:v>0.000006539622020484973</x:v>
      </x:c>
      <x:c r="G15" s="559" t="n">
        <x:f>E15*$B$4</x:f>
        <x:v>8.667367348219674</x:v>
      </x:c>
      <x:c r="H15" s="562" t="n">
        <x:f>G15*$B$3</x:f>
        <x:v>6534.154896475848</x:v>
      </x:c>
      <x:c r="I15" s="559" t="n">
        <x:f>C15-C14</x:f>
        <x:v>0.7777468835019086</x:v>
      </x:c>
      <x:c r="J15" s="559" t="n">
        <x:f>I15*(1+$B$7)</x:f>
        <x:v>0.7855243523369276</x:v>
      </x:c>
      <x:c r="K15" s="560" t="n">
        <x:f>K14+J15</x:f>
        <x:v>1.4247648273885574</x:v>
      </x:c>
    </x:row>
    <x:row r="16">
      <x:c r="A16" s="58" t="n">
        <x:v>0.3</x:v>
      </x:c>
      <x:c r="B16" s="64" t="n">
        <x:f>$B$9-A16*$B$4</x:f>
        <x:v>773972562</x:v>
      </x:c>
      <x:c r="C16" s="557" t="n">
        <x:f>$D$3/B16</x:f>
        <x:v>8.553763442068893</x:v>
      </x:c>
      <x:c r="D16" s="75" t="n">
        <x:f>B16*C16</x:f>
        <x:v>6620378206</x:v>
      </x:c>
      <x:c r="E16" s="374" t="n">
        <x:f>C16/B16</x:f>
        <x:v>1.1051765736973107e-8</x:v>
      </x:c>
      <x:c r="F16" s="374" t="n">
        <x:f>IF(ISNUMBER(E16),E16*$B$3/'币价'!$B$12,"")</x:f>
        <x:v>0.000008338676287165356</x:v>
      </x:c>
      <x:c r="G16" s="559" t="n">
        <x:f>E16*$B$4</x:f>
        <x:v>11.051765736973108</x:v>
      </x:c>
      <x:c r="H16" s="562" t="n">
        <x:f>G16*$B$3</x:f>
        <x:v>8331.705153789286</x:v>
      </x:c>
      <x:c r="I16" s="559" t="n">
        <x:f>C16-C15</x:f>
        <x:v>0.9787221949501994</x:v>
      </x:c>
      <x:c r="J16" s="559" t="n">
        <x:f>I16*(1+$B$7)</x:f>
        <x:v>0.9885094168997014</x:v>
      </x:c>
      <x:c r="K16" s="560" t="n">
        <x:f>K15+J16</x:f>
        <x:v>2.413274244288259</x:v>
      </x:c>
    </x:row>
    <x:row r="17">
      <x:c r="A17" s="58" t="n">
        <x:v>0.4</x:v>
      </x:c>
      <x:c r="B17" s="64" t="n">
        <x:f>$B$9-A17*$B$4</x:f>
        <x:v>673972562</x:v>
      </x:c>
      <x:c r="C17" s="557" t="n">
        <x:f>$D$3/B17</x:f>
        <x:v>9.82291947665371</x:v>
      </x:c>
      <x:c r="D17" s="75" t="n">
        <x:f>B17*C17</x:f>
        <x:v>6620378206</x:v>
      </x:c>
      <x:c r="E17" s="374" t="n">
        <x:f>C17/B17</x:f>
        <x:v>1.4574657828064089e-8</x:v>
      </x:c>
      <x:c r="F17" s="374" t="n">
        <x:f>IF(ISNUMBER(E17),E17*$B$3/'币价'!$B$12,"")</x:f>
        <x:v>0.000010996736314980278</x:v>
      </x:c>
      <x:c r="G17" s="559" t="n">
        <x:f>E17*$B$4</x:f>
        <x:v>14.574657828064089</x:v>
      </x:c>
      <x:c r="H17" s="562" t="n">
        <x:f>G17*$B$3</x:f>
        <x:v>10987.543043420956</x:v>
      </x:c>
      <x:c r="I17" s="559" t="n">
        <x:f>C17-C16</x:f>
        <x:v>1.2691560345848156</x:v>
      </x:c>
      <x:c r="J17" s="559" t="n">
        <x:f>I17*(1+$B$7)</x:f>
        <x:v>1.2818475949306638</x:v>
      </x:c>
      <x:c r="K17" s="560" t="n">
        <x:f>K16+J17</x:f>
        <x:v>3.6951218392189227</x:v>
      </x:c>
    </x:row>
    <x:row r="18">
      <x:c r="A18" s="58" t="n">
        <x:v>0.5</x:v>
      </x:c>
      <x:c r="B18" s="64" t="n">
        <x:f>$B$9-A18*$B$4</x:f>
        <x:v>573972562</x:v>
      </x:c>
      <x:c r="C18" s="557" t="n">
        <x:f>$D$3/B18</x:f>
        <x:v>11.534311296922239</x:v>
      </x:c>
      <x:c r="D18" s="75" t="n">
        <x:f>B18*C18</x:f>
        <x:v>6620378206</x:v>
      </x:c>
      <x:c r="E18" s="374" t="n">
        <x:f>C18/B18</x:f>
        <x:v>2.0095579580896828e-8</x:v>
      </x:c>
      <x:c r="F18" s="374" t="n">
        <x:f>IF(ISNUMBER(E18),E18*$B$3/'币价'!$B$12,"")</x:f>
        <x:v>0.000015162331243365954</x:v>
      </x:c>
      <x:c r="G18" s="559" t="n">
        <x:f>E18*$B$4</x:f>
        <x:v>20.09557958089683</x:v>
      </x:c>
      <x:c r="H18" s="562" t="n">
        <x:f>G18*$B$3</x:f>
        <x:v>15149.655534446501</x:v>
      </x:c>
      <x:c r="I18" s="559" t="n">
        <x:f>C18-C17</x:f>
        <x:v>1.7113918202685294</x:v>
      </x:c>
      <x:c r="J18" s="559" t="n">
        <x:f>I18*(1+$B$7)</x:f>
        <x:v>1.7285057384712148</x:v>
      </x:c>
      <x:c r="K18" s="560" t="n">
        <x:f>K17+J18</x:f>
        <x:v>5.423627577690137</x:v>
      </x:c>
    </x:row>
    <x:row r="19">
      <x:c r="A19" s="58" t="n">
        <x:v>0.6</x:v>
      </x:c>
      <x:c r="B19" s="64" t="n">
        <x:f>$B$9-A19*$B$4</x:f>
        <x:v>473972562</x:v>
      </x:c>
      <x:c r="C19" s="557" t="n">
        <x:f>$D$3/B19</x:f>
        <x:v>13.96785117278582</x:v>
      </x:c>
      <x:c r="D19" s="75" t="n">
        <x:f>B19*C19</x:f>
        <x:v>6620378206</x:v>
      </x:c>
      <x:c r="E19" s="374" t="n">
        <x:f>C19/B19</x:f>
        <x:v>2.9469746336889898e-8</x:v>
      </x:c>
      <x:c r="F19" s="374" t="n">
        <x:f>IF(ISNUMBER(E19),E19*$B$3/'币价'!$B$12,"")</x:f>
        <x:v>0.0000222352410299556</x:v>
      </x:c>
      <x:c r="G19" s="559" t="n">
        <x:f>E19*$B$4</x:f>
        <x:v>29.469746336889898</x:v>
      </x:c>
      <x:c r="H19" s="562" t="n">
        <x:f>G19*$B$3</x:f>
        <x:v>22216.652368454557</x:v>
      </x:c>
      <x:c r="I19" s="559" t="n">
        <x:f>C19-C18</x:f>
        <x:v>2.4335398758635822</x:v>
      </x:c>
      <x:c r="J19" s="559" t="n">
        <x:f>I19*(1+$B$7)</x:f>
        <x:v>2.457875274622218</x:v>
      </x:c>
      <x:c r="K19" s="560" t="n">
        <x:f>K18+J19</x:f>
        <x:v>7.881502852312355</x:v>
      </x:c>
    </x:row>
    <x:row r="20">
      <x:c r="A20" s="58" t="n">
        <x:v>0.7</x:v>
      </x:c>
      <x:c r="B20" s="64" t="n">
        <x:f>$B$9-A20*$B$4</x:f>
        <x:v>373972562</x:v>
      </x:c>
      <x:c r="C20" s="557" t="n">
        <x:f>$D$3/B20</x:f>
        <x:v>17.702844750412464</x:v>
      </x:c>
      <x:c r="D20" s="75" t="n">
        <x:f>B20*C20</x:f>
        <x:v>6620378206</x:v>
      </x:c>
      <x:c r="E20" s="374" t="n">
        <x:f>C20/B20</x:f>
        <x:v>4.7337282328248626e-8</x:v>
      </x:c>
      <x:c r="F20" s="374" t="n">
        <x:f>IF(ISNUMBER(E20),E20*$B$3/'币价'!$B$12,"")</x:f>
        <x:v>0.000035716489386747396</x:v>
      </x:c>
      <x:c r="G20" s="559" t="n">
        <x:f>E20*$B$4</x:f>
        <x:v>47.33728232824863</x:v>
      </x:c>
      <x:c r="H20" s="562" t="n">
        <x:f>G20*$B$3</x:f>
        <x:v>35686.630401620074</x:v>
      </x:c>
      <x:c r="I20" s="559" t="n">
        <x:f>C20-C19</x:f>
        <x:v>3.7349935776266427</x:v>
      </x:c>
      <x:c r="J20" s="559" t="n">
        <x:f>I20*(1+$B$7)</x:f>
        <x:v>3.7723435134029093</x:v>
      </x:c>
      <x:c r="K20" s="560" t="n">
        <x:f>K19+J20</x:f>
        <x:v>11.653846365715264</x:v>
      </x:c>
    </x:row>
    <x:row r="21">
      <x:c r="A21" s="57" t="n">
        <x:v>0.8</x:v>
      </x:c>
      <x:c r="B21" s="63" t="n">
        <x:f>$B$9-A21*$B$4</x:f>
        <x:v>273972562</x:v>
      </x:c>
      <x:c r="C21" s="556" t="n">
        <x:f>$D$3/B21</x:f>
        <x:v>24.16438404514391</x:v>
      </x:c>
      <x:c r="D21" s="74" t="n">
        <x:f>B21*C21</x:f>
        <x:v>6620378206</x:v>
      </x:c>
      <x:c r="E21" s="348" t="n">
        <x:f>C21/B21</x:f>
        <x:v>8.820001488011748e-8</x:v>
      </x:c>
      <x:c r="F21" s="348" t="n">
        <x:f>IF(ISNUMBER(E21),E21*$B$3/'币价'!$B$12,"")</x:f>
        <x:v>0.00006654786122981108</x:v>
      </x:c>
      <x:c r="G21" s="558" t="n">
        <x:f>E21*$B$4</x:f>
        <x:v>88.20001488011748</x:v>
      </x:c>
      <x:c r="H21" s="561" t="n">
        <x:f>G21*$B$3</x:f>
        <x:v>66492.22721782296</x:v>
      </x:c>
      <x:c r="I21" s="558" t="n">
        <x:f>C21-C20</x:f>
        <x:v>6.461539294731445</x:v>
      </x:c>
      <x:c r="J21" s="558" t="n">
        <x:f>I21*(1+$B$7)</x:f>
        <x:v>6.526154687678759</x:v>
      </x:c>
      <x:c r="K21" s="560" t="n">
        <x:f>K20+J21</x:f>
        <x:v>18.180001053394022</x:v>
      </x:c>
    </x:row>
    <x:row r="22">
      <x:c r="A22" s="59"/>
      <x:c r="B22" s="65"/>
      <x:c r="C22" s="17"/>
      <x:c r="D22" s="76"/>
      <x:c r="E22" s="82"/>
      <x:c r="F22" s="88"/>
      <x:c r="G22" s="88"/>
    </x:row>
    <x:row r="23">
      <x:c r="A23" s="59"/>
      <x:c r="B23" s="65"/>
      <x:c r="C23" s="17"/>
      <x:c r="D23" s="76"/>
      <x:c r="E23" s="82"/>
      <x:c r="F23" s="88"/>
      <x:c r="G23" s="88"/>
    </x:row>
    <x:row r="24" ht="34" customHeight="1">
      <x:c r="A24" s="60" t="str">
        <x:v>控筹率</x:v>
      </x:c>
      <x:c r="B24" s="66" t="str">
        <x:v>pooled token</x:v>
      </x:c>
      <x:c r="C24" s="71" t="str">
        <x:v>pooled BNB</x:v>
      </x:c>
      <x:c r="D24" s="77" t="str">
        <x:v>k</x:v>
      </x:c>
      <x:c r="E24" s="391" t="str">
        <x:v>价格 / BNB</x:v>
      </x:c>
      <x:c r="F24" s="391" t="str">
        <x:v>价格 / USDT</x:v>
      </x:c>
      <x:c r="G24" s="393" t="str">
        <x:v>市值 / BNB</x:v>
      </x:c>
      <x:c r="H24" s="393" t="str">
        <x:v>市值 / USD</x:v>
      </x:c>
      <x:c r="I24" s="331" t="str">
        <x:v>所需 BNB</x:v>
      </x:c>
      <x:c r="J24" s="331" t="str">
        <x:v>加手续费</x:v>
      </x:c>
      <x:c r="K24" s="344" t="str">
        <x:v>理论累计所需</x:v>
      </x:c>
    </x:row>
    <x:row r="25">
      <x:c r="A25" s="57" t="n">
        <x:v>0.8</x:v>
      </x:c>
      <x:c r="B25" s="63" t="n">
        <x:f>IF(A25&gt;=1,"",IF(ABS(A25-$B$6)&lt;0.000001,$D$4,$B$4*(1-A25)))</x:f>
        <x:v>200000000</x:v>
      </x:c>
      <x:c r="C25" s="556" t="n">
        <x:f>IF(A25&gt;=1,"",IF(ABS(A25-$B$6)&lt;0.000001,$D$5,$D$6/B25))</x:f>
        <x:v>17.64</x:v>
      </x:c>
      <x:c r="D25" s="74" t="n">
        <x:f>IF(A25&gt;=1,"",B25*C25)</x:f>
        <x:v>3528000000</x:v>
      </x:c>
      <x:c r="E25" s="348" t="n">
        <x:f>IF(A25&gt;=1,"",C25/B25)</x:f>
        <x:v>8.820000000000001e-8</x:v>
      </x:c>
      <x:c r="F25" s="348" t="n">
        <x:f>IF(ISNUMBER(E25),E25*$B$3/'币价'!$B$12,"")</x:f>
        <x:v>0.00006654785000260217</x:v>
      </x:c>
      <x:c r="G25" s="558" t="n">
        <x:f>IF(A25&gt;=1,"",E25*$B$4)</x:f>
        <x:v>88.2</x:v>
      </x:c>
      <x:c r="H25" s="561" t="n">
        <x:f>IF(A25&gt;=1,"",G25*$B$3)</x:f>
        <x:v>66492.216</x:v>
      </x:c>
      <x:c r="I25" s="558" t="n">
        <x:f>IF(A25&gt;=1,"",C25-$D$5)</x:f>
        <x:v>0</x:v>
      </x:c>
      <x:c r="J25" s="558" t="n">
        <x:f>IF(A25&gt;=1,"",I25*(1+$B$8))</x:f>
        <x:v>0</x:v>
      </x:c>
      <x:c r="K25" s="560" t="n">
        <x:f>IF(A25&gt;=1,"不可达",$B$5+(C25-$D$5)*(1+$B$8))</x:f>
        <x:v>18.180001053394022</x:v>
      </x:c>
    </x:row>
    <x:row r="26">
      <x:c r="A26" s="58" t="n">
        <x:v>0.805</x:v>
      </x:c>
      <x:c r="B26" s="64" t="n">
        <x:f>IF(A26&gt;=1,"",IF(ABS(A26-$B$6)&lt;0.000001,$D$4,$B$4*(1-A26)))</x:f>
        <x:v>194999999.99999994</x:v>
      </x:c>
      <x:c r="C26" s="557" t="n">
        <x:f>IF(A26&gt;=1,"",IF(ABS(A26-$B$6)&lt;0.000001,$D$5,$D$6/B26))</x:f>
        <x:v>18.0923076923077</x:v>
      </x:c>
      <x:c r="D26" s="75" t="n">
        <x:f>IF(A26&gt;=1,"",B26*C26)</x:f>
        <x:v>3528000000.0000005</x:v>
      </x:c>
      <x:c r="E26" s="374" t="n">
        <x:f>IF(A26&gt;=1,"",C26/B26)</x:f>
        <x:v>9.278106508875746e-8</x:v>
      </x:c>
      <x:c r="F26" s="374" t="n">
        <x:f>IF(ISNUMBER(E26),E26*$B$3/'币价'!$B$12,"")</x:f>
        <x:v>0.00007000431295474264</x:v>
      </x:c>
      <x:c r="G26" s="559" t="n">
        <x:f>IF(A26&gt;=1,"",E26*$B$4)</x:f>
        <x:v>92.78106508875746</x:v>
      </x:c>
      <x:c r="H26" s="562" t="n">
        <x:f>IF(A26&gt;=1,"",G26*$B$3)</x:f>
        <x:v>69945.78934911247</x:v>
      </x:c>
      <x:c r="I26" s="559" t="n">
        <x:f>IF(A26&gt;=1,"",C26-C25)</x:f>
        <x:v>0.4523076923076985</x:v>
      </x:c>
      <x:c r="J26" s="559" t="n">
        <x:f>IF(A26&gt;=1,"",I26*(1+$B$8))</x:f>
        <x:v>0.45343846153846773</x:v>
      </x:c>
      <x:c r="K26" s="560" t="n">
        <x:f>IF(A26&gt;=1,"不可达",$B$5+(C26-$D$5)*(1+$B$8))</x:f>
        <x:v>18.63343951493249</x:v>
      </x:c>
    </x:row>
    <x:row r="27">
      <x:c r="A27" s="58" t="n">
        <x:v>0.81</x:v>
      </x:c>
      <x:c r="B27" s="64" t="n">
        <x:f>IF(A27&gt;=1,"",IF(ABS(A27-$B$6)&lt;0.000001,$D$4,$B$4*(1-A27)))</x:f>
        <x:v>189999999.99999994</x:v>
      </x:c>
      <x:c r="C27" s="557" t="n">
        <x:f>IF(A27&gt;=1,"",IF(ABS(A27-$B$6)&lt;0.000001,$D$5,$D$6/B27))</x:f>
        <x:v>18.568421052631585</x:v>
      </x:c>
      <x:c r="D27" s="75" t="n">
        <x:f>IF(A27&gt;=1,"",B27*C27)</x:f>
        <x:v>3528000000</x:v>
      </x:c>
      <x:c r="E27" s="374" t="n">
        <x:f>IF(A27&gt;=1,"",C27/B27)</x:f>
        <x:v>9.772853185595575e-8</x:v>
      </x:c>
      <x:c r="F27" s="374" t="n">
        <x:f>IF(ISNUMBER(E27),E27*$B$3/'币价'!$B$12,"")</x:f>
        <x:v>0.00007373722991978085</x:v>
      </x:c>
      <x:c r="G27" s="559" t="n">
        <x:f>IF(A27&gt;=1,"",E27*$B$4)</x:f>
        <x:v>97.72853185595575</x:v>
      </x:c>
      <x:c r="H27" s="562" t="n">
        <x:f>IF(A27&gt;=1,"",G27*$B$3)</x:f>
        <x:v>73675.58559556791</x:v>
      </x:c>
      <x:c r="I27" s="559" t="n">
        <x:f>IF(A27&gt;=1,"",C27-C26)</x:f>
        <x:v>0.47611336032388607</x:v>
      </x:c>
      <x:c r="J27" s="559" t="n">
        <x:f>IF(A27&gt;=1,"",I27*(1+$B$8))</x:f>
        <x:v>0.47730364372469575</x:v>
      </x:c>
      <x:c r="K27" s="560" t="n">
        <x:f>IF(A27&gt;=1,"不可达",$B$5+(C27-$D$5)*(1+$B$8))</x:f>
        <x:v>19.110743158657186</x:v>
      </x:c>
    </x:row>
    <x:row r="28">
      <x:c r="A28" s="58" t="n">
        <x:v>0.815</x:v>
      </x:c>
      <x:c r="B28" s="64" t="n">
        <x:f>IF(A28&gt;=1,"",IF(ABS(A28-$B$6)&lt;0.000001,$D$4,$B$4*(1-A28)))</x:f>
        <x:v>185000000.00000006</x:v>
      </x:c>
      <x:c r="C28" s="557" t="n">
        <x:f>IF(A28&gt;=1,"",IF(ABS(A28-$B$6)&lt;0.000001,$D$5,$D$6/B28))</x:f>
        <x:v>19.070270270270264</x:v>
      </x:c>
      <x:c r="D28" s="75" t="n">
        <x:f>IF(A28&gt;=1,"",B28*C28)</x:f>
        <x:v>3528000000</x:v>
      </x:c>
      <x:c r="E28" s="374" t="n">
        <x:f>IF(A28&gt;=1,"",C28/B28)</x:f>
        <x:v>1.0308254200146086e-7</x:v>
      </x:c>
      <x:c r="F28" s="374" t="n">
        <x:f>IF(ISNUMBER(E28),E28*$B$3/'币价'!$B$12,"")</x:f>
        <x:v>0.00007777688824263215</x:v>
      </x:c>
      <x:c r="G28" s="559" t="n">
        <x:f>IF(A28&gt;=1,"",E28*$B$4)</x:f>
        <x:v>103.08254200146085</x:v>
      </x:c>
      <x:c r="H28" s="562" t="n">
        <x:f>IF(A28&gt;=1,"",G28*$B$3)</x:f>
        <x:v>77711.86676406131</x:v>
      </x:c>
      <x:c r="I28" s="559" t="n">
        <x:f>IF(A28&gt;=1,"",C28-C27)</x:f>
        <x:v>0.5018492176386786</x:v>
      </x:c>
      <x:c r="J28" s="559" t="n">
        <x:f>IF(A28&gt;=1,"",I28*(1+$B$8))</x:f>
        <x:v>0.5031038406827752</x:v>
      </x:c>
      <x:c r="K28" s="560" t="n">
        <x:f>IF(A28&gt;=1,"不可达",$B$5+(C28-$D$5)*(1+$B$8))</x:f>
        <x:v>19.613846999339962</x:v>
      </x:c>
    </x:row>
    <x:row r="29">
      <x:c r="A29" s="58" t="n">
        <x:v>0.82</x:v>
      </x:c>
      <x:c r="B29" s="64" t="n">
        <x:f>IF(A29&gt;=1,"",IF(ABS(A29-$B$6)&lt;0.000001,$D$4,$B$4*(1-A29)))</x:f>
        <x:v>180000000.00000006</x:v>
      </x:c>
      <x:c r="C29" s="557" t="n">
        <x:f>IF(A29&gt;=1,"",IF(ABS(A29-$B$6)&lt;0.000001,$D$5,$D$6/B29))</x:f>
        <x:v>19.599999999999994</x:v>
      </x:c>
      <x:c r="D29" s="75" t="n">
        <x:f>IF(A29&gt;=1,"",B29*C29)</x:f>
        <x:v>3528000000</x:v>
      </x:c>
      <x:c r="E29" s="374" t="n">
        <x:f>IF(A29&gt;=1,"",C29/B29)</x:f>
        <x:v>1.0888888888888882e-7</x:v>
      </x:c>
      <x:c r="F29" s="374" t="n">
        <x:f>IF(ISNUMBER(E29),E29*$B$3/'币价'!$B$12,"")</x:f>
        <x:v>0.00008215783950938534</x:v>
      </x:c>
      <x:c r="G29" s="559" t="n">
        <x:f>IF(A29&gt;=1,"",E29*$B$4)</x:f>
        <x:v>108.88888888888883</x:v>
      </x:c>
      <x:c r="H29" s="562" t="n">
        <x:f>IF(A29&gt;=1,"",G29*$B$3)</x:f>
        <x:v>82089.15555555551</x:v>
      </x:c>
      <x:c r="I29" s="559" t="n">
        <x:f>IF(A29&gt;=1,"",C29-C28)</x:f>
        <x:v>0.5297297297297305</x:v>
      </x:c>
      <x:c r="J29" s="559" t="n">
        <x:f>IF(A29&gt;=1,"",I29*(1+$B$8))</x:f>
        <x:v>0.5310540540540548</x:v>
      </x:c>
      <x:c r="K29" s="560" t="n">
        <x:f>IF(A29&gt;=1,"不可达",$B$5+(C29-$D$5)*(1+$B$8))</x:f>
        <x:v>20.144901053394015</x:v>
      </x:c>
    </x:row>
    <x:row r="30">
      <x:c r="A30" s="58" t="n">
        <x:v>0.825</x:v>
      </x:c>
      <x:c r="B30" s="64" t="n">
        <x:f>IF(A30&gt;=1,"",IF(ABS(A30-$B$6)&lt;0.000001,$D$4,$B$4*(1-A30)))</x:f>
        <x:v>175000000.00000003</x:v>
      </x:c>
      <x:c r="C30" s="557" t="n">
        <x:f>IF(A30&gt;=1,"",IF(ABS(A30-$B$6)&lt;0.000001,$D$5,$D$6/B30))</x:f>
        <x:v>20.159999999999997</x:v>
      </x:c>
      <x:c r="D30" s="75" t="n">
        <x:f>IF(A30&gt;=1,"",B30*C30)</x:f>
        <x:v>3528000000</x:v>
      </x:c>
      <x:c r="E30" s="374" t="n">
        <x:f>IF(A30&gt;=1,"",C30/B30)</x:f>
        <x:v>1.1519999999999996e-7</x:v>
      </x:c>
      <x:c r="F30" s="374" t="n">
        <x:f>IF(ISNUMBER(E30),E30*$B$3/'币价'!$B$12,"")</x:f>
        <x:v>0.00008691964081972525</x:v>
      </x:c>
      <x:c r="G30" s="559" t="n">
        <x:f>IF(A30&gt;=1,"",E30*$B$4)</x:f>
        <x:v>115.19999999999996</x:v>
      </x:c>
      <x:c r="H30" s="562" t="n">
        <x:f>IF(A30&gt;=1,"",G30*$B$3)</x:f>
        <x:v>86846.97599999997</x:v>
      </x:c>
      <x:c r="I30" s="559" t="n">
        <x:f>IF(A30&gt;=1,"",C30-C29)</x:f>
        <x:v>0.5600000000000023</x:v>
      </x:c>
      <x:c r="J30" s="559" t="n">
        <x:f>IF(A30&gt;=1,"",I30*(1+$B$8))</x:f>
        <x:v>0.5614000000000022</x:v>
      </x:c>
      <x:c r="K30" s="560" t="n">
        <x:f>IF(A30&gt;=1,"不可达",$B$5+(C30-$D$5)*(1+$B$8))</x:f>
        <x:v>20.706301053394018</x:v>
      </x:c>
    </x:row>
    <x:row r="31">
      <x:c r="A31" s="58" t="n">
        <x:v>0.83</x:v>
      </x:c>
      <x:c r="B31" s="64" t="n">
        <x:f>IF(A31&gt;=1,"",IF(ABS(A31-$B$6)&lt;0.000001,$D$4,$B$4*(1-A31)))</x:f>
        <x:v>170000000.00000003</x:v>
      </x:c>
      <x:c r="C31" s="557" t="n">
        <x:f>IF(A31&gt;=1,"",IF(ABS(A31-$B$6)&lt;0.000001,$D$5,$D$6/B31))</x:f>
        <x:v>20.752941176470586</x:v>
      </x:c>
      <x:c r="D31" s="75" t="n">
        <x:f>IF(A31&gt;=1,"",B31*C31)</x:f>
        <x:v>3528000000</x:v>
      </x:c>
      <x:c r="E31" s="374" t="n">
        <x:f>IF(A31&gt;=1,"",C31/B31)</x:f>
        <x:v>1.22076124567474e-7</x:v>
      </x:c>
      <x:c r="F31" s="374" t="n">
        <x:f>IF(ISNUMBER(E31),E31*$B$3/'币价'!$B$12,"")</x:f>
        <x:v>0.00009210775086865349</x:v>
      </x:c>
      <x:c r="G31" s="559" t="n">
        <x:f>IF(A31&gt;=1,"",E31*$B$4)</x:f>
        <x:v>122.076124567474</x:v>
      </x:c>
      <x:c r="H31" s="562" t="n">
        <x:f>IF(A31&gt;=1,"",G31*$B$3)</x:f>
        <x:v>92030.7487889273</x:v>
      </x:c>
      <x:c r="I31" s="559" t="n">
        <x:f>IF(A31&gt;=1,"",C31-C30)</x:f>
        <x:v>0.592941176470589</x:v>
      </x:c>
      <x:c r="J31" s="559" t="n">
        <x:f>IF(A31&gt;=1,"",I31*(1+$B$8))</x:f>
        <x:v>0.5944235294117655</x:v>
      </x:c>
      <x:c r="K31" s="560" t="n">
        <x:f>IF(A31&gt;=1,"不可达",$B$5+(C31-$D$5)*(1+$B$8))</x:f>
        <x:v>21.300724582805785</x:v>
      </x:c>
    </x:row>
    <x:row r="32">
      <x:c r="A32" s="58" t="n">
        <x:v>0.835</x:v>
      </x:c>
      <x:c r="B32" s="64" t="n">
        <x:f>IF(A32&gt;=1,"",IF(ABS(A32-$B$6)&lt;0.000001,$D$4,$B$4*(1-A32)))</x:f>
        <x:v>165000000.00000003</x:v>
      </x:c>
      <x:c r="C32" s="557" t="n">
        <x:f>IF(A32&gt;=1,"",IF(ABS(A32-$B$6)&lt;0.000001,$D$5,$D$6/B32))</x:f>
        <x:v>21.38181818181818</x:v>
      </x:c>
      <x:c r="D32" s="75" t="n">
        <x:f>IF(A32&gt;=1,"",B32*C32)</x:f>
        <x:v>3528000000</x:v>
      </x:c>
      <x:c r="E32" s="374" t="n">
        <x:f>IF(A32&gt;=1,"",C32/B32)</x:f>
        <x:v>1.295867768595041e-7</x:v>
      </x:c>
      <x:c r="F32" s="374" t="n">
        <x:f>IF(ISNUMBER(E32),E32*$B$3/'币价'!$B$12,"")</x:f>
        <x:v>0.00009777461892026029</x:v>
      </x:c>
      <x:c r="G32" s="559" t="n">
        <x:f>IF(A32&gt;=1,"",E32*$B$4)</x:f>
        <x:v>129.58677685950408</x:v>
      </x:c>
      <x:c r="H32" s="562" t="n">
        <x:f>IF(A32&gt;=1,"",G32*$B$3)</x:f>
        <x:v>97692.87933884293</x:v>
      </x:c>
      <x:c r="I32" s="559" t="n">
        <x:f>IF(A32&gt;=1,"",C32-C31)</x:f>
        <x:v>0.6288770053475936</x:v>
      </x:c>
      <x:c r="J32" s="559" t="n">
        <x:f>IF(A32&gt;=1,"",I32*(1+$B$8))</x:f>
        <x:v>0.6304491978609625</x:v>
      </x:c>
      <x:c r="K32" s="560" t="n">
        <x:f>IF(A32&gt;=1,"不可达",$B$5+(C32-$D$5)*(1+$B$8))</x:f>
        <x:v>21.931173780666747</x:v>
      </x:c>
    </x:row>
    <x:row r="33">
      <x:c r="A33" s="58" t="n">
        <x:v>0.84</x:v>
      </x:c>
      <x:c r="B33" s="64" t="n">
        <x:f>IF(A33&gt;=1,"",IF(ABS(A33-$B$6)&lt;0.000001,$D$4,$B$4*(1-A33)))</x:f>
        <x:v>160000000.00000003</x:v>
      </x:c>
      <x:c r="C33" s="557" t="n">
        <x:f>IF(A33&gt;=1,"",IF(ABS(A33-$B$6)&lt;0.000001,$D$5,$D$6/B33))</x:f>
        <x:v>22.049999999999997</x:v>
      </x:c>
      <x:c r="D33" s="75" t="n">
        <x:f>IF(A33&gt;=1,"",B33*C33)</x:f>
        <x:v>3528000000</x:v>
      </x:c>
      <x:c r="E33" s="374" t="n">
        <x:f>IF(A33&gt;=1,"",C33/B33)</x:f>
        <x:v>1.3781249999999995e-7</x:v>
      </x:c>
      <x:c r="F33" s="374" t="n">
        <x:f>IF(ISNUMBER(E33),E33*$B$3/'币价'!$B$12,"")</x:f>
        <x:v>0.00010398101562906586</x:v>
      </x:c>
      <x:c r="G33" s="559" t="n">
        <x:f>IF(A33&gt;=1,"",E33*$B$4)</x:f>
        <x:v>137.81249999999994</x:v>
      </x:c>
      <x:c r="H33" s="562" t="n">
        <x:f>IF(A33&gt;=1,"",G33*$B$3)</x:f>
        <x:v>103894.08749999995</x:v>
      </x:c>
      <x:c r="I33" s="559" t="n">
        <x:f>IF(A33&gt;=1,"",C33-C32)</x:f>
        <x:v>0.668181818181818</x:v>
      </x:c>
      <x:c r="J33" s="559" t="n">
        <x:f>IF(A33&gt;=1,"",I33*(1+$B$8))</x:f>
        <x:v>0.6698522727272725</x:v>
      </x:c>
      <x:c r="K33" s="560" t="n">
        <x:f>IF(A33&gt;=1,"不可达",$B$5+(C33-$D$5)*(1+$B$8))</x:f>
        <x:v>22.60102605339402</x:v>
      </x:c>
    </x:row>
    <x:row r="34">
      <x:c r="A34" s="58" t="n">
        <x:v>0.845</x:v>
      </x:c>
      <x:c r="B34" s="64" t="n">
        <x:f>IF(A34&gt;=1,"",IF(ABS(A34-$B$6)&lt;0.000001,$D$4,$B$4*(1-A34)))</x:f>
        <x:v>155000000.00000003</x:v>
      </x:c>
      <x:c r="C34" s="557" t="n">
        <x:f>IF(A34&gt;=1,"",IF(ABS(A34-$B$6)&lt;0.000001,$D$5,$D$6/B34))</x:f>
        <x:v>22.761290322580642</x:v>
      </x:c>
      <x:c r="D34" s="75" t="n">
        <x:f>IF(A34&gt;=1,"",B34*C34)</x:f>
        <x:v>3528000000</x:v>
      </x:c>
      <x:c r="E34" s="374" t="n">
        <x:f>IF(A34&gt;=1,"",C34/B34)</x:f>
        <x:v>1.4684703433922993e-7</x:v>
      </x:c>
      <x:c r="F34" s="374" t="n">
        <x:f>IF(ISNUMBER(E34),E34*$B$3/'币价'!$B$12,"")</x:f>
        <x:v>0.00011079766909902544</x:v>
      </x:c>
      <x:c r="G34" s="559" t="n">
        <x:f>IF(A34&gt;=1,"",E34*$B$4)</x:f>
        <x:v>146.84703433922994</x:v>
      </x:c>
      <x:c r="H34" s="562" t="n">
        <x:f>IF(A34&gt;=1,"",G34*$B$3)</x:f>
        <x:v>110705.04224765867</x:v>
      </x:c>
      <x:c r="I34" s="559" t="n">
        <x:f>IF(A34&gt;=1,"",C34-C33)</x:f>
        <x:v>0.7112903225806448</x:v>
      </x:c>
      <x:c r="J34" s="559" t="n">
        <x:f>IF(A34&gt;=1,"",I34*(1+$B$8))</x:f>
        <x:v>0.7130685483870964</x:v>
      </x:c>
      <x:c r="K34" s="560" t="n">
        <x:f>IF(A34&gt;=1,"不可达",$B$5+(C34-$D$5)*(1+$B$8))</x:f>
        <x:v>23.314094601781115</x:v>
      </x:c>
    </x:row>
    <x:row r="35">
      <x:c r="A35" s="58" t="n">
        <x:v>0.85</x:v>
      </x:c>
      <x:c r="B35" s="64" t="n">
        <x:f>IF(A35&gt;=1,"",IF(ABS(A35-$B$6)&lt;0.000001,$D$4,$B$4*(1-A35)))</x:f>
        <x:v>150000000.00000003</x:v>
      </x:c>
      <x:c r="C35" s="557" t="n">
        <x:f>IF(A35&gt;=1,"",IF(ABS(A35-$B$6)&lt;0.000001,$D$5,$D$6/B35))</x:f>
        <x:v>23.519999999999996</x:v>
      </x:c>
      <x:c r="D35" s="75" t="n">
        <x:f>IF(A35&gt;=1,"",B35*C35)</x:f>
        <x:v>3528000000</x:v>
      </x:c>
      <x:c r="E35" s="374" t="n">
        <x:f>IF(A35&gt;=1,"",C35/B35)</x:f>
        <x:v>1.5679999999999995e-7</x:v>
      </x:c>
      <x:c r="F35" s="374" t="n">
        <x:f>IF(ISNUMBER(E35),E35*$B$3/'币价'!$B$12,"")</x:f>
        <x:v>0.00011830728889351494</x:v>
      </x:c>
      <x:c r="G35" s="559" t="n">
        <x:f>IF(A35&gt;=1,"",E35*$B$4)</x:f>
        <x:v>156.79999999999995</x:v>
      </x:c>
      <x:c r="H35" s="562" t="n">
        <x:f>IF(A35&gt;=1,"",G35*$B$3)</x:f>
        <x:v>118208.38399999996</x:v>
      </x:c>
      <x:c r="I35" s="559" t="n">
        <x:f>IF(A35&gt;=1,"",C35-C34)</x:f>
        <x:v>0.758709677419354</x:v>
      </x:c>
      <x:c r="J35" s="559" t="n">
        <x:f>IF(A35&gt;=1,"",I35*(1+$B$8))</x:f>
        <x:v>0.7606064516129024</x:v>
      </x:c>
      <x:c r="K35" s="560" t="n">
        <x:f>IF(A35&gt;=1,"不可达",$B$5+(C35-$D$5)*(1+$B$8))</x:f>
        <x:v>24.074701053394016</x:v>
      </x:c>
    </x:row>
    <x:row r="36">
      <x:c r="A36" s="58" t="n">
        <x:v>0.855</x:v>
      </x:c>
      <x:c r="B36" s="64" t="n">
        <x:f>IF(A36&gt;=1,"",IF(ABS(A36-$B$6)&lt;0.000001,$D$4,$B$4*(1-A36)))</x:f>
        <x:v>145000000.00000003</x:v>
      </x:c>
      <x:c r="C36" s="557" t="n">
        <x:f>IF(A36&gt;=1,"",IF(ABS(A36-$B$6)&lt;0.000001,$D$5,$D$6/B36))</x:f>
        <x:v>24.331034482758614</x:v>
      </x:c>
      <x:c r="D36" s="75" t="n">
        <x:f>IF(A36&gt;=1,"",B36*C36)</x:f>
        <x:v>3528000000</x:v>
      </x:c>
      <x:c r="E36" s="374" t="n">
        <x:f>IF(A36&gt;=1,"",C36/B36)</x:f>
        <x:v>1.6780023781212833e-7</x:v>
      </x:c>
      <x:c r="F36" s="374" t="n">
        <x:f>IF(ISNUMBER(E36),E36*$B$3/'币价'!$B$12,"")</x:f>
        <x:v>0.00012660708680637742</x:v>
      </x:c>
      <x:c r="G36" s="559" t="n">
        <x:f>IF(A36&gt;=1,"",E36*$B$4)</x:f>
        <x:v>167.80023781212833</x:v>
      </x:c>
      <x:c r="H36" s="562" t="n">
        <x:f>IF(A36&gt;=1,"",G36*$B$3)</x:f>
        <x:v>126501.2432818073</x:v>
      </x:c>
      <x:c r="I36" s="559" t="n">
        <x:f>IF(A36&gt;=1,"",C36-C35)</x:f>
        <x:v>0.8110344827586182</x:v>
      </x:c>
      <x:c r="J36" s="559" t="n">
        <x:f>IF(A36&gt;=1,"",I36*(1+$B$8))</x:f>
        <x:v>0.8130620689655147</x:v>
      </x:c>
      <x:c r="K36" s="560" t="n">
        <x:f>IF(A36&gt;=1,"不可达",$B$5+(C36-$D$5)*(1+$B$8))</x:f>
        <x:v>24.88776312235953</x:v>
      </x:c>
    </x:row>
    <x:row r="37">
      <x:c r="A37" s="58" t="n">
        <x:v>0.86</x:v>
      </x:c>
      <x:c r="B37" s="64" t="n">
        <x:f>IF(A37&gt;=1,"",IF(ABS(A37-$B$6)&lt;0.000001,$D$4,$B$4*(1-A37)))</x:f>
        <x:v>140000000</x:v>
      </x:c>
      <x:c r="C37" s="557" t="n">
        <x:f>IF(A37&gt;=1,"",IF(ABS(A37-$B$6)&lt;0.000001,$D$5,$D$6/B37))</x:f>
        <x:v>25.2</x:v>
      </x:c>
      <x:c r="D37" s="75" t="n">
        <x:f>IF(A37&gt;=1,"",B37*C37)</x:f>
        <x:v>3528000000</x:v>
      </x:c>
      <x:c r="E37" s="374" t="n">
        <x:f>IF(A37&gt;=1,"",C37/B37)</x:f>
        <x:v>1.8e-7</x:v>
      </x:c>
      <x:c r="F37" s="374" t="n">
        <x:f>IF(ISNUMBER(E37),E37*$B$3/'币价'!$B$12,"")</x:f>
        <x:v>0.00013581193878082074</x:v>
      </x:c>
      <x:c r="G37" s="559" t="n">
        <x:f>IF(A37&gt;=1,"",E37*$B$4)</x:f>
        <x:v>180</x:v>
      </x:c>
      <x:c r="H37" s="562" t="n">
        <x:f>IF(A37&gt;=1,"",G37*$B$3)</x:f>
        <x:v>135698.4</x:v>
      </x:c>
      <x:c r="I37" s="559" t="n">
        <x:f>IF(A37&gt;=1,"",C37-C36)</x:f>
        <x:v>0.868965517241385</x:v>
      </x:c>
      <x:c r="J37" s="559" t="n">
        <x:f>IF(A37&gt;=1,"",I37*(1+$B$8))</x:f>
        <x:v>0.8711379310344884</x:v>
      </x:c>
      <x:c r="K37" s="560" t="n">
        <x:f>IF(A37&gt;=1,"不可达",$B$5+(C37-$D$5)*(1+$B$8))</x:f>
        <x:v>25.75890105339402</x:v>
      </x:c>
    </x:row>
    <x:row r="38">
      <x:c r="A38" s="58" t="n">
        <x:v>0.865</x:v>
      </x:c>
      <x:c r="B38" s="64" t="n">
        <x:f>IF(A38&gt;=1,"",IF(ABS(A38-$B$6)&lt;0.000001,$D$4,$B$4*(1-A38)))</x:f>
        <x:v>135000000</x:v>
      </x:c>
      <x:c r="C38" s="557" t="n">
        <x:f>IF(A38&gt;=1,"",IF(ABS(A38-$B$6)&lt;0.000001,$D$5,$D$6/B38))</x:f>
        <x:v>26.133333333333333</x:v>
      </x:c>
      <x:c r="D38" s="75" t="n">
        <x:f>IF(A38&gt;=1,"",B38*C38)</x:f>
        <x:v>3528000000</x:v>
      </x:c>
      <x:c r="E38" s="374" t="n">
        <x:f>IF(A38&gt;=1,"",C38/B38)</x:f>
        <x:v>1.9358024691358023e-7</x:v>
      </x:c>
      <x:c r="F38" s="374" t="n">
        <x:f>IF(ISNUMBER(E38),E38*$B$3/'币价'!$B$12,"")</x:f>
        <x:v>0.00014605838135001847</x:v>
      </x:c>
      <x:c r="G38" s="559" t="n">
        <x:f>IF(A38&gt;=1,"",E38*$B$4)</x:f>
        <x:v>193.58024691358023</x:v>
      </x:c>
      <x:c r="H38" s="562" t="n">
        <x:f>IF(A38&gt;=1,"",G38*$B$3)</x:f>
        <x:v>145936.27654320985</x:v>
      </x:c>
      <x:c r="I38" s="559" t="n">
        <x:f>IF(A38&gt;=1,"",C38-C37)</x:f>
        <x:v>0.9333333333333336</x:v>
      </x:c>
      <x:c r="J38" s="559" t="n">
        <x:f>IF(A38&gt;=1,"",I38*(1+$B$8))</x:f>
        <x:v>0.9356666666666669</x:v>
      </x:c>
      <x:c r="K38" s="560" t="n">
        <x:f>IF(A38&gt;=1,"不可达",$B$5+(C38-$D$5)*(1+$B$8))</x:f>
        <x:v>26.69456772006069</x:v>
      </x:c>
    </x:row>
    <x:row r="39">
      <x:c r="A39" s="58" t="n">
        <x:v>0.87</x:v>
      </x:c>
      <x:c r="B39" s="64" t="n">
        <x:f>IF(A39&gt;=1,"",IF(ABS(A39-$B$6)&lt;0.000001,$D$4,$B$4*(1-A39)))</x:f>
        <x:v>130000000</x:v>
      </x:c>
      <x:c r="C39" s="557" t="n">
        <x:f>IF(A39&gt;=1,"",IF(ABS(A39-$B$6)&lt;0.000001,$D$5,$D$6/B39))</x:f>
        <x:v>27.138461538461538</x:v>
      </x:c>
      <x:c r="D39" s="75" t="n">
        <x:f>IF(A39&gt;=1,"",B39*C39)</x:f>
        <x:v>3528000000</x:v>
      </x:c>
      <x:c r="E39" s="374" t="n">
        <x:f>IF(A39&gt;=1,"",C39/B39)</x:f>
        <x:v>2.0875739644970414e-7</x:v>
      </x:c>
      <x:c r="F39" s="374" t="n">
        <x:f>IF(ISNUMBER(E39),E39*$B$3/'币价'!$B$12,"")</x:f>
        <x:v>0.0001575097041481708</x:v>
      </x:c>
      <x:c r="G39" s="559" t="n">
        <x:f>IF(A39&gt;=1,"",E39*$B$4)</x:f>
        <x:v>208.75739644970415</x:v>
      </x:c>
      <x:c r="H39" s="562" t="n">
        <x:f>IF(A39&gt;=1,"",G39*$B$3)</x:f>
        <x:v>157378.02603550296</x:v>
      </x:c>
      <x:c r="I39" s="559" t="n">
        <x:f>IF(A39&gt;=1,"",C39-C38)</x:f>
        <x:v>1.005128205128205</x:v>
      </x:c>
      <x:c r="J39" s="559" t="n">
        <x:f>IF(A39&gt;=1,"",I39*(1+$B$8))</x:f>
        <x:v>1.0076410256410255</x:v>
      </x:c>
      <x:c r="K39" s="560" t="n">
        <x:f>IF(A39&gt;=1,"不可达",$B$5+(C39-$D$5)*(1+$B$8))</x:f>
        <x:v>27.70220874570171</x:v>
      </x:c>
    </x:row>
    <x:row r="40">
      <x:c r="A40" s="58" t="n">
        <x:v>0.875</x:v>
      </x:c>
      <x:c r="B40" s="64" t="n">
        <x:f>IF(A40&gt;=1,"",IF(ABS(A40-$B$6)&lt;0.000001,$D$4,$B$4*(1-A40)))</x:f>
        <x:v>125000000</x:v>
      </x:c>
      <x:c r="C40" s="557" t="n">
        <x:f>IF(A40&gt;=1,"",IF(ABS(A40-$B$6)&lt;0.000001,$D$5,$D$6/B40))</x:f>
        <x:v>28.224</x:v>
      </x:c>
      <x:c r="D40" s="75" t="n">
        <x:f>IF(A40&gt;=1,"",B40*C40)</x:f>
        <x:v>3528000000</x:v>
      </x:c>
      <x:c r="E40" s="374" t="n">
        <x:f>IF(A40&gt;=1,"",C40/B40)</x:f>
        <x:v>2.2579200000000001e-7</x:v>
      </x:c>
      <x:c r="F40" s="374" t="n">
        <x:f>IF(ISNUMBER(E40),E40*$B$3/'币价'!$B$12,"")</x:f>
        <x:v>0.00017036249600666157</x:v>
      </x:c>
      <x:c r="G40" s="559" t="n">
        <x:f>IF(A40&gt;=1,"",E40*$B$4)</x:f>
        <x:v>225.792</x:v>
      </x:c>
      <x:c r="H40" s="562" t="n">
        <x:f>IF(A40&gt;=1,"",G40*$B$3)</x:f>
        <x:v>170220.07296</x:v>
      </x:c>
      <x:c r="I40" s="559" t="n">
        <x:f>IF(A40&gt;=1,"",C40-C39)</x:f>
        <x:v>1.0855384615384622</x:v>
      </x:c>
      <x:c r="J40" s="559" t="n">
        <x:f>IF(A40&gt;=1,"",I40*(1+$B$8))</x:f>
        <x:v>1.0882523076923083</x:v>
      </x:c>
      <x:c r="K40" s="560" t="n">
        <x:f>IF(A40&gt;=1,"不可达",$B$5+(C40-$D$5)*(1+$B$8))</x:f>
        <x:v>28.790461053394022</x:v>
      </x:c>
    </x:row>
    <x:row r="41">
      <x:c r="A41" s="58" t="n">
        <x:v>0.88</x:v>
      </x:c>
      <x:c r="B41" s="64" t="n">
        <x:f>IF(A41&gt;=1,"",IF(ABS(A41-$B$6)&lt;0.000001,$D$4,$B$4*(1-A41)))</x:f>
        <x:v>120000000</x:v>
      </x:c>
      <x:c r="C41" s="557" t="n">
        <x:f>IF(A41&gt;=1,"",IF(ABS(A41-$B$6)&lt;0.000001,$D$5,$D$6/B41))</x:f>
        <x:v>29.4</x:v>
      </x:c>
      <x:c r="D41" s="75" t="n">
        <x:f>IF(A41&gt;=1,"",B41*C41)</x:f>
        <x:v>3528000000</x:v>
      </x:c>
      <x:c r="E41" s="374" t="n">
        <x:f>IF(A41&gt;=1,"",C41/B41)</x:f>
        <x:v>2.45e-7</x:v>
      </x:c>
      <x:c r="F41" s="374" t="n">
        <x:f>IF(ISNUMBER(E41),E41*$B$3/'币价'!$B$12,"")</x:f>
        <x:v>0.00018485513889611712</x:v>
      </x:c>
      <x:c r="G41" s="559" t="n">
        <x:f>IF(A41&gt;=1,"",E41*$B$4)</x:f>
        <x:v>244.99999999999997</x:v>
      </x:c>
      <x:c r="H41" s="562" t="n">
        <x:f>IF(A41&gt;=1,"",G41*$B$3)</x:f>
        <x:v>184700.59999999998</x:v>
      </x:c>
      <x:c r="I41" s="559" t="n">
        <x:f>IF(A41&gt;=1,"",C41-C40)</x:f>
        <x:v>1.1759999999999984</x:v>
      </x:c>
      <x:c r="J41" s="559" t="n">
        <x:f>IF(A41&gt;=1,"",I41*(1+$B$8))</x:f>
        <x:v>1.1789399999999983</x:v>
      </x:c>
      <x:c r="K41" s="560" t="n">
        <x:f>IF(A41&gt;=1,"不可达",$B$5+(C41-$D$5)*(1+$B$8))</x:f>
        <x:v>29.96940105339402</x:v>
      </x:c>
    </x:row>
    <x:row r="42">
      <x:c r="A42" s="58" t="n">
        <x:v>0.885</x:v>
      </x:c>
      <x:c r="B42" s="64" t="n">
        <x:f>IF(A42&gt;=1,"",IF(ABS(A42-$B$6)&lt;0.000001,$D$4,$B$4*(1-A42)))</x:f>
        <x:v>114999999.99999999</x:v>
      </x:c>
      <x:c r="C42" s="557" t="n">
        <x:f>IF(A42&gt;=1,"",IF(ABS(A42-$B$6)&lt;0.000001,$D$5,$D$6/B42))</x:f>
        <x:v>30.67826086956522</x:v>
      </x:c>
      <x:c r="D42" s="75" t="n">
        <x:f>IF(A42&gt;=1,"",B42*C42)</x:f>
        <x:v>3528000000</x:v>
      </x:c>
      <x:c r="E42" s="374" t="n">
        <x:f>IF(A42&gt;=1,"",C42/B42)</x:f>
        <x:v>2.667674858223063e-7</x:v>
      </x:c>
      <x:c r="F42" s="374" t="n">
        <x:f>IF(ISNUMBER(E42),E42*$B$3/'币价'!$B$12,"")</x:f>
        <x:v>0.00020127894140673628</x:v>
      </x:c>
      <x:c r="G42" s="559" t="n">
        <x:f>IF(A42&gt;=1,"",E42*$B$4)</x:f>
        <x:v>266.7674858223063</x:v>
      </x:c>
      <x:c r="H42" s="562" t="n">
        <x:f>IF(A42&gt;=1,"",G42*$B$3)</x:f>
        <x:v>201110.67221172026</x:v>
      </x:c>
      <x:c r="I42" s="559" t="n">
        <x:f>IF(A42&gt;=1,"",C42-C41)</x:f>
        <x:v>1.278260869565223</x:v>
      </x:c>
      <x:c r="J42" s="559" t="n">
        <x:f>IF(A42&gt;=1,"",I42*(1+$B$8))</x:f>
        <x:v>1.2814565217391358</x:v>
      </x:c>
      <x:c r="K42" s="560" t="n">
        <x:f>IF(A42&gt;=1,"不可达",$B$5+(C42-$D$5)*(1+$B$8))</x:f>
        <x:v>31.250857575133153</x:v>
      </x:c>
    </x:row>
    <x:row r="43">
      <x:c r="A43" s="58" t="n">
        <x:v>0.89</x:v>
      </x:c>
      <x:c r="B43" s="64" t="n">
        <x:f>IF(A43&gt;=1,"",IF(ABS(A43-$B$6)&lt;0.000001,$D$4,$B$4*(1-A43)))</x:f>
        <x:v>109999999.99999999</x:v>
      </x:c>
      <x:c r="C43" s="557" t="n">
        <x:f>IF(A43&gt;=1,"",IF(ABS(A43-$B$6)&lt;0.000001,$D$5,$D$6/B43))</x:f>
        <x:v>32.07272727272728</x:v>
      </x:c>
      <x:c r="D43" s="75" t="n">
        <x:f>IF(A43&gt;=1,"",B43*C43)</x:f>
        <x:v>3528000000</x:v>
      </x:c>
      <x:c r="E43" s="374" t="n">
        <x:f>IF(A43&gt;=1,"",C43/B43)</x:f>
        <x:v>2.915702479338844e-7</x:v>
      </x:c>
      <x:c r="F43" s="374" t="n">
        <x:f>IF(ISNUMBER(E43),E43*$B$3/'币价'!$B$12,"")</x:f>
        <x:v>0.00021999289257058576</x:v>
      </x:c>
      <x:c r="G43" s="559" t="n">
        <x:f>IF(A43&gt;=1,"",E43*$B$4)</x:f>
        <x:v>291.5702479338844</x:v>
      </x:c>
      <x:c r="H43" s="562" t="n">
        <x:f>IF(A43&gt;=1,"",G43*$B$3)</x:f>
        <x:v>219808.97851239677</x:v>
      </x:c>
      <x:c r="I43" s="559" t="n">
        <x:f>IF(A43&gt;=1,"",C43-C42)</x:f>
        <x:v>1.3944664031620562</x:v>
      </x:c>
      <x:c r="J43" s="559" t="n">
        <x:f>IF(A43&gt;=1,"",I43*(1+$B$8))</x:f>
        <x:v>1.3979525691699612</x:v>
      </x:c>
      <x:c r="K43" s="560" t="n">
        <x:f>IF(A43&gt;=1,"不可达",$B$5+(C43-$D$5)*(1+$B$8))</x:f>
        <x:v>32.64881014430311</x:v>
      </x:c>
    </x:row>
    <x:row r="44">
      <x:c r="A44" s="58" t="n">
        <x:v>0.895</x:v>
      </x:c>
      <x:c r="B44" s="64" t="n">
        <x:f>IF(A44&gt;=1,"",IF(ABS(A44-$B$6)&lt;0.000001,$D$4,$B$4*(1-A44)))</x:f>
        <x:v>104999999.99999999</x:v>
      </x:c>
      <x:c r="C44" s="557" t="n">
        <x:f>IF(A44&gt;=1,"",IF(ABS(A44-$B$6)&lt;0.000001,$D$5,$D$6/B44))</x:f>
        <x:v>33.6</x:v>
      </x:c>
      <x:c r="D44" s="75" t="n">
        <x:f>IF(A44&gt;=1,"",B44*C44)</x:f>
        <x:v>3527999999.9999995</x:v>
      </x:c>
      <x:c r="E44" s="374" t="n">
        <x:f>IF(A44&gt;=1,"",C44/B44)</x:f>
        <x:v>3.2000000000000006e-7</x:v>
      </x:c>
      <x:c r="F44" s="374" t="n">
        <x:f>IF(ISNUMBER(E44),E44*$B$3/'币价'!$B$12,"")</x:f>
        <x:v>0.00024144344672145918</x:v>
      </x:c>
      <x:c r="G44" s="559" t="n">
        <x:f>IF(A44&gt;=1,"",E44*$B$4)</x:f>
        <x:v>320.00000000000006</x:v>
      </x:c>
      <x:c r="H44" s="562" t="n">
        <x:f>IF(A44&gt;=1,"",G44*$B$3)</x:f>
        <x:v>241241.60000000003</x:v>
      </x:c>
      <x:c r="I44" s="559" t="n">
        <x:f>IF(A44&gt;=1,"",C44-C43)</x:f>
        <x:v>1.5272727272727238</x:v>
      </x:c>
      <x:c r="J44" s="559" t="n">
        <x:f>IF(A44&gt;=1,"",I44*(1+$B$8))</x:f>
        <x:v>1.5310909090909055</x:v>
      </x:c>
      <x:c r="K44" s="560" t="n">
        <x:f>IF(A44&gt;=1,"不可达",$B$5+(C44-$D$5)*(1+$B$8))</x:f>
        <x:v>34.17990105339402</x:v>
      </x:c>
    </x:row>
    <x:row r="45">
      <x:c r="A45" s="58" t="n">
        <x:v>0.9</x:v>
      </x:c>
      <x:c r="B45" s="64" t="n">
        <x:f>IF(A45&gt;=1,"",IF(ABS(A45-$B$6)&lt;0.000001,$D$4,$B$4*(1-A45)))</x:f>
        <x:v>99999999.99999999</x:v>
      </x:c>
      <x:c r="C45" s="557" t="n">
        <x:f>IF(A45&gt;=1,"",IF(ABS(A45-$B$6)&lt;0.000001,$D$5,$D$6/B45))</x:f>
        <x:v>35.28000000000001</x:v>
      </x:c>
      <x:c r="D45" s="75" t="n">
        <x:f>IF(A45&gt;=1,"",B45*C45)</x:f>
        <x:v>3528000000.0000005</x:v>
      </x:c>
      <x:c r="E45" s="374" t="n">
        <x:f>IF(A45&gt;=1,"",C45/B45)</x:f>
        <x:v>3.5280000000000014e-7</x:v>
      </x:c>
      <x:c r="F45" s="374" t="n">
        <x:f>IF(ISNUMBER(E45),E45*$B$3/'币价'!$B$12,"")</x:f>
        <x:v>0.0002661914000104088</x:v>
      </x:c>
      <x:c r="G45" s="559" t="n">
        <x:f>IF(A45&gt;=1,"",E45*$B$4)</x:f>
        <x:v>352.8000000000001</x:v>
      </x:c>
      <x:c r="H45" s="562" t="n">
        <x:f>IF(A45&gt;=1,"",G45*$B$3)</x:f>
        <x:v>265968.8640000001</x:v>
      </x:c>
      <x:c r="I45" s="559" t="n">
        <x:f>IF(A45&gt;=1,"",C45-C44)</x:f>
        <x:v>1.6800000000000068</x:v>
      </x:c>
      <x:c r="J45" s="559" t="n">
        <x:f>IF(A45&gt;=1,"",I45*(1+$B$8))</x:f>
        <x:v>1.6842000000000068</x:v>
      </x:c>
      <x:c r="K45" s="560" t="n">
        <x:f>IF(A45&gt;=1,"不可达",$B$5+(C45-$D$5)*(1+$B$8))</x:f>
        <x:v>35.86410105339403</x:v>
      </x:c>
    </x:row>
    <x:row r="46">
      <x:c r="A46" s="58" t="n">
        <x:v>0.905</x:v>
      </x:c>
      <x:c r="B46" s="64" t="n">
        <x:f>IF(A46&gt;=1,"",IF(ABS(A46-$B$6)&lt;0.000001,$D$4,$B$4*(1-A46)))</x:f>
        <x:v>94999999.99999997</x:v>
      </x:c>
      <x:c r="C46" s="557" t="n">
        <x:f>IF(A46&gt;=1,"",IF(ABS(A46-$B$6)&lt;0.000001,$D$5,$D$6/B46))</x:f>
        <x:v>37.13684210526317</x:v>
      </x:c>
      <x:c r="D46" s="75" t="n">
        <x:f>IF(A46&gt;=1,"",B46*C46)</x:f>
        <x:v>3528000000</x:v>
      </x:c>
      <x:c r="E46" s="374" t="n">
        <x:f>IF(A46&gt;=1,"",C46/B46)</x:f>
        <x:v>3.90914127423823e-7</x:v>
      </x:c>
      <x:c r="F46" s="374" t="n">
        <x:f>IF(ISNUMBER(E46),E46*$B$3/'币价'!$B$12,"")</x:f>
        <x:v>0.0002949489196791234</x:v>
      </x:c>
      <x:c r="G46" s="559" t="n">
        <x:f>IF(A46&gt;=1,"",E46*$B$4)</x:f>
        <x:v>390.914127423823</x:v>
      </x:c>
      <x:c r="H46" s="562" t="n">
        <x:f>IF(A46&gt;=1,"",G46*$B$3)</x:f>
        <x:v>294702.34238227166</x:v>
      </x:c>
      <x:c r="I46" s="559" t="n">
        <x:f>IF(A46&gt;=1,"",C46-C45)</x:f>
        <x:v>1.856842105263162</x:v>
      </x:c>
      <x:c r="J46" s="559" t="n">
        <x:f>IF(A46&gt;=1,"",I46*(1+$B$8))</x:f>
        <x:v>1.8614842105263198</x:v>
      </x:c>
      <x:c r="K46" s="560" t="n">
        <x:f>IF(A46&gt;=1,"不可达",$B$5+(C46-$D$5)*(1+$B$8))</x:f>
        <x:v>37.72558526392035</x:v>
      </x:c>
    </x:row>
    <x:row r="47">
      <x:c r="A47" s="58" t="n">
        <x:v>0.91</x:v>
      </x:c>
      <x:c r="B47" s="64" t="n">
        <x:f>IF(A47&gt;=1,"",IF(ABS(A47-$B$6)&lt;0.000001,$D$4,$B$4*(1-A47)))</x:f>
        <x:v>89999999.99999997</x:v>
      </x:c>
      <x:c r="C47" s="557" t="n">
        <x:f>IF(A47&gt;=1,"",IF(ABS(A47-$B$6)&lt;0.000001,$D$5,$D$6/B47))</x:f>
        <x:v>39.20000000000001</x:v>
      </x:c>
      <x:c r="D47" s="75" t="n">
        <x:f>IF(A47&gt;=1,"",B47*C47)</x:f>
        <x:v>3527999999.9999995</x:v>
      </x:c>
      <x:c r="E47" s="374" t="n">
        <x:f>IF(A47&gt;=1,"",C47/B47)</x:f>
        <x:v>4.355555555555558e-7</x:v>
      </x:c>
      <x:c r="F47" s="374" t="n">
        <x:f>IF(ISNUMBER(E47),E47*$B$3/'币价'!$B$12,"")</x:f>
        <x:v>0.00032863135803754174</x:v>
      </x:c>
      <x:c r="G47" s="559" t="n">
        <x:f>IF(A47&gt;=1,"",E47*$B$4)</x:f>
        <x:v>435.5555555555558</x:v>
      </x:c>
      <x:c r="H47" s="562" t="n">
        <x:f>IF(A47&gt;=1,"",G47*$B$3)</x:f>
        <x:v>328356.62222222245</x:v>
      </x:c>
      <x:c r="I47" s="559" t="n">
        <x:f>IF(A47&gt;=1,"",C47-C46)</x:f>
        <x:v>2.0631578947368396</x:v>
      </x:c>
      <x:c r="J47" s="559" t="n">
        <x:f>IF(A47&gt;=1,"",I47*(1+$B$8))</x:f>
        <x:v>2.0683157894736817</x:v>
      </x:c>
      <x:c r="K47" s="560" t="n">
        <x:f>IF(A47&gt;=1,"不可达",$B$5+(C47-$D$5)*(1+$B$8))</x:f>
        <x:v>39.79390105339403</x:v>
      </x:c>
    </x:row>
    <x:row r="48">
      <x:c r="A48" s="58" t="n">
        <x:v>0.915</x:v>
      </x:c>
      <x:c r="B48" s="64" t="n">
        <x:f>IF(A48&gt;=1,"",IF(ABS(A48-$B$6)&lt;0.000001,$D$4,$B$4*(1-A48)))</x:f>
        <x:v>84999999.99999997</x:v>
      </x:c>
      <x:c r="C48" s="557" t="n">
        <x:f>IF(A48&gt;=1,"",IF(ABS(A48-$B$6)&lt;0.000001,$D$5,$D$6/B48))</x:f>
        <x:v>41.50588235294119</x:v>
      </x:c>
      <x:c r="D48" s="75" t="n">
        <x:f>IF(A48&gt;=1,"",B48*C48)</x:f>
        <x:v>3528000000</x:v>
      </x:c>
      <x:c r="E48" s="374" t="n">
        <x:f>IF(A48&gt;=1,"",C48/B48)</x:f>
        <x:v>4.883044982698965e-7</x:v>
      </x:c>
      <x:c r="F48" s="374" t="n">
        <x:f>IF(ISNUMBER(E48),E48*$B$3/'币价'!$B$12,"")</x:f>
        <x:v>0.0003684310034746144</x:v>
      </x:c>
      <x:c r="G48" s="559" t="n">
        <x:f>IF(A48&gt;=1,"",E48*$B$4)</x:f>
        <x:v>488.3044982698965</x:v>
      </x:c>
      <x:c r="H48" s="562" t="n">
        <x:f>IF(A48&gt;=1,"",G48*$B$3)</x:f>
        <x:v>368122.99515570956</x:v>
      </x:c>
      <x:c r="I48" s="559" t="n">
        <x:f>IF(A48&gt;=1,"",C48-C47)</x:f>
        <x:v>2.3058823529411825</x:v>
      </x:c>
      <x:c r="J48" s="559" t="n">
        <x:f>IF(A48&gt;=1,"",I48*(1+$B$8))</x:f>
        <x:v>2.311647058823535</x:v>
      </x:c>
      <x:c r="K48" s="560" t="n">
        <x:f>IF(A48&gt;=1,"不可达",$B$5+(C48-$D$5)*(1+$B$8))</x:f>
        <x:v>42.10554811221756</x:v>
      </x:c>
    </x:row>
    <x:row r="49">
      <x:c r="A49" s="58" t="n">
        <x:v>0.92</x:v>
      </x:c>
      <x:c r="B49" s="64" t="n">
        <x:f>IF(A49&gt;=1,"",IF(ABS(A49-$B$6)&lt;0.000001,$D$4,$B$4*(1-A49)))</x:f>
        <x:v>79999999.99999996</x:v>
      </x:c>
      <x:c r="C49" s="557" t="n">
        <x:f>IF(A49&gt;=1,"",IF(ABS(A49-$B$6)&lt;0.000001,$D$5,$D$6/B49))</x:f>
        <x:v>44.10000000000002</x:v>
      </x:c>
      <x:c r="D49" s="75" t="n">
        <x:f>IF(A49&gt;=1,"",B49*C49)</x:f>
        <x:v>3528000000</x:v>
      </x:c>
      <x:c r="E49" s="374" t="n">
        <x:f>IF(A49&gt;=1,"",C49/B49)</x:f>
        <x:v>5.512500000000005e-7</x:v>
      </x:c>
      <x:c r="F49" s="374" t="n">
        <x:f>IF(ISNUMBER(E49),E49*$B$3/'币价'!$B$12,"")</x:f>
        <x:v>0.000415924062516264</x:v>
      </x:c>
      <x:c r="G49" s="559" t="n">
        <x:f>IF(A49&gt;=1,"",E49*$B$4)</x:f>
        <x:v>551.2500000000006</x:v>
      </x:c>
      <x:c r="H49" s="562" t="n">
        <x:f>IF(A49&gt;=1,"",G49*$B$3)</x:f>
        <x:v>415576.35000000044</x:v>
      </x:c>
      <x:c r="I49" s="559" t="n">
        <x:f>IF(A49&gt;=1,"",C49-C48)</x:f>
        <x:v>2.5941176470588303</x:v>
      </x:c>
      <x:c r="J49" s="559" t="n">
        <x:f>IF(A49&gt;=1,"",I49*(1+$B$8))</x:f>
        <x:v>2.600602941176477</x:v>
      </x:c>
      <x:c r="K49" s="560" t="n">
        <x:f>IF(A49&gt;=1,"不可达",$B$5+(C49-$D$5)*(1+$B$8))</x:f>
        <x:v>44.706151053394045</x:v>
      </x:c>
    </x:row>
    <x:row r="50">
      <x:c r="A50" s="58" t="n">
        <x:v>0.925</x:v>
      </x:c>
      <x:c r="B50" s="64" t="n">
        <x:f>IF(A50&gt;=1,"",IF(ABS(A50-$B$6)&lt;0.000001,$D$4,$B$4*(1-A50)))</x:f>
        <x:v>74999999.99999996</x:v>
      </x:c>
      <x:c r="C50" s="557" t="n">
        <x:f>IF(A50&gt;=1,"",IF(ABS(A50-$B$6)&lt;0.000001,$D$5,$D$6/B50))</x:f>
        <x:v>47.04000000000003</x:v>
      </x:c>
      <x:c r="D50" s="75" t="n">
        <x:f>IF(A50&gt;=1,"",B50*C50)</x:f>
        <x:v>3528000000</x:v>
      </x:c>
      <x:c r="E50" s="374" t="n">
        <x:f>IF(A50&gt;=1,"",C50/B50)</x:f>
        <x:v>6.272000000000007e-7</x:v>
      </x:c>
      <x:c r="F50" s="374" t="n">
        <x:f>IF(ISNUMBER(E50),E50*$B$3/'币价'!$B$12,"")</x:f>
        <x:v>0.00047322915557406045</x:v>
      </x:c>
      <x:c r="G50" s="559" t="n">
        <x:f>IF(A50&gt;=1,"",E50*$B$4)</x:f>
        <x:v>627.2000000000007</x:v>
      </x:c>
      <x:c r="H50" s="562" t="n">
        <x:f>IF(A50&gt;=1,"",G50*$B$3)</x:f>
        <x:v>472833.53600000055</x:v>
      </x:c>
      <x:c r="I50" s="559" t="n">
        <x:f>IF(A50&gt;=1,"",C50-C49)</x:f>
        <x:v>2.940000000000005</x:v>
      </x:c>
      <x:c r="J50" s="559" t="n">
        <x:f>IF(A50&gt;=1,"",I50*(1+$B$8))</x:f>
        <x:v>2.9473500000000046</x:v>
      </x:c>
      <x:c r="K50" s="560" t="n">
        <x:f>IF(A50&gt;=1,"不可达",$B$5+(C50-$D$5)*(1+$B$8))</x:f>
        <x:v>47.65350105339405</x:v>
      </x:c>
    </x:row>
    <x:row r="51">
      <x:c r="A51" s="58" t="n">
        <x:v>0.93</x:v>
      </x:c>
      <x:c r="B51" s="64" t="n">
        <x:f>IF(A51&gt;=1,"",IF(ABS(A51-$B$6)&lt;0.000001,$D$4,$B$4*(1-A51)))</x:f>
        <x:v>69999999.99999996</x:v>
      </x:c>
      <x:c r="C51" s="557" t="n">
        <x:f>IF(A51&gt;=1,"",IF(ABS(A51-$B$6)&lt;0.000001,$D$5,$D$6/B51))</x:f>
        <x:v>50.400000000000034</x:v>
      </x:c>
      <x:c r="D51" s="75" t="n">
        <x:f>IF(A51&gt;=1,"",B51*C51)</x:f>
        <x:v>3528000000</x:v>
      </x:c>
      <x:c r="E51" s="374" t="n">
        <x:f>IF(A51&gt;=1,"",C51/B51)</x:f>
        <x:v>7.200000000000009e-7</x:v>
      </x:c>
      <x:c r="F51" s="374" t="n">
        <x:f>IF(ISNUMBER(E51),E51*$B$3/'币价'!$B$12,"")</x:f>
        <x:v>0.0005432477551232837</x:v>
      </x:c>
      <x:c r="G51" s="559" t="n">
        <x:f>IF(A51&gt;=1,"",E51*$B$4)</x:f>
        <x:v>720.0000000000009</x:v>
      </x:c>
      <x:c r="H51" s="562" t="n">
        <x:f>IF(A51&gt;=1,"",G51*$B$3)</x:f>
        <x:v>542793.6000000007</x:v>
      </x:c>
      <x:c r="I51" s="559" t="n">
        <x:f>IF(A51&gt;=1,"",C51-C50)</x:f>
        <x:v>3.3600000000000065</x:v>
      </x:c>
      <x:c r="J51" s="559" t="n">
        <x:f>IF(A51&gt;=1,"",I51*(1+$B$8))</x:f>
        <x:v>3.3684000000000065</x:v>
      </x:c>
      <x:c r="K51" s="560" t="n">
        <x:f>IF(A51&gt;=1,"不可达",$B$5+(C51-$D$5)*(1+$B$8))</x:f>
        <x:v>51.02190105339405</x:v>
      </x:c>
    </x:row>
    <x:row r="52">
      <x:c r="A52" s="58" t="n">
        <x:v>0.935</x:v>
      </x:c>
      <x:c r="B52" s="64" t="n">
        <x:f>IF(A52&gt;=1,"",IF(ABS(A52-$B$6)&lt;0.000001,$D$4,$B$4*(1-A52)))</x:f>
        <x:v>64999999.99999995</x:v>
      </x:c>
      <x:c r="C52" s="557" t="n">
        <x:f>IF(A52&gt;=1,"",IF(ABS(A52-$B$6)&lt;0.000001,$D$5,$D$6/B52))</x:f>
        <x:v>54.27692307692312</x:v>
      </x:c>
      <x:c r="D52" s="75" t="n">
        <x:f>IF(A52&gt;=1,"",B52*C52)</x:f>
        <x:v>3528000000</x:v>
      </x:c>
      <x:c r="E52" s="374" t="n">
        <x:f>IF(A52&gt;=1,"",C52/B52)</x:f>
        <x:v>8.350295857988178e-7</x:v>
      </x:c>
      <x:c r="F52" s="374" t="n">
        <x:f>IF(ISNUMBER(E52),E52*$B$3/'币价'!$B$12,"")</x:f>
        <x:v>0.0006300388165926842</x:v>
      </x:c>
      <x:c r="G52" s="559" t="n">
        <x:f>IF(A52&gt;=1,"",E52*$B$4)</x:f>
        <x:v>835.0295857988178</x:v>
      </x:c>
      <x:c r="H52" s="562" t="n">
        <x:f>IF(A52&gt;=1,"",G52*$B$3)</x:f>
        <x:v>629512.1041420128</x:v>
      </x:c>
      <x:c r="I52" s="559" t="n">
        <x:f>IF(A52&gt;=1,"",C52-C51)</x:f>
        <x:v>3.8769230769230845</x:v>
      </x:c>
      <x:c r="J52" s="559" t="n">
        <x:f>IF(A52&gt;=1,"",I52*(1+$B$8))</x:f>
        <x:v>3.886615384615392</x:v>
      </x:c>
      <x:c r="K52" s="560" t="n">
        <x:f>IF(A52&gt;=1,"不可达",$B$5+(C52-$D$5)*(1+$B$8))</x:f>
        <x:v>54.90851643800945</x:v>
      </x:c>
    </x:row>
    <x:row r="53">
      <x:c r="A53" s="58" t="n">
        <x:v>0.94</x:v>
      </x:c>
      <x:c r="B53" s="64" t="n">
        <x:f>IF(A53&gt;=1,"",IF(ABS(A53-$B$6)&lt;0.000001,$D$4,$B$4*(1-A53)))</x:f>
        <x:v>60000000.00000005</x:v>
      </x:c>
      <x:c r="C53" s="557" t="n">
        <x:f>IF(A53&gt;=1,"",IF(ABS(A53-$B$6)&lt;0.000001,$D$5,$D$6/B53))</x:f>
        <x:v>58.79999999999995</x:v>
      </x:c>
      <x:c r="D53" s="75" t="n">
        <x:f>IF(A53&gt;=1,"",B53*C53)</x:f>
        <x:v>3528000000</x:v>
      </x:c>
      <x:c r="E53" s="374" t="n">
        <x:f>IF(A53&gt;=1,"",C53/B53)</x:f>
        <x:v>9.799999999999982e-7</x:v>
      </x:c>
      <x:c r="F53" s="374" t="n">
        <x:f>IF(ISNUMBER(E53),E53*$B$3/'币价'!$B$12,"")</x:f>
        <x:v>0.0007394205555844673</x:v>
      </x:c>
      <x:c r="G53" s="559" t="n">
        <x:f>IF(A53&gt;=1,"",E53*$B$4)</x:f>
        <x:v>979.9999999999983</x:v>
      </x:c>
      <x:c r="H53" s="562" t="n">
        <x:f>IF(A53&gt;=1,"",G53*$B$3)</x:f>
        <x:v>738802.3999999987</x:v>
      </x:c>
      <x:c r="I53" s="559" t="n">
        <x:f>IF(A53&gt;=1,"",C53-C52)</x:f>
        <x:v>4.523076923076829</x:v>
      </x:c>
      <x:c r="J53" s="559" t="n">
        <x:f>IF(A53&gt;=1,"",I53*(1+$B$8))</x:f>
        <x:v>4.53438461538452</x:v>
      </x:c>
      <x:c r="K53" s="560" t="n">
        <x:f>IF(A53&gt;=1,"不可达",$B$5+(C53-$D$5)*(1+$B$8))</x:f>
        <x:v>59.44290105339397</x:v>
      </x:c>
    </x:row>
    <x:row r="54">
      <x:c r="A54" s="58" t="n">
        <x:v>0.945</x:v>
      </x:c>
      <x:c r="B54" s="64" t="n">
        <x:f>IF(A54&gt;=1,"",IF(ABS(A54-$B$6)&lt;0.000001,$D$4,$B$4*(1-A54)))</x:f>
        <x:v>55000000.00000005</x:v>
      </x:c>
      <x:c r="C54" s="557" t="n">
        <x:f>IF(A54&gt;=1,"",IF(ABS(A54-$B$6)&lt;0.000001,$D$5,$D$6/B54))</x:f>
        <x:v>64.14545454545448</x:v>
      </x:c>
      <x:c r="D54" s="75" t="n">
        <x:f>IF(A54&gt;=1,"",B54*C54)</x:f>
        <x:v>3528000000</x:v>
      </x:c>
      <x:c r="E54" s="374" t="n">
        <x:f>IF(A54&gt;=1,"",C54/B54)</x:f>
        <x:v>0.000001166280991735535</x:v>
      </x:c>
      <x:c r="F54" s="374" t="n">
        <x:f>IF(ISNUMBER(E54),E54*$B$3/'币价'!$B$12,"")</x:f>
        <x:v>0.0008799715702823411</x:v>
      </x:c>
      <x:c r="G54" s="559" t="n">
        <x:f>IF(A54&gt;=1,"",E54*$B$4)</x:f>
        <x:v>1166.280991735535</x:v>
      </x:c>
      <x:c r="H54" s="562" t="n">
        <x:f>IF(A54&gt;=1,"",G54*$B$3)</x:f>
        <x:v>879235.9140495851</x:v>
      </x:c>
      <x:c r="I54" s="559" t="n">
        <x:f>IF(A54&gt;=1,"",C54-C53)</x:f>
        <x:v>5.345454545454537</x:v>
      </x:c>
      <x:c r="J54" s="559" t="n">
        <x:f>IF(A54&gt;=1,"",I54*(1+$B$8))</x:f>
        <x:v>5.358818181818173</x:v>
      </x:c>
      <x:c r="K54" s="560" t="n">
        <x:f>IF(A54&gt;=1,"不可达",$B$5+(C54-$D$5)*(1+$B$8))</x:f>
        <x:v>64.80171923521215</x:v>
      </x:c>
    </x:row>
    <x:row r="55">
      <x:c r="A55" s="58" t="n">
        <x:v>0.95</x:v>
      </x:c>
      <x:c r="B55" s="64" t="n">
        <x:f>IF(A55&gt;=1,"",IF(ABS(A55-$B$6)&lt;0.000001,$D$4,$B$4*(1-A55)))</x:f>
        <x:v>50000000.000000045</x:v>
      </x:c>
      <x:c r="C55" s="557" t="n">
        <x:f>IF(A55&gt;=1,"",IF(ABS(A55-$B$6)&lt;0.000001,$D$5,$D$6/B55))</x:f>
        <x:v>70.55999999999993</x:v>
      </x:c>
      <x:c r="D55" s="75" t="n">
        <x:f>IF(A55&gt;=1,"",B55*C55)</x:f>
        <x:v>3527999999.9999995</x:v>
      </x:c>
      <x:c r="E55" s="374" t="n">
        <x:f>IF(A55&gt;=1,"",C55/B55)</x:f>
        <x:v>0.0000014111999999999974</x:v>
      </x:c>
      <x:c r="F55" s="374" t="n">
        <x:f>IF(ISNUMBER(E55),E55*$B$3/'币价'!$B$12,"")</x:f>
        <x:v>0.0010647656000416328</x:v>
      </x:c>
      <x:c r="G55" s="559" t="n">
        <x:f>IF(A55&gt;=1,"",E55*$B$4)</x:f>
        <x:v>1411.1999999999973</x:v>
      </x:c>
      <x:c r="H55" s="562" t="n">
        <x:f>IF(A55&gt;=1,"",G55*$B$3)</x:f>
        <x:v>1063875.455999998</x:v>
      </x:c>
      <x:c r="I55" s="559" t="n">
        <x:f>IF(A55&gt;=1,"",C55-C54)</x:f>
        <x:v>6.414545454545447</x:v>
      </x:c>
      <x:c r="J55" s="559" t="n">
        <x:f>IF(A55&gt;=1,"",I55*(1+$B$8))</x:f>
        <x:v>6.43058181818181</x:v>
      </x:c>
      <x:c r="K55" s="560" t="n">
        <x:f>IF(A55&gt;=1,"不可达",$B$5+(C55-$D$5)*(1+$B$8))</x:f>
        <x:v>71.23230105339394</x:v>
      </x:c>
    </x:row>
    <x:row r="56">
      <x:c r="A56" s="58" t="n">
        <x:v>0.955</x:v>
      </x:c>
      <x:c r="B56" s="64" t="n">
        <x:f>IF(A56&gt;=1,"",IF(ABS(A56-$B$6)&lt;0.000001,$D$4,$B$4*(1-A56)))</x:f>
        <x:v>45000000.00000004</x:v>
      </x:c>
      <x:c r="C56" s="557" t="n">
        <x:f>IF(A56&gt;=1,"",IF(ABS(A56-$B$6)&lt;0.000001,$D$5,$D$6/B56))</x:f>
        <x:v>78.39999999999993</x:v>
      </x:c>
      <x:c r="D56" s="75" t="n">
        <x:f>IF(A56&gt;=1,"",B56*C56)</x:f>
        <x:v>3528000000</x:v>
      </x:c>
      <x:c r="E56" s="374" t="n">
        <x:f>IF(A56&gt;=1,"",C56/B56)</x:f>
        <x:v>0.0000017422222222222193</x:v>
      </x:c>
      <x:c r="F56" s="374" t="n">
        <x:f>IF(ISNUMBER(E56),E56*$B$3/'币价'!$B$12,"")</x:f>
        <x:v>0.001314525432150164</x:v>
      </x:c>
      <x:c r="G56" s="559" t="n">
        <x:f>IF(A56&gt;=1,"",E56*$B$4)</x:f>
        <x:v>1742.2222222222192</x:v>
      </x:c>
      <x:c r="H56" s="562" t="n">
        <x:f>IF(A56&gt;=1,"",G56*$B$3)</x:f>
        <x:v>1313426.4888888865</x:v>
      </x:c>
      <x:c r="I56" s="559" t="n">
        <x:f>IF(A56&gt;=1,"",C56-C55)</x:f>
        <x:v>7.840000000000003</x:v>
      </x:c>
      <x:c r="J56" s="559" t="n">
        <x:f>IF(A56&gt;=1,"",I56*(1+$B$8))</x:f>
        <x:v>7.859600000000003</x:v>
      </x:c>
      <x:c r="K56" s="560" t="n">
        <x:f>IF(A56&gt;=1,"不可达",$B$5+(C56-$D$5)*(1+$B$8))</x:f>
        <x:v>79.09190105339395</x:v>
      </x:c>
    </x:row>
    <x:row r="57">
      <x:c r="A57" s="58" t="n">
        <x:v>0.96</x:v>
      </x:c>
      <x:c r="B57" s="64" t="n">
        <x:f>IF(A57&gt;=1,"",IF(ABS(A57-$B$6)&lt;0.000001,$D$4,$B$4*(1-A57)))</x:f>
        <x:v>40000000.00000004</x:v>
      </x:c>
      <x:c r="C57" s="557" t="n">
        <x:f>IF(A57&gt;=1,"",IF(ABS(A57-$B$6)&lt;0.000001,$D$5,$D$6/B57))</x:f>
        <x:v>88.19999999999992</x:v>
      </x:c>
      <x:c r="D57" s="75" t="n">
        <x:f>IF(A57&gt;=1,"",B57*C57)</x:f>
        <x:v>3528000000</x:v>
      </x:c>
      <x:c r="E57" s="374" t="n">
        <x:f>IF(A57&gt;=1,"",C57/B57)</x:f>
        <x:v>0.000002204999999999996</x:v>
      </x:c>
      <x:c r="F57" s="374" t="n">
        <x:f>IF(ISNUMBER(E57),E57*$B$3/'币价'!$B$12,"")</x:f>
        <x:v>0.0016636962500650512</x:v>
      </x:c>
      <x:c r="G57" s="559" t="n">
        <x:f>IF(A57&gt;=1,"",E57*$B$4)</x:f>
        <x:v>2204.999999999996</x:v>
      </x:c>
      <x:c r="H57" s="562" t="n">
        <x:f>IF(A57&gt;=1,"",G57*$B$3)</x:f>
        <x:v>1662305.3999999969</x:v>
      </x:c>
      <x:c r="I57" s="559" t="n">
        <x:f>IF(A57&gt;=1,"",C57-C56)</x:f>
        <x:v>9.799999999999983</x:v>
      </x:c>
      <x:c r="J57" s="559" t="n">
        <x:f>IF(A57&gt;=1,"",I57*(1+$B$8))</x:f>
        <x:v>9.824499999999983</x:v>
      </x:c>
      <x:c r="K57" s="560" t="n">
        <x:f>IF(A57&gt;=1,"不可达",$B$5+(C57-$D$5)*(1+$B$8))</x:f>
        <x:v>88.91640105339394</x:v>
      </x:c>
    </x:row>
    <x:row r="58">
      <x:c r="A58" s="58" t="n">
        <x:v>0.965</x:v>
      </x:c>
      <x:c r="B58" s="64" t="n">
        <x:f>IF(A58&gt;=1,"",IF(ABS(A58-$B$6)&lt;0.000001,$D$4,$B$4*(1-A58)))</x:f>
        <x:v>35000000.00000003</x:v>
      </x:c>
      <x:c r="C58" s="557" t="n">
        <x:f>IF(A58&gt;=1,"",IF(ABS(A58-$B$6)&lt;0.000001,$D$5,$D$6/B58))</x:f>
        <x:v>100.79999999999991</x:v>
      </x:c>
      <x:c r="D58" s="75" t="n">
        <x:f>IF(A58&gt;=1,"",B58*C58)</x:f>
        <x:v>3528000000</x:v>
      </x:c>
      <x:c r="E58" s="374" t="n">
        <x:f>IF(A58&gt;=1,"",C58/B58)</x:f>
        <x:v>0.000002879999999999995</x:v>
      </x:c>
      <x:c r="F58" s="374" t="n">
        <x:f>IF(ISNUMBER(E58),E58*$B$3/'币价'!$B$12,"")</x:f>
        <x:v>0.002172991020493128</x:v>
      </x:c>
      <x:c r="G58" s="559" t="n">
        <x:f>IF(A58&gt;=1,"",E58*$B$4)</x:f>
        <x:v>2879.999999999995</x:v>
      </x:c>
      <x:c r="H58" s="562" t="n">
        <x:f>IF(A58&gt;=1,"",G58*$B$3)</x:f>
        <x:v>2171174.399999996</x:v>
      </x:c>
      <x:c r="I58" s="559" t="n">
        <x:f>IF(A58&gt;=1,"",C58-C57)</x:f>
        <x:v>12.599999999999994</x:v>
      </x:c>
      <x:c r="J58" s="559" t="n">
        <x:f>IF(A58&gt;=1,"",I58*(1+$B$8))</x:f>
        <x:v>12.631499999999994</x:v>
      </x:c>
      <x:c r="K58" s="560" t="n">
        <x:f>IF(A58&gt;=1,"不可达",$B$5+(C58-$D$5)*(1+$B$8))</x:f>
        <x:v>101.54790105339393</x:v>
      </x:c>
    </x:row>
    <x:row r="59">
      <x:c r="A59" s="58" t="n">
        <x:v>0.97</x:v>
      </x:c>
      <x:c r="B59" s="64" t="n">
        <x:f>IF(A59&gt;=1,"",IF(ABS(A59-$B$6)&lt;0.000001,$D$4,$B$4*(1-A59)))</x:f>
        <x:v>30000000.000000026</x:v>
      </x:c>
      <x:c r="C59" s="557" t="n">
        <x:f>IF(A59&gt;=1,"",IF(ABS(A59-$B$6)&lt;0.000001,$D$5,$D$6/B59))</x:f>
        <x:v>117.5999999999999</x:v>
      </x:c>
      <x:c r="D59" s="75" t="n">
        <x:f>IF(A59&gt;=1,"",B59*C59)</x:f>
        <x:v>3528000000</x:v>
      </x:c>
      <x:c r="E59" s="374" t="n">
        <x:f>IF(A59&gt;=1,"",C59/B59)</x:f>
        <x:v>0.000003919999999999993</x:v>
      </x:c>
      <x:c r="F59" s="374" t="n">
        <x:f>IF(ISNUMBER(E59),E59*$B$3/'币价'!$B$12,"")</x:f>
        <x:v>0.002957682222337869</x:v>
      </x:c>
      <x:c r="G59" s="559" t="n">
        <x:f>IF(A59&gt;=1,"",E59*$B$4)</x:f>
        <x:v>3919.999999999993</x:v>
      </x:c>
      <x:c r="H59" s="562" t="n">
        <x:f>IF(A59&gt;=1,"",G59*$B$3)</x:f>
        <x:v>2955209.599999995</x:v>
      </x:c>
      <x:c r="I59" s="559" t="n">
        <x:f>IF(A59&gt;=1,"",C59-C58)</x:f>
        <x:v>16.799999999999983</x:v>
      </x:c>
      <x:c r="J59" s="559" t="n">
        <x:f>IF(A59&gt;=1,"",I59*(1+$B$8))</x:f>
        <x:v>16.84199999999998</x:v>
      </x:c>
      <x:c r="K59" s="560" t="n">
        <x:f>IF(A59&gt;=1,"不可达",$B$5+(C59-$D$5)*(1+$B$8))</x:f>
        <x:v>118.38990105339391</x:v>
      </x:c>
    </x:row>
    <x:row r="60">
      <x:c r="A60" s="58" t="n">
        <x:v>0.975</x:v>
      </x:c>
      <x:c r="B60" s="64" t="n">
        <x:f>IF(A60&gt;=1,"",IF(ABS(A60-$B$6)&lt;0.000001,$D$4,$B$4*(1-A60)))</x:f>
        <x:v>25000000.000000022</x:v>
      </x:c>
      <x:c r="C60" s="557" t="n">
        <x:f>IF(A60&gt;=1,"",IF(ABS(A60-$B$6)&lt;0.000001,$D$5,$D$6/B60))</x:f>
        <x:v>141.11999999999986</x:v>
      </x:c>
      <x:c r="D60" s="75" t="n">
        <x:f>IF(A60&gt;=1,"",B60*C60)</x:f>
        <x:v>3527999999.9999995</x:v>
      </x:c>
      <x:c r="E60" s="374" t="n">
        <x:f>IF(A60&gt;=1,"",C60/B60)</x:f>
        <x:v>0.0000056447999999999896</x:v>
      </x:c>
      <x:c r="F60" s="374" t="n">
        <x:f>IF(ISNUMBER(E60),E60*$B$3/'币价'!$B$12,"")</x:f>
        <x:v>0.004259062400166531</x:v>
      </x:c>
      <x:c r="G60" s="559" t="n">
        <x:f>IF(A60&gt;=1,"",E60*$B$4)</x:f>
        <x:v>5644.799999999989</x:v>
      </x:c>
      <x:c r="H60" s="562" t="n">
        <x:f>IF(A60&gt;=1,"",G60*$B$3)</x:f>
        <x:v>4255501.823999992</x:v>
      </x:c>
      <x:c r="I60" s="559" t="n">
        <x:f>IF(A60&gt;=1,"",C60-C59)</x:f>
        <x:v>23.519999999999968</x:v>
      </x:c>
      <x:c r="J60" s="559" t="n">
        <x:f>IF(A60&gt;=1,"",I60*(1+$B$8))</x:f>
        <x:v>23.578799999999966</x:v>
      </x:c>
      <x:c r="K60" s="560" t="n">
        <x:f>IF(A60&gt;=1,"不可达",$B$5+(C60-$D$5)*(1+$B$8))</x:f>
        <x:v>141.9687010533939</x:v>
      </x:c>
    </x:row>
    <x:row r="61">
      <x:c r="A61" s="58" t="n">
        <x:v>0.98</x:v>
      </x:c>
      <x:c r="B61" s="64" t="n">
        <x:f>IF(A61&gt;=1,"",IF(ABS(A61-$B$6)&lt;0.000001,$D$4,$B$4*(1-A61)))</x:f>
        <x:v>20000000.00000002</x:v>
      </x:c>
      <x:c r="C61" s="557" t="n">
        <x:f>IF(A61&gt;=1,"",IF(ABS(A61-$B$6)&lt;0.000001,$D$5,$D$6/B61))</x:f>
        <x:v>176.39999999999984</x:v>
      </x:c>
      <x:c r="D61" s="75" t="n">
        <x:f>IF(A61&gt;=1,"",B61*C61)</x:f>
        <x:v>3528000000</x:v>
      </x:c>
      <x:c r="E61" s="374" t="n">
        <x:f>IF(A61&gt;=1,"",C61/B61)</x:f>
        <x:v>0.000008819999999999983</x:v>
      </x:c>
      <x:c r="F61" s="374" t="n">
        <x:f>IF(ISNUMBER(E61),E61*$B$3/'币价'!$B$12,"")</x:f>
        <x:v>0.006654785000260205</x:v>
      </x:c>
      <x:c r="G61" s="559" t="n">
        <x:f>IF(A61&gt;=1,"",E61*$B$4)</x:f>
        <x:v>8819.999999999984</x:v>
      </x:c>
      <x:c r="H61" s="562" t="n">
        <x:f>IF(A61&gt;=1,"",G61*$B$3)</x:f>
        <x:v>6649221.5999999875</x:v>
      </x:c>
      <x:c r="I61" s="559" t="n">
        <x:f>IF(A61&gt;=1,"",C61-C60)</x:f>
        <x:v>35.27999999999997</x:v>
      </x:c>
      <x:c r="J61" s="559" t="n">
        <x:f>IF(A61&gt;=1,"",I61*(1+$B$8))</x:f>
        <x:v>35.36819999999997</x:v>
      </x:c>
      <x:c r="K61" s="560" t="n">
        <x:f>IF(A61&gt;=1,"不可达",$B$5+(C61-$D$5)*(1+$B$8))</x:f>
        <x:v>177.33690105339383</x:v>
      </x:c>
    </x:row>
    <x:row r="62">
      <x:c r="A62" s="58" t="n">
        <x:v>0.985</x:v>
      </x:c>
      <x:c r="B62" s="64" t="n">
        <x:f>IF(A62&gt;=1,"",IF(ABS(A62-$B$6)&lt;0.000001,$D$4,$B$4*(1-A62)))</x:f>
        <x:v>15000000.000000013</x:v>
      </x:c>
      <x:c r="C62" s="557" t="n">
        <x:f>IF(A62&gt;=1,"",IF(ABS(A62-$B$6)&lt;0.000001,$D$5,$D$6/B62))</x:f>
        <x:v>235.1999999999998</x:v>
      </x:c>
      <x:c r="D62" s="75" t="n">
        <x:f>IF(A62&gt;=1,"",B62*C62)</x:f>
        <x:v>3528000000</x:v>
      </x:c>
      <x:c r="E62" s="374" t="n">
        <x:f>IF(A62&gt;=1,"",C62/B62)</x:f>
        <x:v>0.000015679999999999972</x:v>
      </x:c>
      <x:c r="F62" s="374" t="n">
        <x:f>IF(ISNUMBER(E62),E62*$B$3/'币价'!$B$12,"")</x:f>
        <x:v>0.011830728889351477</x:v>
      </x:c>
      <x:c r="G62" s="559" t="n">
        <x:f>IF(A62&gt;=1,"",E62*$B$4)</x:f>
        <x:v>15679.999999999973</x:v>
      </x:c>
      <x:c r="H62" s="562" t="n">
        <x:f>IF(A62&gt;=1,"",G62*$B$3)</x:f>
        <x:v>11820838.39999998</x:v>
      </x:c>
      <x:c r="I62" s="559" t="n">
        <x:f>IF(A62&gt;=1,"",C62-C61)</x:f>
        <x:v>58.799999999999955</x:v>
      </x:c>
      <x:c r="J62" s="559" t="n">
        <x:f>IF(A62&gt;=1,"",I62*(1+$B$8))</x:f>
        <x:v>58.94699999999995</x:v>
      </x:c>
      <x:c r="K62" s="560" t="n">
        <x:f>IF(A62&gt;=1,"不可达",$B$5+(C62-$D$5)*(1+$B$8))</x:f>
        <x:v>236.28390105339378</x:v>
      </x:c>
    </x:row>
    <x:row r="63">
      <x:c r="A63" s="58" t="n">
        <x:v>0.99</x:v>
      </x:c>
      <x:c r="B63" s="64" t="n">
        <x:f>IF(A63&gt;=1,"",IF(ABS(A63-$B$6)&lt;0.000001,$D$4,$B$4*(1-A63)))</x:f>
        <x:v>10000000.00000001</x:v>
      </x:c>
      <x:c r="C63" s="557" t="n">
        <x:f>IF(A63&gt;=1,"",IF(ABS(A63-$B$6)&lt;0.000001,$D$5,$D$6/B63))</x:f>
        <x:v>352.79999999999967</x:v>
      </x:c>
      <x:c r="D63" s="75" t="n">
        <x:f>IF(A63&gt;=1,"",B63*C63)</x:f>
        <x:v>3528000000</x:v>
      </x:c>
      <x:c r="E63" s="374" t="n">
        <x:f>IF(A63&gt;=1,"",C63/B63)</x:f>
        <x:v>0.00003527999999999993</x:v>
      </x:c>
      <x:c r="F63" s="374" t="n">
        <x:f>IF(ISNUMBER(E63),E63*$B$3/'币价'!$B$12,"")</x:f>
        <x:v>0.02661914000104082</x:v>
      </x:c>
      <x:c r="G63" s="559" t="n">
        <x:f>IF(A63&gt;=1,"",E63*$B$4)</x:f>
        <x:v>35279.999999999935</x:v>
      </x:c>
      <x:c r="H63" s="562" t="n">
        <x:f>IF(A63&gt;=1,"",G63*$B$3)</x:f>
        <x:v>26596886.39999995</x:v>
      </x:c>
      <x:c r="I63" s="559" t="n">
        <x:f>IF(A63&gt;=1,"",C63-C62)</x:f>
        <x:v>117.59999999999988</x:v>
      </x:c>
      <x:c r="J63" s="559" t="n">
        <x:f>IF(A63&gt;=1,"",I63*(1+$B$8))</x:f>
        <x:v>117.89399999999988</x:v>
      </x:c>
      <x:c r="K63" s="560" t="n">
        <x:f>IF(A63&gt;=1,"不可达",$B$5+(C63-$D$5)*(1+$B$8))</x:f>
        <x:v>354.1779010533937</x:v>
      </x:c>
    </x:row>
    <x:row r="64">
      <x:c r="A64" s="58" t="n">
        <x:v>0.995</x:v>
      </x:c>
      <x:c r="B64" s="64" t="n">
        <x:f>IF(A64&gt;=1,"",IF(ABS(A64-$B$6)&lt;0.000001,$D$4,$B$4*(1-A64)))</x:f>
        <x:v>5000000.000000005</x:v>
      </x:c>
      <x:c r="C64" s="557" t="n">
        <x:f>IF(A64&gt;=1,"",IF(ABS(A64-$B$6)&lt;0.000001,$D$5,$D$6/B64))</x:f>
        <x:v>705.5999999999993</x:v>
      </x:c>
      <x:c r="D64" s="75" t="n">
        <x:f>IF(A64&gt;=1,"",B64*C64)</x:f>
        <x:v>3528000000</x:v>
      </x:c>
      <x:c r="E64" s="374" t="n">
        <x:f>IF(A64&gt;=1,"",C64/B64)</x:f>
        <x:v>0.00014111999999999973</x:v>
      </x:c>
      <x:c r="F64" s="374" t="n">
        <x:f>IF(ISNUMBER(E64),E64*$B$3/'币价'!$B$12,"")</x:f>
        <x:v>0.10647656000416328</x:v>
      </x:c>
      <x:c r="G64" s="559" t="n">
        <x:f>IF(A64&gt;=1,"",E64*$B$4)</x:f>
        <x:v>141119.99999999974</x:v>
      </x:c>
      <x:c r="H64" s="562" t="n">
        <x:f>IF(A64&gt;=1,"",G64*$B$3)</x:f>
        <x:v>106387545.5999998</x:v>
      </x:c>
      <x:c r="I64" s="559" t="n">
        <x:f>IF(A64&gt;=1,"",C64-C63)</x:f>
        <x:v>352.79999999999967</x:v>
      </x:c>
      <x:c r="J64" s="559" t="n">
        <x:f>IF(A64&gt;=1,"",I64*(1+$B$8))</x:f>
        <x:v>353.6819999999997</x:v>
      </x:c>
      <x:c r="K64" s="560" t="n">
        <x:f>IF(A64&gt;=1,"不可达",$B$5+(C64-$D$5)*(1+$B$8))</x:f>
        <x:v>707.8599010533933</x:v>
      </x:c>
    </x:row>
    <x:row r="65">
      <x:c r="A65" s="58" t="n">
        <x:v>1</x:v>
      </x:c>
      <x:c r="B65" s="64" t="str">
        <x:f>IF(A65&gt;=1,"",IF(ABS(A65-$B$6)&lt;0.000001,$D$4,$B$4*(1-A65)))</x:f>
      </x:c>
      <x:c r="C65" s="557" t="str">
        <x:f>IF(A65&gt;=1,"",IF(ABS(A65-$B$6)&lt;0.000001,$D$5,$D$6/B65))</x:f>
      </x:c>
      <x:c r="D65" s="75" t="str">
        <x:f>IF(A65&gt;=1,"",B65*C65)</x:f>
      </x:c>
      <x:c r="E65" s="374" t="str">
        <x:f>IF(A65&gt;=1,"",C65/B65)</x:f>
      </x:c>
      <x:c r="F65" s="374" t="str">
        <x:f>IF(ISNUMBER(E65),E65*$B$3/'币价'!$B$12,"")</x:f>
      </x:c>
      <x:c r="G65" s="559" t="str">
        <x:f>IF(A65&gt;=1,"",E65*$B$4)</x:f>
      </x:c>
      <x:c r="H65" s="562" t="str">
        <x:f>IF(A65&gt;=1,"",G65*$B$3)</x:f>
      </x:c>
      <x:c r="I65" s="559" t="str">
        <x:f>IF(A65&gt;=1,"",C65-C64)</x:f>
      </x:c>
      <x:c r="J65" s="559" t="str">
        <x:f>IF(A65&gt;=1,"",I65*(1+$B$8))</x:f>
      </x:c>
      <x:c r="K65" s="560" t="str">
        <x:f>IF(A65&gt;=1,"不可达",$B$5+(C65-$D$5)*(1+$B$8))</x:f>
        <x:v>不可达</x:v>
      </x:c>
    </x:row>
    <x:row r="66">
      <x:c r="A66" s="59"/>
      <x:c r="B66" s="65"/>
      <x:c r="C66" s="555"/>
      <x:c r="D66" s="76"/>
      <x:c r="E66" s="82"/>
      <x:c r="F66" s="88"/>
      <x:c r="G66" s="555"/>
      <x:c r="H66" s="65"/>
      <x:c r="I66" s="555"/>
      <x:c r="J66" s="555"/>
      <x:c r="K66" s="555"/>
    </x:row>
    <x:row r="67">
      <x:c r="A67" s="59"/>
      <x:c r="B67" s="65"/>
      <x:c r="C67" s="17"/>
      <x:c r="D67" s="76"/>
      <x:c r="E67" s="82"/>
      <x:c r="F67" s="88"/>
      <x:c r="G67" s="88"/>
    </x:row>
    <x:row r="68">
      <x:c r="A68" s="59"/>
      <x:c r="B68" s="65"/>
      <x:c r="C68" s="17"/>
      <x:c r="D68" s="76"/>
      <x:c r="E68" s="82"/>
      <x:c r="F68" s="88"/>
      <x:c r="G68" s="88"/>
    </x:row>
    <x:row r="69">
      <x:c r="A69" s="59"/>
      <x:c r="B69" s="65"/>
      <x:c r="C69" s="17"/>
      <x:c r="D69" s="76"/>
      <x:c r="E69" s="82"/>
      <x:c r="F69" s="88"/>
      <x:c r="G69" s="88"/>
    </x:row>
    <x:row r="70">
      <x:c r="A70" s="59"/>
      <x:c r="B70" s="65"/>
      <x:c r="C70" s="17"/>
      <x:c r="D70" s="76"/>
      <x:c r="E70" s="82"/>
      <x:c r="F70" s="88"/>
      <x:c r="G70" s="88"/>
    </x:row>
    <x:row r="71" ht="28" customHeight="1">
      <x:c r="A71" s="61" t="str">
        <x:v>外盘回落参考 · 从 80% 控筹回落至 0%（每 10%）</x:v>
      </x:c>
      <x:c r="B71" s="67"/>
      <x:c r="C71" s="72"/>
      <x:c r="D71" s="78"/>
      <x:c r="E71" s="84"/>
      <x:c r="F71" s="90"/>
      <x:c r="G71" s="90"/>
      <x:c r="H71" s="26"/>
      <x:c r="I71" s="26"/>
      <x:c r="J71" s="26"/>
    </x:row>
    <x:row r="72" ht="28" customHeight="1">
      <x:c r="A72" s="60" t="str">
        <x:v>控筹率</x:v>
      </x:c>
      <x:c r="B72" s="66" t="str">
        <x:v>pooled token</x:v>
      </x:c>
      <x:c r="C72" s="71" t="str">
        <x:v>pooled BNB</x:v>
      </x:c>
      <x:c r="D72" s="77" t="str">
        <x:v>k</x:v>
      </x:c>
      <x:c r="E72" s="391" t="str">
        <x:v>价格 / BNB</x:v>
      </x:c>
      <x:c r="F72" s="391" t="str">
        <x:v>价格 / USDT</x:v>
      </x:c>
      <x:c r="G72" s="393" t="str">
        <x:v>市值 / BNB</x:v>
      </x:c>
      <x:c r="H72" s="393" t="str">
        <x:v>市值 / USD</x:v>
      </x:c>
      <x:c r="I72" s="331" t="str">
        <x:v>较 80% 回撤</x:v>
      </x:c>
      <x:c r="J72"/>
      <x:c r="K72"/>
    </x:row>
    <x:row r="73">
      <x:c r="A73" s="58" t="n">
        <x:v>0.8</x:v>
      </x:c>
      <x:c r="B73" s="64" t="n">
        <x:f>IF(ABS(A73-$B$6)&lt;0.000001,$D$4,$B$4*(1-A73))</x:f>
        <x:v>200000000</x:v>
      </x:c>
      <x:c r="C73" s="70" t="n">
        <x:f>IF(ABS(A73-$B$6)&lt;0.000001,$D$5,$D$6/B73)</x:f>
        <x:v>17.64</x:v>
      </x:c>
      <x:c r="D73" s="75" t="n">
        <x:f>B73*C73</x:f>
        <x:v>3528000000</x:v>
      </x:c>
      <x:c r="E73" s="374" t="n">
        <x:f>C73/B73</x:f>
        <x:v>8.820000000000001e-8</x:v>
      </x:c>
      <x:c r="F73" s="374" t="n">
        <x:f>IF(ISNUMBER(E73),E73*$B$3/'币价'!$B$12,"")</x:f>
        <x:v>0.00006654785000260217</x:v>
      </x:c>
      <x:c r="G73" s="379" t="n">
        <x:f>E73*$B$4</x:f>
        <x:v>88.2</x:v>
      </x:c>
      <x:c r="H73" s="379" t="n">
        <x:f>G73*$B$3</x:f>
        <x:v>66492.216</x:v>
      </x:c>
      <x:c r="I73" s="408" t="n">
        <x:f>1-G73/$G$73</x:f>
        <x:v>0</x:v>
      </x:c>
      <x:c r="J73"/>
      <x:c r="K73"/>
    </x:row>
    <x:row r="74">
      <x:c r="A74" s="58" t="n">
        <x:v>0.7</x:v>
      </x:c>
      <x:c r="B74" s="64" t="n">
        <x:f>IF(ABS(A74-$B$6)&lt;0.000001,$D$4,$B$4*(1-A74))</x:f>
        <x:v>300000000.00000006</x:v>
      </x:c>
      <x:c r="C74" s="557" t="n">
        <x:f>IF(ABS(A74-$B$6)&lt;0.000001,$D$5,$D$6/B74)</x:f>
        <x:v>11.759999999999998</x:v>
      </x:c>
      <x:c r="D74" s="75" t="n">
        <x:f>B74*C74</x:f>
        <x:v>3528000000</x:v>
      </x:c>
      <x:c r="E74" s="374" t="n">
        <x:f>C74/B74</x:f>
        <x:v>3.919999999999999e-8</x:v>
      </x:c>
      <x:c r="F74" s="374" t="n">
        <x:f>IF(ISNUMBER(E74),E74*$B$3/'币价'!$B$12,"")</x:f>
        <x:v>0.000029576822223378734</x:v>
      </x:c>
      <x:c r="G74" s="559" t="n">
        <x:f>E74*$B$4</x:f>
        <x:v>39.19999999999999</x:v>
      </x:c>
      <x:c r="H74" s="562" t="n">
        <x:f>G74*$B$3</x:f>
        <x:v>29552.09599999999</x:v>
      </x:c>
      <x:c r="I74" s="559" t="n">
        <x:f>1-G74/$G$73</x:f>
        <x:v>0.5555555555555557</x:v>
      </x:c>
      <x:c r="J74" s="555"/>
      <x:c r="K74" s="555"/>
    </x:row>
    <x:row r="75">
      <x:c r="A75" s="58" t="n">
        <x:v>0.6</x:v>
      </x:c>
      <x:c r="B75" s="64" t="n">
        <x:f>IF(ABS(A75-$B$6)&lt;0.000001,$D$4,$B$4*(1-A75))</x:f>
        <x:v>400000000</x:v>
      </x:c>
      <x:c r="C75" s="557" t="n">
        <x:f>IF(ABS(A75-$B$6)&lt;0.000001,$D$5,$D$6/B75)</x:f>
        <x:v>8.82</x:v>
      </x:c>
      <x:c r="D75" s="75" t="n">
        <x:f>B75*C75</x:f>
        <x:v>3528000000</x:v>
      </x:c>
      <x:c r="E75" s="374" t="n">
        <x:f>C75/B75</x:f>
        <x:v>2.2050000000000002e-8</x:v>
      </x:c>
      <x:c r="F75" s="374" t="n">
        <x:f>IF(ISNUMBER(E75),E75*$B$3/'币价'!$B$12,"")</x:f>
        <x:v>0.000016636962500650543</x:v>
      </x:c>
      <x:c r="G75" s="559" t="n">
        <x:f>E75*$B$4</x:f>
        <x:v>22.05</x:v>
      </x:c>
      <x:c r="H75" s="562" t="n">
        <x:f>G75*$B$3</x:f>
        <x:v>16623.054</x:v>
      </x:c>
      <x:c r="I75" s="559" t="n">
        <x:f>1-G75/$G$73</x:f>
        <x:v>0.75</x:v>
      </x:c>
      <x:c r="J75" s="555"/>
      <x:c r="K75" s="555"/>
    </x:row>
    <x:row r="76">
      <x:c r="A76" s="58" t="n">
        <x:v>0.5</x:v>
      </x:c>
      <x:c r="B76" s="64" t="n">
        <x:f>IF(ABS(A76-$B$6)&lt;0.000001,$D$4,$B$4*(1-A76))</x:f>
        <x:v>500000000</x:v>
      </x:c>
      <x:c r="C76" s="557" t="n">
        <x:f>IF(ABS(A76-$B$6)&lt;0.000001,$D$5,$D$6/B76)</x:f>
        <x:v>7.056</x:v>
      </x:c>
      <x:c r="D76" s="75" t="n">
        <x:f>B76*C76</x:f>
        <x:v>3528000000</x:v>
      </x:c>
      <x:c r="E76" s="374" t="n">
        <x:f>C76/B76</x:f>
        <x:v>1.4112000000000001e-8</x:v>
      </x:c>
      <x:c r="F76" s="374" t="n">
        <x:f>IF(ISNUMBER(E76),E76*$B$3/'币价'!$B$12,"")</x:f>
        <x:v>0.000010647656000416348</x:v>
      </x:c>
      <x:c r="G76" s="559" t="n">
        <x:f>E76*$B$4</x:f>
        <x:v>14.112</x:v>
      </x:c>
      <x:c r="H76" s="562" t="n">
        <x:f>G76*$B$3</x:f>
        <x:v>10638.75456</x:v>
      </x:c>
      <x:c r="I76" s="559" t="n">
        <x:f>1-G76/$G$73</x:f>
        <x:v>0.84</x:v>
      </x:c>
      <x:c r="J76" s="555"/>
      <x:c r="K76" s="555"/>
    </x:row>
    <x:row r="77">
      <x:c r="A77" s="58" t="n">
        <x:v>0.4</x:v>
      </x:c>
      <x:c r="B77" s="64" t="n">
        <x:f>IF(ABS(A77-$B$6)&lt;0.000001,$D$4,$B$4*(1-A77))</x:f>
        <x:v>600000000</x:v>
      </x:c>
      <x:c r="C77" s="557" t="n">
        <x:f>IF(ABS(A77-$B$6)&lt;0.000001,$D$5,$D$6/B77)</x:f>
        <x:v>5.88</x:v>
      </x:c>
      <x:c r="D77" s="75" t="n">
        <x:f>B77*C77</x:f>
        <x:v>3528000000</x:v>
      </x:c>
      <x:c r="E77" s="374" t="n">
        <x:f>C77/B77</x:f>
        <x:v>9.8e-9</x:v>
      </x:c>
      <x:c r="F77" s="374" t="n">
        <x:f>IF(ISNUMBER(E77),E77*$B$3/'币价'!$B$12,"")</x:f>
        <x:v>0.000007394205555844686</x:v>
      </x:c>
      <x:c r="G77" s="559" t="n">
        <x:f>E77*$B$4</x:f>
        <x:v>9.8</x:v>
      </x:c>
      <x:c r="H77" s="562" t="n">
        <x:f>G77*$B$3</x:f>
        <x:v>7388.024</x:v>
      </x:c>
      <x:c r="I77" s="559" t="n">
        <x:f>1-G77/$G$73</x:f>
        <x:v>0.8888888888888888</x:v>
      </x:c>
      <x:c r="J77" s="555"/>
      <x:c r="K77" s="555"/>
    </x:row>
    <x:row r="78">
      <x:c r="A78" s="58" t="n">
        <x:v>0.3</x:v>
      </x:c>
      <x:c r="B78" s="64" t="n">
        <x:f>IF(ABS(A78-$B$6)&lt;0.000001,$D$4,$B$4*(1-A78))</x:f>
        <x:v>700000000</x:v>
      </x:c>
      <x:c r="C78" s="557" t="n">
        <x:f>IF(ABS(A78-$B$6)&lt;0.000001,$D$5,$D$6/B78)</x:f>
        <x:v>5.04</x:v>
      </x:c>
      <x:c r="D78" s="75" t="n">
        <x:f>B78*C78</x:f>
        <x:v>3528000000</x:v>
      </x:c>
      <x:c r="E78" s="374" t="n">
        <x:f>C78/B78</x:f>
        <x:v>7.2e-9</x:v>
      </x:c>
      <x:c r="F78" s="374" t="n">
        <x:f>IF(ISNUMBER(E78),E78*$B$3/'币价'!$B$12,"")</x:f>
        <x:v>0.00000543247755123283</x:v>
      </x:c>
      <x:c r="G78" s="559" t="n">
        <x:f>E78*$B$4</x:f>
        <x:v>7.2</x:v>
      </x:c>
      <x:c r="H78" s="562" t="n">
        <x:f>G78*$B$3</x:f>
        <x:v>5427.936</x:v>
      </x:c>
      <x:c r="I78" s="559" t="n">
        <x:f>1-G78/$G$73</x:f>
        <x:v>0.9183673469387755</x:v>
      </x:c>
      <x:c r="J78" s="555"/>
      <x:c r="K78" s="555"/>
    </x:row>
    <x:row r="79">
      <x:c r="A79" s="58" t="n">
        <x:v>0.2</x:v>
      </x:c>
      <x:c r="B79" s="64" t="n">
        <x:f>IF(ABS(A79-$B$6)&lt;0.000001,$D$4,$B$4*(1-A79))</x:f>
        <x:v>800000000</x:v>
      </x:c>
      <x:c r="C79" s="557" t="n">
        <x:f>IF(ABS(A79-$B$6)&lt;0.000001,$D$5,$D$6/B79)</x:f>
        <x:v>4.41</x:v>
      </x:c>
      <x:c r="D79" s="75" t="n">
        <x:f>B79*C79</x:f>
        <x:v>3528000000</x:v>
      </x:c>
      <x:c r="E79" s="374" t="n">
        <x:f>C79/B79</x:f>
        <x:v>5.5125000000000006e-9</x:v>
      </x:c>
      <x:c r="F79" s="374" t="n">
        <x:f>IF(ISNUMBER(E79),E79*$B$3/'币价'!$B$12,"")</x:f>
        <x:v>0.000004159240625162636</x:v>
      </x:c>
      <x:c r="G79" s="559" t="n">
        <x:f>E79*$B$4</x:f>
        <x:v>5.5125</x:v>
      </x:c>
      <x:c r="H79" s="562" t="n">
        <x:f>G79*$B$3</x:f>
        <x:v>4155.7635</x:v>
      </x:c>
      <x:c r="I79" s="559" t="n">
        <x:f>1-G79/$G$73</x:f>
        <x:v>0.9375</x:v>
      </x:c>
      <x:c r="J79" s="555"/>
      <x:c r="K79" s="555"/>
    </x:row>
    <x:row r="80">
      <x:c r="A80" s="58" t="n">
        <x:v>0.1</x:v>
      </x:c>
      <x:c r="B80" s="64" t="n">
        <x:f>IF(ABS(A80-$B$6)&lt;0.000001,$D$4,$B$4*(1-A80))</x:f>
        <x:v>900000000</x:v>
      </x:c>
      <x:c r="C80" s="557" t="n">
        <x:f>IF(ABS(A80-$B$6)&lt;0.000001,$D$5,$D$6/B80)</x:f>
        <x:v>3.92</x:v>
      </x:c>
      <x:c r="D80" s="75" t="n">
        <x:f>B80*C80</x:f>
        <x:v>3528000000</x:v>
      </x:c>
      <x:c r="E80" s="374" t="n">
        <x:f>C80/B80</x:f>
        <x:v>4.355555555555555e-9</x:v>
      </x:c>
      <x:c r="F80" s="374" t="n">
        <x:f>IF(ISNUMBER(E80),E80*$B$3/'币价'!$B$12,"")</x:f>
        <x:v>0.0000032863135803754155</x:v>
      </x:c>
      <x:c r="G80" s="559" t="n">
        <x:f>E80*$B$4</x:f>
        <x:v>4.355555555555555</x:v>
      </x:c>
      <x:c r="H80" s="562" t="n">
        <x:f>G80*$B$3</x:f>
        <x:v>3283.5662222222218</x:v>
      </x:c>
      <x:c r="I80" s="559" t="n">
        <x:f>1-G80/$G$73</x:f>
        <x:v>0.9506172839506173</x:v>
      </x:c>
      <x:c r="J80" s="555"/>
      <x:c r="K80" s="555"/>
    </x:row>
    <x:row r="81">
      <x:c r="A81" s="62" t="n">
        <x:v>0</x:v>
      </x:c>
      <x:c r="B81" s="68" t="n">
        <x:f>IF(ABS(A81-$B$6)&lt;0.000001,$D$4,$B$4*(1-A81))</x:f>
        <x:v>1000000000</x:v>
      </x:c>
      <x:c r="C81" s="563" t="n">
        <x:f>IF(ABS(A81-$B$6)&lt;0.000001,$D$5,$D$6/B81)</x:f>
        <x:v>3.528</x:v>
      </x:c>
      <x:c r="D81" s="79" t="n">
        <x:f>B81*C81</x:f>
        <x:v>3528000000</x:v>
      </x:c>
      <x:c r="E81" s="412" t="n">
        <x:f>C81/B81</x:f>
        <x:v>3.5280000000000002e-9</x:v>
      </x:c>
      <x:c r="F81" s="412" t="n">
        <x:f>IF(ISNUMBER(E81),E81*$B$3/'币价'!$B$12,"")</x:f>
        <x:v>0.000002661914000104087</x:v>
      </x:c>
      <x:c r="G81" s="564" t="n">
        <x:f>E81*$B$4</x:f>
        <x:v>3.528</x:v>
      </x:c>
      <x:c r="H81" s="565" t="n">
        <x:f>G81*$B$3</x:f>
        <x:v>2659.68864</x:v>
      </x:c>
      <x:c r="I81" s="564" t="n">
        <x:f>1-G81/$G$73</x:f>
        <x:v>0.96</x:v>
      </x:c>
      <x:c r="J81" s="564" t="str">
        <x:v>沉没成本</x:v>
      </x:c>
      <x:c r="K81" s="564" t="n">
        <x:f>C81</x:f>
        <x:v>3.528</x:v>
      </x:c>
    </x:row>
    <x:row r="82">
      <x:c r="B82" s="65" t="n">
        <x:f>IF(ABS(A82-$B$6)&lt;0.000001,$D$4,$B$4*(1-A82))</x:f>
        <x:v>1000000000</x:v>
      </x:c>
      <x:c r="C82" s="555"/>
      <x:c r="G82" s="555"/>
      <x:c r="H82" s="65"/>
      <x:c r="I82" s="555"/>
      <x:c r="J82" s="555"/>
      <x:c r="K82" s="555"/>
    </x:row>
  </x:sheetData>
  <x:mergeCells>
    <x:mergeCell ref="A1:J1"/>
    <x:mergeCell ref="A71:J7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0" hidden="0" customWidth="1"/>
    <x:col min="7" max="7" width="16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4" t="str">
        <x:v>Four.meme / ASTER · 发射控筹模型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55" t="str">
        <x:v>Quote USD 价格</x:v>
      </x:c>
      <x:c r="B3" s="50" t="n">
        <x:f>'币价'!$B$6</x:f>
        <x:v>0.754061</x:v>
      </x:c>
      <x:c r="C3" s="56" t="str">
        <x:v>内盘 k</x:v>
      </x:c>
      <x:c r="D3" s="51" t="n">
        <x:v>1838995507294.99</x:v>
      </x:c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s="55" t="str">
        <x:v>total supply</x:v>
      </x:c>
      <x:c r="B4" s="51" t="n">
        <x:v>1000000000</x:v>
      </x:c>
      <x:c r="C4" s="56" t="str">
        <x:v>外盘初始 token</x:v>
      </x:c>
      <x:c r="D4" s="51" t="n">
        <x:v>200000000</x:v>
      </x:c>
      <x:c r="G4" t="str">
        <x:v>单地址 Gas / BNB</x:v>
      </x:c>
      <x:c r="H4" s="99" t="n">
        <x:v>0.01</x:v>
      </x:c>
      <x:c r="I4" t="str">
        <x:v>Holder 地址</x:v>
      </x:c>
      <x:c r="J4" s="100" t="n">
        <x:v>150</x:v>
      </x:c>
    </x:row>
    <x:row r="5">
      <x:c r="A5" s="55" t="str">
        <x:v>内盘毕业所需</x:v>
      </x:c>
      <x:c r="B5" s="51" t="n">
        <x:f>K21</x:f>
        <x:v>5050.003631202497</x:v>
      </x:c>
      <x:c r="C5" s="56" t="str">
        <x:v>外盘初始 Quote</x:v>
      </x:c>
      <x:c r="D5" s="51" t="n">
        <x:v>4900</x:v>
      </x:c>
      <x:c r="G5" t="str">
        <x:v>资金预留 / ASTER</x:v>
      </x:c>
      <x:c r="H5" s="553" t="n">
        <x:f>IF($B$3&gt;0,ROUNDUP('币价'!$B$15/($B$3/'币价'!$B$12),0),"")</x:f>
        <x:v>13251</x:v>
      </x:c>
      <x:c r="I5" t="str">
        <x:v>默认目标控筹率</x:v>
      </x:c>
      <x:c r="J5" s="102" t="n">
        <x:v>0.94</x:v>
      </x:c>
    </x:row>
    <x:row r="6">
      <x:c r="A6" s="55" t="str">
        <x:v>毕业控筹率</x:v>
      </x:c>
      <x:c r="B6" s="52" t="n">
        <x:v>0.8</x:v>
      </x:c>
      <x:c r="C6" s="56" t="str">
        <x:v>外盘 k</x:v>
      </x:c>
      <x:c r="D6" s="51" t="n">
        <x:v>980000000000</x:v>
      </x:c>
      <x:c r="G6" t="str">
        <x:v>洗筹口径</x:v>
      </x:c>
      <x:c r="H6" s="95" t="str">
        <x:v>FDV × 外盘费率 × 2</x:v>
      </x:c>
      <x:c r="I6" t="str">
        <x:v>目标 +1% 理论资金</x:v>
      </x:c>
      <x:c r="J6" s="566" t="n">
        <x:f>INDEX($K$25:$K$65,ROUND(($J$5+1%-80%)/0.5%,0)+1)</x:f>
        <x:v>19786.75363120248</x:v>
      </x:c>
    </x:row>
    <x:row r="7">
      <x:c r="A7" s="55" t="str">
        <x:v>内盘交易手续费</x:v>
      </x:c>
      <x:c r="B7" s="52" t="n">
        <x:v>0.01</x:v>
      </x:c>
      <x:c r="C7"/>
      <x:c r="D7"/>
      <x:c r="G7" t="str">
        <x:v>内盘地址 / 套</x:v>
      </x:c>
      <x:c r="H7" s="100" t="n">
        <x:v>20</x:v>
      </x:c>
      <x:c r="I7" t="str">
        <x:v>额外内盘资金</x:v>
      </x:c>
      <x:c r="J7" s="566" t="n">
        <x:f>$B$5*($H$8-1)</x:f>
        <x:v>5050.003631202497</x:v>
      </x:c>
    </x:row>
    <x:row r="8">
      <x:c r="A8" s="55" t="str">
        <x:v>外盘交易手续费</x:v>
      </x:c>
      <x:c r="B8" s="52" t="n">
        <x:v>0.0025</x:v>
      </x:c>
      <x:c r="C8"/>
      <x:c r="D8"/>
      <x:c r="G8" t="str">
        <x:v>内盘套数</x:v>
      </x:c>
      <x:c r="H8" s="100" t="n">
        <x:v>2</x:v>
      </x:c>
      <x:c r="I8" t="str">
        <x:v>动态洗筹手续费</x:v>
      </x:c>
      <x:c r="J8" s="566" t="n">
        <x:f>INDEX($G$25:$G$65,ROUND(($J$5+1%-80%)/0.5%,0)+1)*$H$9*2</x:f>
        <x:v>1959.9999999999966</x:v>
      </x:c>
    </x:row>
    <x:row r="9">
      <x:c r="A9" s="55" t="str">
        <x:v>内盘初始 token</x:v>
      </x:c>
      <x:c r="B9" s="51" t="n">
        <x:v>1073972603</x:v>
      </x:c>
      <x:c r="C9"/>
      <x:c r="D9"/>
      <x:c r="G9" t="str">
        <x:v>外盘费率</x:v>
      </x:c>
      <x:c r="H9" s="101" t="n">
        <x:f>$B$8</x:f>
        <x:v>0.0025</x:v>
      </x:c>
      <x:c r="I9" t="str">
        <x:v>建议 Quote 资金</x:v>
      </x:c>
      <x:c r="J9" s="566" t="n">
        <x:f>IF(AND(ISNUMBER($J$6),ISNUMBER($H$5)),SUM(J6:J8)+$H$5,"")</x:f>
        <x:v>40047.75726240497</x:v>
      </x:c>
    </x:row>
    <x:row r="10">
      <x:c r="A10" s="55" t="str">
        <x:v>内盘初始 Quote</x:v>
      </x:c>
      <x:c r="B10" s="51" t="n">
        <x:v>1712.33</x:v>
      </x:c>
      <x:c r="C10"/>
      <x:c r="D10"/>
      <x:c r="G10" t="str">
        <x:v>滑点预留</x:v>
      </x:c>
      <x:c r="H10" s="102" t="n">
        <x:v>0</x:v>
      </x:c>
      <x:c r="I10" t="str">
        <x:v>Gas 储备 / BNB</x:v>
      </x:c>
      <x:c r="J10" s="554" t="n">
        <x:f>($H$7*$H$8+$J$3+$J$4)*$H$4</x:f>
        <x:v>2.2</x:v>
      </x:c>
    </x:row>
    <x:row r="11">
      <x:c r="J11" s="65"/>
    </x:row>
    <x:row r="12" ht="34" customHeight="1">
      <x:c r="A12" s="10" t="str">
        <x:v>控筹率</x:v>
      </x:c>
      <x:c r="B12" s="10" t="str">
        <x:v>pooled token</x:v>
      </x:c>
      <x:c r="C12" s="10" t="str">
        <x:v>pooled ASTER</x:v>
      </x:c>
      <x:c r="D12" s="10" t="str">
        <x:v>k</x:v>
      </x:c>
      <x:c r="E12" s="331" t="str">
        <x:v>价格 / ASTER</x:v>
      </x:c>
      <x:c r="F12" s="331" t="str">
        <x:v>价格 / USDT</x:v>
      </x:c>
      <x:c r="G12" s="331" t="str">
        <x:v>市值 / ASTER</x:v>
      </x:c>
      <x:c r="H12" s="331" t="str">
        <x:v>市值 / USD</x:v>
      </x:c>
      <x:c r="I12" s="331" t="str">
        <x:v>所需 ASTER</x:v>
      </x:c>
      <x:c r="J12" s="331" t="str">
        <x:v>加手续费</x:v>
      </x:c>
      <x:c r="K12" s="344" t="str">
        <x:v>理论累计所需</x:v>
      </x:c>
    </x:row>
    <x:row r="13">
      <x:c r="A13" s="57" t="n">
        <x:v>0</x:v>
      </x:c>
      <x:c r="B13" s="63" t="n">
        <x:f>$B$9-A13*$B$4</x:f>
        <x:v>1073972603</x:v>
      </x:c>
      <x:c r="C13" s="63" t="n">
        <x:f>$D$3/B13</x:f>
        <x:v>1712.33</x:v>
      </x:c>
      <x:c r="D13" s="74" t="n">
        <x:f>B13*C13</x:f>
        <x:v>1838995507294.99</x:v>
      </x:c>
      <x:c r="E13" s="348" t="n">
        <x:f>C13/B13</x:f>
        <x:v>0.0000015943889026748291</x:v>
      </x:c>
      <x:c r="F13" s="348" t="n">
        <x:f>IF(ISNUMBER(E13),E13*$B$3/'币价'!$B$12,"")</x:f>
        <x:v>0.0000012032724260880939</x:v>
      </x:c>
      <x:c r="G13" s="561" t="n">
        <x:f>E13*$B$4</x:f>
        <x:v>1594.388902674829</x:v>
      </x:c>
      <x:c r="H13" s="561" t="n">
        <x:f>G13*$B$3</x:f>
        <x:v>1202.2664903398843</x:v>
      </x:c>
      <x:c r="I13" s="561" t="n">
        <x:f>0</x:f>
        <x:v>0</x:v>
      </x:c>
      <x:c r="J13" s="561" t="n">
        <x:f>I13*(1+$B$7)</x:f>
        <x:v>0</x:v>
      </x:c>
      <x:c r="K13" s="567" t="n">
        <x:f>0</x:f>
        <x:v>0</x:v>
      </x:c>
    </x:row>
    <x:row r="14">
      <x:c r="A14" s="58" t="n">
        <x:v>0.1</x:v>
      </x:c>
      <x:c r="B14" s="64" t="n">
        <x:f>$B$9-A14*$B$4</x:f>
        <x:v>973972603</x:v>
      </x:c>
      <x:c r="C14" s="64" t="n">
        <x:f>$D$3/B14</x:f>
        <x:v>1888.1388466478147</x:v>
      </x:c>
      <x:c r="D14" s="75" t="n">
        <x:f>B14*C14</x:f>
        <x:v>1838995507294.99</x:v>
      </x:c>
      <x:c r="E14" s="374" t="n">
        <x:f>C14/B14</x:f>
        <x:v>0.0000019385954397813947</x:v>
      </x:c>
      <x:c r="F14" s="374" t="n">
        <x:f>IF(ISNUMBER(E14),E14*$B$3/'币价'!$B$12,"")</x:f>
        <x:v>0.0000014630423192959295</x:v>
      </x:c>
      <x:c r="G14" s="562" t="n">
        <x:f>E14*$B$4</x:f>
        <x:v>1938.5954397813948</x:v>
      </x:c>
      <x:c r="H14" s="562" t="n">
        <x:f>G14*$B$3</x:f>
        <x:v>1461.8192159169982</x:v>
      </x:c>
      <x:c r="I14" s="562" t="n">
        <x:f>C14-C13</x:f>
        <x:v>175.8088466478148</x:v>
      </x:c>
      <x:c r="J14" s="562" t="n">
        <x:f>I14*(1+$B$7)</x:f>
        <x:v>177.56693511429293</x:v>
      </x:c>
      <x:c r="K14" s="567" t="n">
        <x:f>K13+J14</x:f>
        <x:v>177.56693511429293</x:v>
      </x:c>
    </x:row>
    <x:row r="15">
      <x:c r="A15" s="58" t="n">
        <x:v>0.2</x:v>
      </x:c>
      <x:c r="B15" s="64" t="n">
        <x:f>$B$9-A15*$B$4</x:f>
        <x:v>873972603</x:v>
      </x:c>
      <x:c r="C15" s="64" t="n">
        <x:f>$D$3/B15</x:f>
        <x:v>2104.1798117955304</x:v>
      </x:c>
      <x:c r="D15" s="75" t="n">
        <x:f>B15*C15</x:f>
        <x:v>1838995507294.9897</x:v>
      </x:c>
      <x:c r="E15" s="374" t="n">
        <x:f>C15/B15</x:f>
        <x:v>0.00000240760385917444</x:v>
      </x:c>
      <x:c r="F15" s="374" t="n">
        <x:f>IF(ISNUMBER(E15),E15*$B$3/'币价'!$B$12,"")</x:f>
        <x:v>0.0000018169991849715734</x:v>
      </x:c>
      <x:c r="G15" s="562" t="n">
        <x:f>E15*$B$4</x:f>
        <x:v>2407.60385917444</x:v>
      </x:c>
      <x:c r="H15" s="562" t="n">
        <x:f>G15*$B$3</x:f>
        <x:v>1815.4801736529373</x:v>
      </x:c>
      <x:c r="I15" s="562" t="n">
        <x:f>C15-C14</x:f>
        <x:v>216.04096514771572</x:v>
      </x:c>
      <x:c r="J15" s="562" t="n">
        <x:f>I15*(1+$B$7)</x:f>
        <x:v>218.20137479919288</x:v>
      </x:c>
      <x:c r="K15" s="567" t="n">
        <x:f>K14+J15</x:f>
        <x:v>395.76830991348584</x:v>
      </x:c>
    </x:row>
    <x:row r="16">
      <x:c r="A16" s="58" t="n">
        <x:v>0.3</x:v>
      </x:c>
      <x:c r="B16" s="64" t="n">
        <x:f>$B$9-A16*$B$4</x:f>
        <x:v>773972603</x:v>
      </x:c>
      <x:c r="C16" s="64" t="n">
        <x:f>$D$3/B16</x:f>
        <x:v>2376.0472918122014</x:v>
      </x:c>
      <x:c r="D16" s="75" t="n">
        <x:f>B16*C16</x:f>
        <x:v>1838995507294.99</x:v>
      </x:c>
      <x:c r="E16" s="374" t="n">
        <x:f>C16/B16</x:f>
        <x:v>0.0000030699372078577327</x:v>
      </x:c>
      <x:c r="F16" s="374" t="n">
        <x:f>IF(ISNUMBER(E16),E16*$B$3/'币价'!$B$12,"")</x:f>
        <x:v>0.0000023168568131902365</x:v>
      </x:c>
      <x:c r="G16" s="562" t="n">
        <x:f>E16*$B$4</x:f>
        <x:v>3069.9372078577326</x:v>
      </x:c>
      <x:c r="H16" s="562" t="n">
        <x:f>G16*$B$3</x:f>
        <x:v>2314.9199208944096</x:v>
      </x:c>
      <x:c r="I16" s="562" t="n">
        <x:f>C16-C15</x:f>
        <x:v>271.8674800166709</x:v>
      </x:c>
      <x:c r="J16" s="562" t="n">
        <x:f>I16*(1+$B$7)</x:f>
        <x:v>274.5861548168376</x:v>
      </x:c>
      <x:c r="K16" s="567" t="n">
        <x:f>K15+J16</x:f>
        <x:v>670.3544647303235</x:v>
      </x:c>
    </x:row>
    <x:row r="17">
      <x:c r="A17" s="58" t="n">
        <x:v>0.4</x:v>
      </x:c>
      <x:c r="B17" s="64" t="n">
        <x:f>$B$9-A17*$B$4</x:f>
        <x:v>673972603</x:v>
      </x:c>
      <x:c r="C17" s="64" t="n">
        <x:f>$D$3/B17</x:f>
        <x:v>2728.5908939164847</x:v>
      </x:c>
      <x:c r="D17" s="75" t="n">
        <x:f>B17*C17</x:f>
        <x:v>1838995507294.99</x:v>
      </x:c>
      <x:c r="E17" s="374" t="n">
        <x:f>C17/B17</x:f>
        <x:v>0.000004048519007702877</x:v>
      </x:c>
      <x:c r="F17" s="374" t="n">
        <x:f>IF(ISNUMBER(E17),E17*$B$3/'币价'!$B$12,"")</x:f>
        <x:v>0.0000030553845929871763</x:v>
      </x:c>
      <x:c r="G17" s="562" t="n">
        <x:f>E17*$B$4</x:f>
        <x:v>4048.519007702877</x:v>
      </x:c>
      <x:c r="H17" s="562" t="n">
        <x:f>G17*$B$3</x:f>
        <x:v>3052.830291467439</x:v>
      </x:c>
      <x:c r="I17" s="562" t="n">
        <x:f>C17-C16</x:f>
        <x:v>352.5436021042833</x:v>
      </x:c>
      <x:c r="J17" s="562" t="n">
        <x:f>I17*(1+$B$7)</x:f>
        <x:v>356.06903812532613</x:v>
      </x:c>
      <x:c r="K17" s="567" t="n">
        <x:f>K16+J17</x:f>
        <x:v>1026.4235028556495</x:v>
      </x:c>
    </x:row>
    <x:row r="18">
      <x:c r="A18" s="58" t="n">
        <x:v>0.5</x:v>
      </x:c>
      <x:c r="B18" s="64" t="n">
        <x:f>$B$9-A18*$B$4</x:f>
        <x:v>573972603</x:v>
      </x:c>
      <x:c r="C18" s="64" t="n">
        <x:f>$D$3/B18</x:f>
        <x:v>3203.977851352236</x:v>
      </x:c>
      <x:c r="D18" s="75" t="n">
        <x:f>B18*C18</x:f>
        <x:v>1838995507294.99</x:v>
      </x:c>
      <x:c r="E18" s="374" t="n">
        <x:f>C18/B18</x:f>
        <x:v>0.000005582109380492916</x:v>
      </x:c>
      <x:c r="F18" s="374" t="n">
        <x:f>IF(ISNUMBER(E18),E18*$B$3/'币价'!$B$12,"")</x:f>
        <x:v>0.000004212772859674556</x:v>
      </x:c>
      <x:c r="G18" s="562" t="n">
        <x:f>E18*$B$4</x:f>
        <x:v>5582.109380492916</x:v>
      </x:c>
      <x:c r="H18" s="562" t="n">
        <x:f>G18*$B$3</x:f>
        <x:v>4209.250981563869</x:v>
      </x:c>
      <x:c r="I18" s="562" t="n">
        <x:f>C18-C17</x:f>
        <x:v>475.38695743575136</x:v>
      </x:c>
      <x:c r="J18" s="562" t="n">
        <x:f>I18*(1+$B$7)</x:f>
        <x:v>480.14082701010886</x:v>
      </x:c>
      <x:c r="K18" s="567" t="n">
        <x:f>K17+J18</x:f>
        <x:v>1506.5643298657583</x:v>
      </x:c>
    </x:row>
    <x:row r="19">
      <x:c r="A19" s="58" t="n">
        <x:v>0.6</x:v>
      </x:c>
      <x:c r="B19" s="64" t="n">
        <x:f>$B$9-A19*$B$4</x:f>
        <x:v>473972603</x:v>
      </x:c>
      <x:c r="C19" s="64" t="n">
        <x:f>$D$3/B19</x:f>
        <x:v>3879.961617306792</x:v>
      </x:c>
      <x:c r="D19" s="75" t="n">
        <x:f>B19*C19</x:f>
        <x:v>1838995507294.99</x:v>
      </x:c>
      <x:c r="E19" s="374" t="n">
        <x:f>C19/B19</x:f>
        <x:v>0.00000818604618230812</x:v>
      </x:c>
      <x:c r="F19" s="374" t="n">
        <x:f>IF(ISNUMBER(E19),E19*$B$3/'币价'!$B$12,"")</x:f>
        <x:v>0.000006177942930567397</x:v>
      </x:c>
      <x:c r="G19" s="562" t="n">
        <x:f>E19*$B$4</x:f>
        <x:v>8186.04618230812</x:v>
      </x:c>
      <x:c r="H19" s="562" t="n">
        <x:f>G19*$B$3</x:f>
        <x:v>6172.778170277443</x:v>
      </x:c>
      <x:c r="I19" s="562" t="n">
        <x:f>C19-C18</x:f>
        <x:v>675.983765954556</x:v>
      </x:c>
      <x:c r="J19" s="562" t="n">
        <x:f>I19*(1+$B$7)</x:f>
        <x:v>682.7436036141016</x:v>
      </x:c>
      <x:c r="K19" s="567" t="n">
        <x:f>K18+J19</x:f>
        <x:v>2189.30793347986</x:v>
      </x:c>
    </x:row>
    <x:row r="20">
      <x:c r="A20" s="58" t="n">
        <x:v>0.7</x:v>
      </x:c>
      <x:c r="B20" s="64" t="n">
        <x:f>$B$9-A20*$B$4</x:f>
        <x:v>373972603</x:v>
      </x:c>
      <x:c r="C20" s="64" t="n">
        <x:f>$D$3/B20</x:f>
        <x:v>4917.460510589836</x:v>
      </x:c>
      <x:c r="D20" s="75" t="n">
        <x:f>B20*C20</x:f>
        <x:v>1838995507294.9902</x:v>
      </x:c>
      <x:c r="E20" s="374" t="n">
        <x:f>C20/B20</x:f>
        <x:v>0.000013149253370814002</x:v>
      </x:c>
      <x:c r="F20" s="374" t="n">
        <x:f>IF(ISNUMBER(E20),E20*$B$3/'币价'!$B$12,"")</x:f>
        <x:v>0.000009923635305164494</x:v>
      </x:c>
      <x:c r="G20" s="562" t="n">
        <x:f>E20*$B$4</x:f>
        <x:v>13149.253370814002</x:v>
      </x:c>
      <x:c r="H20" s="562" t="n">
        <x:f>G20*$B$3</x:f>
        <x:v>9915.339146049377</x:v>
      </x:c>
      <x:c r="I20" s="562" t="n">
        <x:f>C20-C19</x:f>
        <x:v>1037.4988932830443</x:v>
      </x:c>
      <x:c r="J20" s="562" t="n">
        <x:f>I20*(1+$B$7)</x:f>
        <x:v>1047.8738822158748</x:v>
      </x:c>
      <x:c r="K20" s="567" t="n">
        <x:f>K19+J20</x:f>
        <x:v>3237.1818156957347</x:v>
      </x:c>
    </x:row>
    <x:row r="21">
      <x:c r="A21" s="57" t="n">
        <x:v>0.8</x:v>
      </x:c>
      <x:c r="B21" s="63" t="n">
        <x:f>$B$9-A21*$B$4</x:f>
        <x:v>273972603</x:v>
      </x:c>
      <x:c r="C21" s="63" t="n">
        <x:f>$D$3/B21</x:f>
        <x:v>6712.3335952499965</x:v>
      </x:c>
      <x:c r="D21" s="74" t="n">
        <x:f>B21*C21</x:f>
        <x:v>1838995507294.99</x:v>
      </x:c>
      <x:c r="E21" s="348" t="n">
        <x:f>C21/B21</x:f>
        <x:v>0.000024500017599387472</x:v>
      </x:c>
      <x:c r="F21" s="348" t="n">
        <x:f>IF(ISNUMBER(E21),E21*$B$3/'币价'!$B$12,"")</x:f>
        <x:v>0.000018489965382071126</x:v>
      </x:c>
      <x:c r="G21" s="561" t="n">
        <x:f>E21*$B$4</x:f>
        <x:v>24500.017599387473</x:v>
      </x:c>
      <x:c r="H21" s="561" t="n">
        <x:f>G21*$B$3</x:f>
        <x:v>18474.50777101172</x:v>
      </x:c>
      <x:c r="I21" s="561" t="n">
        <x:f>C21-C20</x:f>
        <x:v>1794.8730846601602</x:v>
      </x:c>
      <x:c r="J21" s="561" t="n">
        <x:f>I21*(1+$B$7)</x:f>
        <x:v>1812.8218155067618</x:v>
      </x:c>
      <x:c r="K21" s="567" t="n">
        <x:f>K20+J21</x:f>
        <x:v>5050.003631202497</x:v>
      </x:c>
    </x:row>
    <x:row r="22">
      <x:c r="A22" s="59"/>
      <x:c r="B22" s="65"/>
      <x:c r="C22" s="17"/>
      <x:c r="D22" s="76"/>
      <x:c r="E22" s="82"/>
      <x:c r="F22" s="88"/>
      <x:c r="G22" s="88"/>
    </x:row>
    <x:row r="23">
      <x:c r="A23" s="59"/>
      <x:c r="B23" s="65"/>
      <x:c r="C23" s="17"/>
      <x:c r="D23" s="76"/>
      <x:c r="E23" s="82"/>
      <x:c r="F23" s="88"/>
      <x:c r="G23" s="88"/>
    </x:row>
    <x:row r="24" ht="34" customHeight="1">
      <x:c r="A24" s="60" t="str">
        <x:v>控筹率</x:v>
      </x:c>
      <x:c r="B24" s="66" t="str">
        <x:v>pooled token</x:v>
      </x:c>
      <x:c r="C24" s="71" t="str">
        <x:v>pooled ASTER</x:v>
      </x:c>
      <x:c r="D24" s="77" t="str">
        <x:v>k</x:v>
      </x:c>
      <x:c r="E24" s="391" t="str">
        <x:v>价格 / ASTER</x:v>
      </x:c>
      <x:c r="F24" s="391" t="str">
        <x:v>价格 / USDT</x:v>
      </x:c>
      <x:c r="G24" s="393" t="str">
        <x:v>市值 / ASTER</x:v>
      </x:c>
      <x:c r="H24" s="393" t="str">
        <x:v>市值 / USD</x:v>
      </x:c>
      <x:c r="I24" s="331" t="str">
        <x:v>所需 ASTER</x:v>
      </x:c>
      <x:c r="J24" s="331" t="str">
        <x:v>加手续费</x:v>
      </x:c>
      <x:c r="K24" s="344" t="str">
        <x:v>理论累计所需</x:v>
      </x:c>
    </x:row>
    <x:row r="25">
      <x:c r="A25" s="57" t="n">
        <x:v>0.8</x:v>
      </x:c>
      <x:c r="B25" s="63" t="n">
        <x:f>IF(A25&gt;=1,"",IF(ABS(A25-$B$6)&lt;0.000001,$D$4,$B$4*(1-A25)))</x:f>
        <x:v>200000000</x:v>
      </x:c>
      <x:c r="C25" s="63" t="n">
        <x:f>IF(A25&gt;=1,"",IF(ABS(A25-$B$6)&lt;0.000001,$D$5,$D$6/B25))</x:f>
        <x:v>4900</x:v>
      </x:c>
      <x:c r="D25" s="74" t="n">
        <x:f>IF(A25&gt;=1,"",B25*C25)</x:f>
        <x:v>980000000000</x:v>
      </x:c>
      <x:c r="E25" s="348" t="n">
        <x:f>IF(A25&gt;=1,"",C25/B25)</x:f>
        <x:v>0.0000245</x:v>
      </x:c>
      <x:c r="F25" s="348" t="n">
        <x:f>IF(ISNUMBER(E25),E25*$B$3/'币价'!$B$12,"")</x:f>
        <x:v>0.000018489952099955562</x:v>
      </x:c>
      <x:c r="G25" s="561" t="n">
        <x:f>IF(A25&gt;=1,"",E25*$B$4)</x:f>
        <x:v>24500</x:v>
      </x:c>
      <x:c r="H25" s="561" t="n">
        <x:f>IF(A25&gt;=1,"",G25*$B$3)</x:f>
        <x:v>18474.4945</x:v>
      </x:c>
      <x:c r="I25" s="561" t="n">
        <x:f>IF(A25&gt;=1,"",C25-$D$5)</x:f>
        <x:v>0</x:v>
      </x:c>
      <x:c r="J25" s="561" t="n">
        <x:f>IF(A25&gt;=1,"",I25*(1+$B$8))</x:f>
        <x:v>0</x:v>
      </x:c>
      <x:c r="K25" s="567" t="n">
        <x:f>IF(A25&gt;=1,"不可达",$B$5+(C25-$D$5)*(1+$B$8))</x:f>
        <x:v>5050.003631202497</x:v>
      </x:c>
    </x:row>
    <x:row r="26">
      <x:c r="A26" s="58" t="n">
        <x:v>0.805</x:v>
      </x:c>
      <x:c r="B26" s="64" t="n">
        <x:f>IF(A26&gt;=1,"",IF(ABS(A26-$B$6)&lt;0.000001,$D$4,$B$4*(1-A26)))</x:f>
        <x:v>194999999.99999994</x:v>
      </x:c>
      <x:c r="C26" s="64" t="n">
        <x:f>IF(A26&gt;=1,"",IF(ABS(A26-$B$6)&lt;0.000001,$D$5,$D$6/B26))</x:f>
        <x:v>5025.641025641027</x:v>
      </x:c>
      <x:c r="D26" s="75" t="n">
        <x:f>IF(A26&gt;=1,"",B26*C26)</x:f>
        <x:v>980000000000</x:v>
      </x:c>
      <x:c r="E26" s="374" t="n">
        <x:f>IF(A26&gt;=1,"",C26/B26)</x:f>
        <x:v>0.000025772518080210405</x:v>
      </x:c>
      <x:c r="F26" s="374" t="n">
        <x:f>IF(ISNUMBER(E26),E26*$B$3/'币价'!$B$12,"")</x:f>
        <x:v>0.00001945031121625833</x:v>
      </x:c>
      <x:c r="G26" s="562" t="n">
        <x:f>IF(A26&gt;=1,"",E26*$B$4)</x:f>
        <x:v>25772.518080210404</x:v>
      </x:c>
      <x:c r="H26" s="562" t="n">
        <x:f>IF(A26&gt;=1,"",G26*$B$3)</x:f>
        <x:v>19434.05075608154</x:v>
      </x:c>
      <x:c r="I26" s="562" t="n">
        <x:f>IF(A26&gt;=1,"",C26-C25)</x:f>
        <x:v>125.64102564102723</x:v>
      </x:c>
      <x:c r="J26" s="562" t="n">
        <x:f>IF(A26&gt;=1,"",I26*(1+$B$8))</x:f>
        <x:v>125.95512820512978</x:v>
      </x:c>
      <x:c r="K26" s="567" t="n">
        <x:f>IF(A26&gt;=1,"不可达",$B$5+(C26-$D$5)*(1+$B$8))</x:f>
        <x:v>5175.9587594076265</x:v>
      </x:c>
    </x:row>
    <x:row r="27">
      <x:c r="A27" s="58" t="n">
        <x:v>0.81</x:v>
      </x:c>
      <x:c r="B27" s="64" t="n">
        <x:f>IF(A27&gt;=1,"",IF(ABS(A27-$B$6)&lt;0.000001,$D$4,$B$4*(1-A27)))</x:f>
        <x:v>189999999.99999994</x:v>
      </x:c>
      <x:c r="C27" s="64" t="n">
        <x:f>IF(A27&gt;=1,"",IF(ABS(A27-$B$6)&lt;0.000001,$D$5,$D$6/B27))</x:f>
        <x:v>5157.894736842107</x:v>
      </x:c>
      <x:c r="D27" s="75" t="n">
        <x:f>IF(A27&gt;=1,"",B27*C27)</x:f>
        <x:v>980000000000</x:v>
      </x:c>
      <x:c r="E27" s="374" t="n">
        <x:f>IF(A27&gt;=1,"",C27/B27)</x:f>
        <x:v>0.00002714681440443215</x:v>
      </x:c>
      <x:c r="F27" s="374" t="n">
        <x:f>IF(ISNUMBER(E27),E27*$B$3/'币价'!$B$12,"")</x:f>
        <x:v>0.00002048748155119731</x:v>
      </x:c>
      <x:c r="G27" s="562" t="n">
        <x:f>IF(A27&gt;=1,"",E27*$B$4)</x:f>
        <x:v>27146.814404432153</x:v>
      </x:c>
      <x:c r="H27" s="562" t="n">
        <x:f>IF(A27&gt;=1,"",G27*$B$3)</x:f>
        <x:v>20470.354016620513</x:v>
      </x:c>
      <x:c r="I27" s="562" t="n">
        <x:f>IF(A27&gt;=1,"",C27-C26)</x:f>
        <x:v>132.25371120107957</x:v>
      </x:c>
      <x:c r="J27" s="562" t="n">
        <x:f>IF(A27&gt;=1,"",I27*(1+$B$8))</x:f>
        <x:v>132.58434547908226</x:v>
      </x:c>
      <x:c r="K27" s="567" t="n">
        <x:f>IF(A27&gt;=1,"不可达",$B$5+(C27-$D$5)*(1+$B$8))</x:f>
        <x:v>5308.5431048867085</x:v>
      </x:c>
    </x:row>
    <x:row r="28">
      <x:c r="A28" s="58" t="n">
        <x:v>0.815</x:v>
      </x:c>
      <x:c r="B28" s="64" t="n">
        <x:f>IF(A28&gt;=1,"",IF(ABS(A28-$B$6)&lt;0.000001,$D$4,$B$4*(1-A28)))</x:f>
        <x:v>185000000.00000006</x:v>
      </x:c>
      <x:c r="C28" s="64" t="n">
        <x:f>IF(A28&gt;=1,"",IF(ABS(A28-$B$6)&lt;0.000001,$D$5,$D$6/B28))</x:f>
        <x:v>5297.297297297296</x:v>
      </x:c>
      <x:c r="D28" s="75" t="n">
        <x:f>IF(A28&gt;=1,"",B28*C28)</x:f>
        <x:v>980000000000</x:v>
      </x:c>
      <x:c r="E28" s="374" t="n">
        <x:f>IF(A28&gt;=1,"",C28/B28)</x:f>
        <x:v>0.00002863403944485024</x:v>
      </x:c>
      <x:c r="F28" s="374" t="n">
        <x:f>IF(ISNUMBER(E28),E28*$B$3/'币价'!$B$12,"")</x:f>
        <x:v>0.000021609878276062</x:v>
      </x:c>
      <x:c r="G28" s="562" t="n">
        <x:f>IF(A28&gt;=1,"",E28*$B$4)</x:f>
        <x:v>28634.039444850237</x:v>
      </x:c>
      <x:c r="H28" s="562" t="n">
        <x:f>IF(A28&gt;=1,"",G28*$B$3)</x:f>
        <x:v>21591.812417823214</x:v>
      </x:c>
      <x:c r="I28" s="562" t="n">
        <x:f>IF(A28&gt;=1,"",C28-C27)</x:f>
        <x:v>139.4025604551889</x:v>
      </x:c>
      <x:c r="J28" s="562" t="n">
        <x:f>IF(A28&gt;=1,"",I28*(1+$B$8))</x:f>
        <x:v>139.75106685632687</x:v>
      </x:c>
      <x:c r="K28" s="567" t="n">
        <x:f>IF(A28&gt;=1,"不可达",$B$5+(C28-$D$5)*(1+$B$8))</x:f>
        <x:v>5448.294171743036</x:v>
      </x:c>
    </x:row>
    <x:row r="29">
      <x:c r="A29" s="58" t="n">
        <x:v>0.82</x:v>
      </x:c>
      <x:c r="B29" s="64" t="n">
        <x:f>IF(A29&gt;=1,"",IF(ABS(A29-$B$6)&lt;0.000001,$D$4,$B$4*(1-A29)))</x:f>
        <x:v>180000000.00000006</x:v>
      </x:c>
      <x:c r="C29" s="64" t="n">
        <x:f>IF(A29&gt;=1,"",IF(ABS(A29-$B$6)&lt;0.000001,$D$5,$D$6/B29))</x:f>
        <x:v>5444.4444444444425</x:v>
      </x:c>
      <x:c r="D29" s="75" t="n">
        <x:f>IF(A29&gt;=1,"",B29*C29)</x:f>
        <x:v>980000000000</x:v>
      </x:c>
      <x:c r="E29" s="374" t="n">
        <x:f>IF(A29&gt;=1,"",C29/B29)</x:f>
        <x:v>0.000030246913580246892</x:v>
      </x:c>
      <x:c r="F29" s="374" t="n">
        <x:f>IF(ISNUMBER(E29),E29*$B$3/'币价'!$B$12,"")</x:f>
        <x:v>0.00002282710135796981</x:v>
      </x:c>
      <x:c r="G29" s="562" t="n">
        <x:f>IF(A29&gt;=1,"",E29*$B$4)</x:f>
        <x:v>30246.91358024689</x:v>
      </x:c>
      <x:c r="H29" s="562" t="n">
        <x:f>IF(A29&gt;=1,"",G29*$B$3)</x:f>
        <x:v>22808.01790123455</x:v>
      </x:c>
      <x:c r="I29" s="562" t="n">
        <x:f>IF(A29&gt;=1,"",C29-C28)</x:f>
        <x:v>147.14714714714682</x:v>
      </x:c>
      <x:c r="J29" s="562" t="n">
        <x:f>IF(A29&gt;=1,"",I29*(1+$B$8))</x:f>
        <x:v>147.51501501501468</x:v>
      </x:c>
      <x:c r="K29" s="567" t="n">
        <x:f>IF(A29&gt;=1,"不可达",$B$5+(C29-$D$5)*(1+$B$8))</x:f>
        <x:v>5595.809186758051</x:v>
      </x:c>
    </x:row>
    <x:row r="30">
      <x:c r="A30" s="58" t="n">
        <x:v>0.825</x:v>
      </x:c>
      <x:c r="B30" s="64" t="n">
        <x:f>IF(A30&gt;=1,"",IF(ABS(A30-$B$6)&lt;0.000001,$D$4,$B$4*(1-A30)))</x:f>
        <x:v>175000000.00000003</x:v>
      </x:c>
      <x:c r="C30" s="64" t="n">
        <x:f>IF(A30&gt;=1,"",IF(ABS(A30-$B$6)&lt;0.000001,$D$5,$D$6/B30))</x:f>
        <x:v>5599.999999999999</x:v>
      </x:c>
      <x:c r="D30" s="75" t="n">
        <x:f>IF(A30&gt;=1,"",B30*C30)</x:f>
        <x:v>980000000000</x:v>
      </x:c>
      <x:c r="E30" s="374" t="n">
        <x:f>IF(A30&gt;=1,"",C30/B30)</x:f>
        <x:v>0.00003199999999999999</x:v>
      </x:c>
      <x:c r="F30" s="374" t="n">
        <x:f>IF(ISNUMBER(E30),E30*$B$3/'币价'!$B$12,"")</x:f>
        <x:v>0.0000241501415183093</x:v>
      </x:c>
      <x:c r="G30" s="562" t="n">
        <x:f>IF(A30&gt;=1,"",E30*$B$4)</x:f>
        <x:v>31999.999999999993</x:v>
      </x:c>
      <x:c r="H30" s="562" t="n">
        <x:f>IF(A30&gt;=1,"",G30*$B$3)</x:f>
        <x:v>24129.951999999994</x:v>
      </x:c>
      <x:c r="I30" s="562" t="n">
        <x:f>IF(A30&gt;=1,"",C30-C29)</x:f>
        <x:v>155.55555555555657</x:v>
      </x:c>
      <x:c r="J30" s="562" t="n">
        <x:f>IF(A30&gt;=1,"",I30*(1+$B$8))</x:f>
        <x:v>155.94444444444545</x:v>
      </x:c>
      <x:c r="K30" s="567" t="n">
        <x:f>IF(A30&gt;=1,"不可达",$B$5+(C30-$D$5)*(1+$B$8))</x:f>
        <x:v>5751.753631202496</x:v>
      </x:c>
    </x:row>
    <x:row r="31">
      <x:c r="A31" s="58" t="n">
        <x:v>0.83</x:v>
      </x:c>
      <x:c r="B31" s="64" t="n">
        <x:f>IF(A31&gt;=1,"",IF(ABS(A31-$B$6)&lt;0.000001,$D$4,$B$4*(1-A31)))</x:f>
        <x:v>170000000.00000003</x:v>
      </x:c>
      <x:c r="C31" s="64" t="n">
        <x:f>IF(A31&gt;=1,"",IF(ABS(A31-$B$6)&lt;0.000001,$D$5,$D$6/B31))</x:f>
        <x:v>5764.7058823529405</x:v>
      </x:c>
      <x:c r="D31" s="75" t="n">
        <x:f>IF(A31&gt;=1,"",B31*C31)</x:f>
        <x:v>980000000000.0001</x:v>
      </x:c>
      <x:c r="E31" s="374" t="n">
        <x:f>IF(A31&gt;=1,"",C31/B31)</x:f>
        <x:v>0.00003391003460207611</x:v>
      </x:c>
      <x:c r="F31" s="374" t="n">
        <x:f>IF(ISNUMBER(E31),E31*$B$3/'币价'!$B$12,"")</x:f>
        <x:v>0.000025591629204090735</x:v>
      </x:c>
      <x:c r="G31" s="562" t="n">
        <x:f>IF(A31&gt;=1,"",E31*$B$4)</x:f>
        <x:v>33910.03460207611</x:v>
      </x:c>
      <x:c r="H31" s="562" t="n">
        <x:f>IF(A31&gt;=1,"",G31*$B$3)</x:f>
        <x:v>25570.234602076114</x:v>
      </x:c>
      <x:c r="I31" s="562" t="n">
        <x:f>IF(A31&gt;=1,"",C31-C30)</x:f>
        <x:v>164.70588235294144</x:v>
      </x:c>
      <x:c r="J31" s="562" t="n">
        <x:f>IF(A31&gt;=1,"",I31*(1+$B$8))</x:f>
        <x:v>165.1176470588238</x:v>
      </x:c>
      <x:c r="K31" s="567" t="n">
        <x:f>IF(A31&gt;=1,"不可达",$B$5+(C31-$D$5)*(1+$B$8))</x:f>
        <x:v>5916.871278261319</x:v>
      </x:c>
    </x:row>
    <x:row r="32">
      <x:c r="A32" s="58" t="n">
        <x:v>0.835</x:v>
      </x:c>
      <x:c r="B32" s="64" t="n">
        <x:f>IF(A32&gt;=1,"",IF(ABS(A32-$B$6)&lt;0.000001,$D$4,$B$4*(1-A32)))</x:f>
        <x:v>165000000.00000003</x:v>
      </x:c>
      <x:c r="C32" s="64" t="n">
        <x:f>IF(A32&gt;=1,"",IF(ABS(A32-$B$6)&lt;0.000001,$D$5,$D$6/B32))</x:f>
        <x:v>5939.393939393938</x:v>
      </x:c>
      <x:c r="D32" s="75" t="n">
        <x:f>IF(A32&gt;=1,"",B32*C32)</x:f>
        <x:v>980000000000</x:v>
      </x:c>
      <x:c r="E32" s="374" t="n">
        <x:f>IF(A32&gt;=1,"",C32/B32)</x:f>
        <x:v>0.0000359963269054178</x:v>
      </x:c>
      <x:c r="F32" s="374" t="n">
        <x:f>IF(ISNUMBER(E32),E32*$B$3/'币价'!$B$12,"")</x:f>
        <x:v>0.000027166137153286396</x:v>
      </x:c>
      <x:c r="G32" s="562" t="n">
        <x:f>IF(A32&gt;=1,"",E32*$B$4)</x:f>
        <x:v>35996.3269054178</x:v>
      </x:c>
      <x:c r="H32" s="562" t="n">
        <x:f>IF(A32&gt;=1,"",G32*$B$3)</x:f>
        <x:v>27143.426262626253</x:v>
      </x:c>
      <x:c r="I32" s="562" t="n">
        <x:f>IF(A32&gt;=1,"",C32-C31)</x:f>
        <x:v>174.6880570409976</x:v>
      </x:c>
      <x:c r="J32" s="562" t="n">
        <x:f>IF(A32&gt;=1,"",I32*(1+$B$8))</x:f>
        <x:v>175.1247771836001</x:v>
      </x:c>
      <x:c r="K32" s="567" t="n">
        <x:f>IF(A32&gt;=1,"不可达",$B$5+(C32-$D$5)*(1+$B$8))</x:f>
        <x:v>6091.99605544492</x:v>
      </x:c>
    </x:row>
    <x:row r="33">
      <x:c r="A33" s="58" t="n">
        <x:v>0.84</x:v>
      </x:c>
      <x:c r="B33" s="64" t="n">
        <x:f>IF(A33&gt;=1,"",IF(ABS(A33-$B$6)&lt;0.000001,$D$4,$B$4*(1-A33)))</x:f>
        <x:v>160000000.00000003</x:v>
      </x:c>
      <x:c r="C33" s="64" t="n">
        <x:f>IF(A33&gt;=1,"",IF(ABS(A33-$B$6)&lt;0.000001,$D$5,$D$6/B33))</x:f>
        <x:v>6124.999999999999</x:v>
      </x:c>
      <x:c r="D33" s="75" t="n">
        <x:f>IF(A33&gt;=1,"",B33*C33)</x:f>
        <x:v>980000000000</x:v>
      </x:c>
      <x:c r="E33" s="374" t="n">
        <x:f>IF(A33&gt;=1,"",C33/B33)</x:f>
        <x:v>0.000038281249999999985</x:v>
      </x:c>
      <x:c r="F33" s="374" t="n">
        <x:f>IF(ISNUMBER(E33),E33*$B$3/'币价'!$B$12,"")</x:f>
        <x:v>0.000028890550156180554</x:v>
      </x:c>
      <x:c r="G33" s="562" t="n">
        <x:f>IF(A33&gt;=1,"",E33*$B$4)</x:f>
        <x:v>38281.249999999985</x:v>
      </x:c>
      <x:c r="H33" s="562" t="n">
        <x:f>IF(A33&gt;=1,"",G33*$B$3)</x:f>
        <x:v>28866.39765624999</x:v>
      </x:c>
      <x:c r="I33" s="562" t="n">
        <x:f>IF(A33&gt;=1,"",C33-C32)</x:f>
        <x:v>185.60606060606096</x:v>
      </x:c>
      <x:c r="J33" s="562" t="n">
        <x:f>IF(A33&gt;=1,"",I33*(1+$B$8))</x:f>
        <x:v>186.07007575757612</x:v>
      </x:c>
      <x:c r="K33" s="567" t="n">
        <x:f>IF(A33&gt;=1,"不可达",$B$5+(C33-$D$5)*(1+$B$8))</x:f>
        <x:v>6278.066131202496</x:v>
      </x:c>
    </x:row>
    <x:row r="34">
      <x:c r="A34" s="58" t="n">
        <x:v>0.845</x:v>
      </x:c>
      <x:c r="B34" s="64" t="n">
        <x:f>IF(A34&gt;=1,"",IF(ABS(A34-$B$6)&lt;0.000001,$D$4,$B$4*(1-A34)))</x:f>
        <x:v>155000000.00000003</x:v>
      </x:c>
      <x:c r="C34" s="64" t="n">
        <x:f>IF(A34&gt;=1,"",IF(ABS(A34-$B$6)&lt;0.000001,$D$5,$D$6/B34))</x:f>
        <x:v>6322.580645161289</x:v>
      </x:c>
      <x:c r="D34" s="75" t="n">
        <x:f>IF(A34&gt;=1,"",B34*C34)</x:f>
        <x:v>980000000000</x:v>
      </x:c>
      <x:c r="E34" s="374" t="n">
        <x:f>IF(A34&gt;=1,"",C34/B34)</x:f>
        <x:v>0.00004079084287200831</x:v>
      </x:c>
      <x:c r="F34" s="374" t="n">
        <x:f>IF(ISNUMBER(E34),E34*$B$3/'币价'!$B$12,"")</x:f>
        <x:v>0.000030784519625316214</x:v>
      </x:c>
      <x:c r="G34" s="562" t="n">
        <x:f>IF(A34&gt;=1,"",E34*$B$4)</x:f>
        <x:v>40790.84287200831</x:v>
      </x:c>
      <x:c r="H34" s="562" t="n">
        <x:f>IF(A34&gt;=1,"",G34*$B$3)</x:f>
        <x:v>30758.78376690946</x:v>
      </x:c>
      <x:c r="I34" s="562" t="n">
        <x:f>IF(A34&gt;=1,"",C34-C33)</x:f>
        <x:v>197.5806451612898</x:v>
      </x:c>
      <x:c r="J34" s="562" t="n">
        <x:f>IF(A34&gt;=1,"",I34*(1+$B$8))</x:f>
        <x:v>198.074596774193</x:v>
      </x:c>
      <x:c r="K34" s="567" t="n">
        <x:f>IF(A34&gt;=1,"不可达",$B$5+(C34-$D$5)*(1+$B$8))</x:f>
        <x:v>6476.140727976689</x:v>
      </x:c>
    </x:row>
    <x:row r="35">
      <x:c r="A35" s="58" t="n">
        <x:v>0.85</x:v>
      </x:c>
      <x:c r="B35" s="64" t="n">
        <x:f>IF(A35&gt;=1,"",IF(ABS(A35-$B$6)&lt;0.000001,$D$4,$B$4*(1-A35)))</x:f>
        <x:v>150000000.00000003</x:v>
      </x:c>
      <x:c r="C35" s="64" t="n">
        <x:f>IF(A35&gt;=1,"",IF(ABS(A35-$B$6)&lt;0.000001,$D$5,$D$6/B35))</x:f>
        <x:v>6533.333333333332</x:v>
      </x:c>
      <x:c r="D35" s="75" t="n">
        <x:f>IF(A35&gt;=1,"",B35*C35)</x:f>
        <x:v>980000000000</x:v>
      </x:c>
      <x:c r="E35" s="374" t="n">
        <x:f>IF(A35&gt;=1,"",C35/B35)</x:f>
        <x:v>0.00004355555555555554</x:v>
      </x:c>
      <x:c r="F35" s="374" t="n">
        <x:f>IF(ISNUMBER(E35),E35*$B$3/'币价'!$B$12,"")</x:f>
        <x:v>0.00003287102595547654</x:v>
      </x:c>
      <x:c r="G35" s="562" t="n">
        <x:f>IF(A35&gt;=1,"",E35*$B$4)</x:f>
        <x:v>43555.55555555554</x:v>
      </x:c>
      <x:c r="H35" s="562" t="n">
        <x:f>IF(A35&gt;=1,"",G35*$B$3)</x:f>
        <x:v>32843.54577777776</x:v>
      </x:c>
      <x:c r="I35" s="562" t="n">
        <x:f>IF(A35&gt;=1,"",C35-C34)</x:f>
        <x:v>210.75268817204324</x:v>
      </x:c>
      <x:c r="J35" s="562" t="n">
        <x:f>IF(A35&gt;=1,"",I35*(1+$B$8))</x:f>
        <x:v>211.27956989247332</x:v>
      </x:c>
      <x:c r="K35" s="567" t="n">
        <x:f>IF(A35&gt;=1,"不可达",$B$5+(C35-$D$5)*(1+$B$8))</x:f>
        <x:v>6687.420297869162</x:v>
      </x:c>
    </x:row>
    <x:row r="36">
      <x:c r="A36" s="58" t="n">
        <x:v>0.855</x:v>
      </x:c>
      <x:c r="B36" s="64" t="n">
        <x:f>IF(A36&gt;=1,"",IF(ABS(A36-$B$6)&lt;0.000001,$D$4,$B$4*(1-A36)))</x:f>
        <x:v>145000000.00000003</x:v>
      </x:c>
      <x:c r="C36" s="64" t="n">
        <x:f>IF(A36&gt;=1,"",IF(ABS(A36-$B$6)&lt;0.000001,$D$5,$D$6/B36))</x:f>
        <x:v>6758.620689655171</x:v>
      </x:c>
      <x:c r="D36" s="75" t="n">
        <x:f>IF(A36&gt;=1,"",B36*C36)</x:f>
        <x:v>980000000000</x:v>
      </x:c>
      <x:c r="E36" s="374" t="n">
        <x:f>IF(A36&gt;=1,"",C36/B36)</x:f>
        <x:v>0.00004661117717003565</x:v>
      </x:c>
      <x:c r="F36" s="374" t="n">
        <x:f>IF(ISNUMBER(E36),E36*$B$3/'币价'!$B$12,"")</x:f>
        <x:v>0.00003517707890597965</x:v>
      </x:c>
      <x:c r="G36" s="562" t="n">
        <x:f>IF(A36&gt;=1,"",E36*$B$4)</x:f>
        <x:v>46611.177170035655</x:v>
      </x:c>
      <x:c r="H36" s="562" t="n">
        <x:f>IF(A36&gt;=1,"",G36*$B$3)</x:f>
        <x:v>35147.670868014255</x:v>
      </x:c>
      <x:c r="I36" s="562" t="n">
        <x:f>IF(A36&gt;=1,"",C36-C35)</x:f>
        <x:v>225.28735632183907</x:v>
      </x:c>
      <x:c r="J36" s="562" t="n">
        <x:f>IF(A36&gt;=1,"",I36*(1+$B$8))</x:f>
        <x:v>225.85057471264366</x:v>
      </x:c>
      <x:c r="K36" s="567" t="n">
        <x:f>IF(A36&gt;=1,"不可达",$B$5+(C36-$D$5)*(1+$B$8))</x:f>
        <x:v>6913.270872581806</x:v>
      </x:c>
    </x:row>
    <x:row r="37">
      <x:c r="A37" s="58" t="n">
        <x:v>0.86</x:v>
      </x:c>
      <x:c r="B37" s="64" t="n">
        <x:f>IF(A37&gt;=1,"",IF(ABS(A37-$B$6)&lt;0.000001,$D$4,$B$4*(1-A37)))</x:f>
        <x:v>140000000</x:v>
      </x:c>
      <x:c r="C37" s="64" t="n">
        <x:f>IF(A37&gt;=1,"",IF(ABS(A37-$B$6)&lt;0.000001,$D$5,$D$6/B37))</x:f>
        <x:v>7000</x:v>
      </x:c>
      <x:c r="D37" s="75" t="n">
        <x:f>IF(A37&gt;=1,"",B37*C37)</x:f>
        <x:v>980000000000</x:v>
      </x:c>
      <x:c r="E37" s="374" t="n">
        <x:f>IF(A37&gt;=1,"",C37/B37)</x:f>
        <x:v>0.00005</x:v>
      </x:c>
      <x:c r="F37" s="374" t="n">
        <x:f>IF(ISNUMBER(E37),E37*$B$3/'币价'!$B$12,"")</x:f>
        <x:v>0.000037734596122358285</x:v>
      </x:c>
      <x:c r="G37" s="562" t="n">
        <x:f>IF(A37&gt;=1,"",E37*$B$4)</x:f>
        <x:v>50000</x:v>
      </x:c>
      <x:c r="H37" s="562" t="n">
        <x:f>IF(A37&gt;=1,"",G37*$B$3)</x:f>
        <x:v>37703.049999999996</x:v>
      </x:c>
      <x:c r="I37" s="562" t="n">
        <x:f>IF(A37&gt;=1,"",C37-C36)</x:f>
        <x:v>241.3793103448288</x:v>
      </x:c>
      <x:c r="J37" s="562" t="n">
        <x:f>IF(A37&gt;=1,"",I37*(1+$B$8))</x:f>
        <x:v>241.98275862069087</x:v>
      </x:c>
      <x:c r="K37" s="567" t="n">
        <x:f>IF(A37&gt;=1,"不可达",$B$5+(C37-$D$5)*(1+$B$8))</x:f>
        <x:v>7155.253631202497</x:v>
      </x:c>
    </x:row>
    <x:row r="38">
      <x:c r="A38" s="58" t="n">
        <x:v>0.865</x:v>
      </x:c>
      <x:c r="B38" s="64" t="n">
        <x:f>IF(A38&gt;=1,"",IF(ABS(A38-$B$6)&lt;0.000001,$D$4,$B$4*(1-A38)))</x:f>
        <x:v>135000000</x:v>
      </x:c>
      <x:c r="C38" s="64" t="n">
        <x:f>IF(A38&gt;=1,"",IF(ABS(A38-$B$6)&lt;0.000001,$D$5,$D$6/B38))</x:f>
        <x:v>7259.259259259259</x:v>
      </x:c>
      <x:c r="D38" s="75" t="n">
        <x:f>IF(A38&gt;=1,"",B38*C38)</x:f>
        <x:v>980000000000</x:v>
      </x:c>
      <x:c r="E38" s="374" t="n">
        <x:f>IF(A38&gt;=1,"",C38/B38)</x:f>
        <x:v>0.000053772290809327844</x:v>
      </x:c>
      <x:c r="F38" s="374" t="n">
        <x:f>IF(ISNUMBER(E38),E38*$B$3/'币价'!$B$12,"")</x:f>
        <x:v>0.000040581513525279696</x:v>
      </x:c>
      <x:c r="G38" s="562" t="n">
        <x:f>IF(A38&gt;=1,"",E38*$B$4)</x:f>
        <x:v>53772.290809327846</x:v>
      </x:c>
      <x:c r="H38" s="562" t="n">
        <x:f>IF(A38&gt;=1,"",G38*$B$3)</x:f>
        <x:v>40547.58737997257</x:v>
      </x:c>
      <x:c r="I38" s="562" t="n">
        <x:f>IF(A38&gt;=1,"",C38-C37)</x:f>
        <x:v>259.2592592592591</x:v>
      </x:c>
      <x:c r="J38" s="562" t="n">
        <x:f>IF(A38&gt;=1,"",I38*(1+$B$8))</x:f>
        <x:v>259.9074074074073</x:v>
      </x:c>
      <x:c r="K38" s="567" t="n">
        <x:f>IF(A38&gt;=1,"不可达",$B$5+(C38-$D$5)*(1+$B$8))</x:f>
        <x:v>7415.161038609904</x:v>
      </x:c>
    </x:row>
    <x:row r="39">
      <x:c r="A39" s="58" t="n">
        <x:v>0.87</x:v>
      </x:c>
      <x:c r="B39" s="64" t="n">
        <x:f>IF(A39&gt;=1,"",IF(ABS(A39-$B$6)&lt;0.000001,$D$4,$B$4*(1-A39)))</x:f>
        <x:v>130000000</x:v>
      </x:c>
      <x:c r="C39" s="64" t="n">
        <x:f>IF(A39&gt;=1,"",IF(ABS(A39-$B$6)&lt;0.000001,$D$5,$D$6/B39))</x:f>
        <x:v>7538.461538461538</x:v>
      </x:c>
      <x:c r="D39" s="75" t="n">
        <x:f>IF(A39&gt;=1,"",B39*C39)</x:f>
        <x:v>980000000000</x:v>
      </x:c>
      <x:c r="E39" s="374" t="n">
        <x:f>IF(A39&gt;=1,"",C39/B39)</x:f>
        <x:v>0.00005798816568047337</x:v>
      </x:c>
      <x:c r="F39" s="374" t="n">
        <x:f>IF(ISNUMBER(E39),E39*$B$3/'币价'!$B$12,"")</x:f>
        <x:v>0.00004376320023658121</x:v>
      </x:c>
      <x:c r="G39" s="562" t="n">
        <x:f>IF(A39&gt;=1,"",E39*$B$4)</x:f>
        <x:v>57988.16568047337</x:v>
      </x:c>
      <x:c r="H39" s="562" t="n">
        <x:f>IF(A39&gt;=1,"",G39*$B$3)</x:f>
        <x:v>43726.61420118343</x:v>
      </x:c>
      <x:c r="I39" s="562" t="n">
        <x:f>IF(A39&gt;=1,"",C39-C38)</x:f>
        <x:v>279.202279202279</x:v>
      </x:c>
      <x:c r="J39" s="562" t="n">
        <x:f>IF(A39&gt;=1,"",I39*(1+$B$8))</x:f>
        <x:v>279.90028490028465</x:v>
      </x:c>
      <x:c r="K39" s="567" t="n">
        <x:f>IF(A39&gt;=1,"不可达",$B$5+(C39-$D$5)*(1+$B$8))</x:f>
        <x:v>7695.061323510188</x:v>
      </x:c>
    </x:row>
    <x:row r="40">
      <x:c r="A40" s="58" t="n">
        <x:v>0.875</x:v>
      </x:c>
      <x:c r="B40" s="64" t="n">
        <x:f>IF(A40&gt;=1,"",IF(ABS(A40-$B$6)&lt;0.000001,$D$4,$B$4*(1-A40)))</x:f>
        <x:v>125000000</x:v>
      </x:c>
      <x:c r="C40" s="64" t="n">
        <x:f>IF(A40&gt;=1,"",IF(ABS(A40-$B$6)&lt;0.000001,$D$5,$D$6/B40))</x:f>
        <x:v>7840</x:v>
      </x:c>
      <x:c r="D40" s="75" t="n">
        <x:f>IF(A40&gt;=1,"",B40*C40)</x:f>
        <x:v>980000000000</x:v>
      </x:c>
      <x:c r="E40" s="374" t="n">
        <x:f>IF(A40&gt;=1,"",C40/B40)</x:f>
        <x:v>0.00006272</x:v>
      </x:c>
      <x:c r="F40" s="374" t="n">
        <x:f>IF(ISNUMBER(E40),E40*$B$3/'币价'!$B$12,"")</x:f>
        <x:v>0.000047334277375886234</x:v>
      </x:c>
      <x:c r="G40" s="562" t="n">
        <x:f>IF(A40&gt;=1,"",E40*$B$4)</x:f>
        <x:v>62719.99999999999</x:v>
      </x:c>
      <x:c r="H40" s="562" t="n">
        <x:f>IF(A40&gt;=1,"",G40*$B$3)</x:f>
        <x:v>47294.70591999999</x:v>
      </x:c>
      <x:c r="I40" s="562" t="n">
        <x:f>IF(A40&gt;=1,"",C40-C39)</x:f>
        <x:v>301.5384615384619</x:v>
      </x:c>
      <x:c r="J40" s="562" t="n">
        <x:f>IF(A40&gt;=1,"",I40*(1+$B$8))</x:f>
        <x:v>302.29230769230804</x:v>
      </x:c>
      <x:c r="K40" s="567" t="n">
        <x:f>IF(A40&gt;=1,"不可达",$B$5+(C40-$D$5)*(1+$B$8))</x:f>
        <x:v>7997.353631202497</x:v>
      </x:c>
    </x:row>
    <x:row r="41">
      <x:c r="A41" s="58" t="n">
        <x:v>0.88</x:v>
      </x:c>
      <x:c r="B41" s="64" t="n">
        <x:f>IF(A41&gt;=1,"",IF(ABS(A41-$B$6)&lt;0.000001,$D$4,$B$4*(1-A41)))</x:f>
        <x:v>120000000</x:v>
      </x:c>
      <x:c r="C41" s="64" t="n">
        <x:f>IF(A41&gt;=1,"",IF(ABS(A41-$B$6)&lt;0.000001,$D$5,$D$6/B41))</x:f>
        <x:v>8166.666666666667</x:v>
      </x:c>
      <x:c r="D41" s="75" t="n">
        <x:f>IF(A41&gt;=1,"",B41*C41)</x:f>
        <x:v>980000000000</x:v>
      </x:c>
      <x:c r="E41" s="374" t="n">
        <x:f>IF(A41&gt;=1,"",C41/B41)</x:f>
        <x:v>0.00006805555555555556</x:v>
      </x:c>
      <x:c r="F41" s="374" t="n">
        <x:f>IF(ISNUMBER(E41),E41*$B$3/'币价'!$B$12,"")</x:f>
        <x:v>0.00005136097805543212</x:v>
      </x:c>
      <x:c r="G41" s="562" t="n">
        <x:f>IF(A41&gt;=1,"",E41*$B$4)</x:f>
        <x:v>68055.55555555556</x:v>
      </x:c>
      <x:c r="H41" s="562" t="n">
        <x:f>IF(A41&gt;=1,"",G41*$B$3)</x:f>
        <x:v>51318.04027777778</x:v>
      </x:c>
      <x:c r="I41" s="562" t="n">
        <x:f>IF(A41&gt;=1,"",C41-C40)</x:f>
        <x:v>326.66666666666697</x:v>
      </x:c>
      <x:c r="J41" s="562" t="n">
        <x:f>IF(A41&gt;=1,"",I41*(1+$B$8))</x:f>
        <x:v>327.48333333333363</x:v>
      </x:c>
      <x:c r="K41" s="567" t="n">
        <x:f>IF(A41&gt;=1,"不可达",$B$5+(C41-$D$5)*(1+$B$8))</x:f>
        <x:v>8324.83696453583</x:v>
      </x:c>
    </x:row>
    <x:row r="42">
      <x:c r="A42" s="58" t="n">
        <x:v>0.885</x:v>
      </x:c>
      <x:c r="B42" s="64" t="n">
        <x:f>IF(A42&gt;=1,"",IF(ABS(A42-$B$6)&lt;0.000001,$D$4,$B$4*(1-A42)))</x:f>
        <x:v>114999999.99999999</x:v>
      </x:c>
      <x:c r="C42" s="64" t="n">
        <x:f>IF(A42&gt;=1,"",IF(ABS(A42-$B$6)&lt;0.000001,$D$5,$D$6/B42))</x:f>
        <x:v>8521.739130434784</x:v>
      </x:c>
      <x:c r="D42" s="75" t="n">
        <x:f>IF(A42&gt;=1,"",B42*C42)</x:f>
        <x:v>980000000000</x:v>
      </x:c>
      <x:c r="E42" s="374" t="n">
        <x:f>IF(A42&gt;=1,"",C42/B42)</x:f>
        <x:v>0.00007410207939508509</x:v>
      </x:c>
      <x:c r="F42" s="374" t="n">
        <x:f>IF(ISNUMBER(E42),E42*$B$3/'币价'!$B$12,"")</x:f>
        <x:v>0.000055924240756009274</x:v>
      </x:c>
      <x:c r="G42" s="562" t="n">
        <x:f>IF(A42&gt;=1,"",E42*$B$4)</x:f>
        <x:v>74102.0793950851</x:v>
      </x:c>
      <x:c r="H42" s="562" t="n">
        <x:f>IF(A42&gt;=1,"",G42*$B$3)</x:f>
        <x:v>55877.48809073726</x:v>
      </x:c>
      <x:c r="I42" s="562" t="n">
        <x:f>IF(A42&gt;=1,"",C42-C41)</x:f>
        <x:v>355.0724637681169</x:v>
      </x:c>
      <x:c r="J42" s="562" t="n">
        <x:f>IF(A42&gt;=1,"",I42*(1+$B$8))</x:f>
        <x:v>355.96014492753716</x:v>
      </x:c>
      <x:c r="K42" s="567" t="n">
        <x:f>IF(A42&gt;=1,"不可达",$B$5+(C42-$D$5)*(1+$B$8))</x:f>
        <x:v>8680.797109463367</x:v>
      </x:c>
    </x:row>
    <x:row r="43">
      <x:c r="A43" s="58" t="n">
        <x:v>0.89</x:v>
      </x:c>
      <x:c r="B43" s="64" t="n">
        <x:f>IF(A43&gt;=1,"",IF(ABS(A43-$B$6)&lt;0.000001,$D$4,$B$4*(1-A43)))</x:f>
        <x:v>109999999.99999999</x:v>
      </x:c>
      <x:c r="C43" s="64" t="n">
        <x:f>IF(A43&gt;=1,"",IF(ABS(A43-$B$6)&lt;0.000001,$D$5,$D$6/B43))</x:f>
        <x:v>8909.09090909091</x:v>
      </x:c>
      <x:c r="D43" s="75" t="n">
        <x:f>IF(A43&gt;=1,"",B43*C43)</x:f>
        <x:v>980000000000</x:v>
      </x:c>
      <x:c r="E43" s="374" t="n">
        <x:f>IF(A43&gt;=1,"",C43/B43)</x:f>
        <x:v>0.0000809917355371901</x:v>
      </x:c>
      <x:c r="F43" s="374" t="n">
        <x:f>IF(ISNUMBER(E43),E43*$B$3/'币价'!$B$12,"")</x:f>
        <x:v>0.00006112380859489443</x:v>
      </x:c>
      <x:c r="G43" s="562" t="n">
        <x:f>IF(A43&gt;=1,"",E43*$B$4)</x:f>
        <x:v>80991.73553719009</x:v>
      </x:c>
      <x:c r="H43" s="562" t="n">
        <x:f>IF(A43&gt;=1,"",G43*$B$3)</x:f>
        <x:v>61072.7090909091</x:v>
      </x:c>
      <x:c r="I43" s="562" t="n">
        <x:f>IF(A43&gt;=1,"",C43-C42)</x:f>
        <x:v>387.35177865612604</x:v>
      </x:c>
      <x:c r="J43" s="562" t="n">
        <x:f>IF(A43&gt;=1,"",I43*(1+$B$8))</x:f>
        <x:v>388.32015810276636</x:v>
      </x:c>
      <x:c r="K43" s="567" t="n">
        <x:f>IF(A43&gt;=1,"不可达",$B$5+(C43-$D$5)*(1+$B$8))</x:f>
        <x:v>9069.117267566133</x:v>
      </x:c>
    </x:row>
    <x:row r="44">
      <x:c r="A44" s="58" t="n">
        <x:v>0.895</x:v>
      </x:c>
      <x:c r="B44" s="64" t="n">
        <x:f>IF(A44&gt;=1,"",IF(ABS(A44-$B$6)&lt;0.000001,$D$4,$B$4*(1-A44)))</x:f>
        <x:v>104999999.99999999</x:v>
      </x:c>
      <x:c r="C44" s="64" t="n">
        <x:f>IF(A44&gt;=1,"",IF(ABS(A44-$B$6)&lt;0.000001,$D$5,$D$6/B44))</x:f>
        <x:v>9333.333333333334</x:v>
      </x:c>
      <x:c r="D44" s="75" t="n">
        <x:f>IF(A44&gt;=1,"",B44*C44)</x:f>
        <x:v>979999999999.9999</x:v>
      </x:c>
      <x:c r="E44" s="374" t="n">
        <x:f>IF(A44&gt;=1,"",C44/B44)</x:f>
        <x:v>0.0000888888888888889</x:v>
      </x:c>
      <x:c r="F44" s="374" t="n">
        <x:f>IF(ISNUMBER(E44),E44*$B$3/'币价'!$B$12,"")</x:f>
        <x:v>0.00006708372643974809</x:v>
      </x:c>
      <x:c r="G44" s="562" t="n">
        <x:f>IF(A44&gt;=1,"",E44*$B$4)</x:f>
        <x:v>88888.8888888889</x:v>
      </x:c>
      <x:c r="H44" s="562" t="n">
        <x:f>IF(A44&gt;=1,"",G44*$B$3)</x:f>
        <x:v>67027.64444444445</x:v>
      </x:c>
      <x:c r="I44" s="562" t="n">
        <x:f>IF(A44&gt;=1,"",C44-C43)</x:f>
        <x:v>424.242424242424</x:v>
      </x:c>
      <x:c r="J44" s="562" t="n">
        <x:f>IF(A44&gt;=1,"",I44*(1+$B$8))</x:f>
        <x:v>425.3030303030301</x:v>
      </x:c>
      <x:c r="K44" s="567" t="n">
        <x:f>IF(A44&gt;=1,"不可达",$B$5+(C44-$D$5)*(1+$B$8))</x:f>
        <x:v>9494.420297869165</x:v>
      </x:c>
    </x:row>
    <x:row r="45">
      <x:c r="A45" s="58" t="n">
        <x:v>0.9</x:v>
      </x:c>
      <x:c r="B45" s="64" t="n">
        <x:f>IF(A45&gt;=1,"",IF(ABS(A45-$B$6)&lt;0.000001,$D$4,$B$4*(1-A45)))</x:f>
        <x:v>99999999.99999999</x:v>
      </x:c>
      <x:c r="C45" s="64" t="n">
        <x:f>IF(A45&gt;=1,"",IF(ABS(A45-$B$6)&lt;0.000001,$D$5,$D$6/B45))</x:f>
        <x:v>9800.000000000002</x:v>
      </x:c>
      <x:c r="D45" s="75" t="n">
        <x:f>IF(A45&gt;=1,"",B45*C45)</x:f>
        <x:v>980000000000</x:v>
      </x:c>
      <x:c r="E45" s="374" t="n">
        <x:f>IF(A45&gt;=1,"",C45/B45)</x:f>
        <x:v>0.00009800000000000004</x:v>
      </x:c>
      <x:c r="F45" s="374" t="n">
        <x:f>IF(ISNUMBER(E45),E45*$B$3/'币价'!$B$12,"")</x:f>
        <x:v>0.00007395980839982228</x:v>
      </x:c>
      <x:c r="G45" s="562" t="n">
        <x:f>IF(A45&gt;=1,"",E45*$B$4)</x:f>
        <x:v>98000.00000000004</x:v>
      </x:c>
      <x:c r="H45" s="562" t="n">
        <x:f>IF(A45&gt;=1,"",G45*$B$3)</x:f>
        <x:v>73897.97800000003</x:v>
      </x:c>
      <x:c r="I45" s="562" t="n">
        <x:f>IF(A45&gt;=1,"",C45-C44)</x:f>
        <x:v>466.6666666666679</x:v>
      </x:c>
      <x:c r="J45" s="562" t="n">
        <x:f>IF(A45&gt;=1,"",I45*(1+$B$8))</x:f>
        <x:v>467.8333333333345</x:v>
      </x:c>
      <x:c r="K45" s="567" t="n">
        <x:f>IF(A45&gt;=1,"不可达",$B$5+(C45-$D$5)*(1+$B$8))</x:f>
        <x:v>9962.253631202499</x:v>
      </x:c>
    </x:row>
    <x:row r="46">
      <x:c r="A46" s="58" t="n">
        <x:v>0.905</x:v>
      </x:c>
      <x:c r="B46" s="64" t="n">
        <x:f>IF(A46&gt;=1,"",IF(ABS(A46-$B$6)&lt;0.000001,$D$4,$B$4*(1-A46)))</x:f>
        <x:v>94999999.99999997</x:v>
      </x:c>
      <x:c r="C46" s="64" t="n">
        <x:f>IF(A46&gt;=1,"",IF(ABS(A46-$B$6)&lt;0.000001,$D$5,$D$6/B46))</x:f>
        <x:v>10315.789473684214</x:v>
      </x:c>
      <x:c r="D46" s="75" t="n">
        <x:f>IF(A46&gt;=1,"",B46*C46)</x:f>
        <x:v>980000000000</x:v>
      </x:c>
      <x:c r="E46" s="374" t="n">
        <x:f>IF(A46&gt;=1,"",C46/B46)</x:f>
        <x:v>0.0001085872576177286</x:v>
      </x:c>
      <x:c r="F46" s="374" t="n">
        <x:f>IF(ISNUMBER(E46),E46*$B$3/'币价'!$B$12,"")</x:f>
        <x:v>0.00008194992620478924</x:v>
      </x:c>
      <x:c r="G46" s="562" t="n">
        <x:f>IF(A46&gt;=1,"",E46*$B$4)</x:f>
        <x:v>108587.25761772861</x:v>
      </x:c>
      <x:c r="H46" s="562" t="n">
        <x:f>IF(A46&gt;=1,"",G46*$B$3)</x:f>
        <x:v>81881.41606648205</x:v>
      </x:c>
      <x:c r="I46" s="562" t="n">
        <x:f>IF(A46&gt;=1,"",C46-C45)</x:f>
        <x:v>515.7894736842118</x:v>
      </x:c>
      <x:c r="J46" s="562" t="n">
        <x:f>IF(A46&gt;=1,"",I46*(1+$B$8))</x:f>
        <x:v>517.0789473684223</x:v>
      </x:c>
      <x:c r="K46" s="567" t="n">
        <x:f>IF(A46&gt;=1,"不可达",$B$5+(C46-$D$5)*(1+$B$8))</x:f>
        <x:v>10479.33257857092</x:v>
      </x:c>
    </x:row>
    <x:row r="47">
      <x:c r="A47" s="58" t="n">
        <x:v>0.91</x:v>
      </x:c>
      <x:c r="B47" s="64" t="n">
        <x:f>IF(A47&gt;=1,"",IF(ABS(A47-$B$6)&lt;0.000001,$D$4,$B$4*(1-A47)))</x:f>
        <x:v>89999999.99999997</x:v>
      </x:c>
      <x:c r="C47" s="64" t="n">
        <x:f>IF(A47&gt;=1,"",IF(ABS(A47-$B$6)&lt;0.000001,$D$5,$D$6/B47))</x:f>
        <x:v>10888.888888888892</x:v>
      </x:c>
      <x:c r="D47" s="75" t="n">
        <x:f>IF(A47&gt;=1,"",B47*C47)</x:f>
        <x:v>980000000000</x:v>
      </x:c>
      <x:c r="E47" s="374" t="n">
        <x:f>IF(A47&gt;=1,"",C47/B47)</x:f>
        <x:v>0.00012098765432098773</x:v>
      </x:c>
      <x:c r="F47" s="374" t="n">
        <x:f>IF(ISNUMBER(E47),E47*$B$3/'币价'!$B$12,"")</x:f>
        <x:v>0.00009130840543187937</x:v>
      </x:c>
      <x:c r="G47" s="562" t="n">
        <x:f>IF(A47&gt;=1,"",E47*$B$4)</x:f>
        <x:v>120987.65432098773</x:v>
      </x:c>
      <x:c r="H47" s="562" t="n">
        <x:f>IF(A47&gt;=1,"",G47*$B$3)</x:f>
        <x:v>91232.07160493832</x:v>
      </x:c>
      <x:c r="I47" s="562" t="n">
        <x:f>IF(A47&gt;=1,"",C47-C46)</x:f>
        <x:v>573.0994152046787</x:v>
      </x:c>
      <x:c r="J47" s="562" t="n">
        <x:f>IF(A47&gt;=1,"",I47*(1+$B$8))</x:f>
        <x:v>574.5321637426904</x:v>
      </x:c>
      <x:c r="K47" s="567" t="n">
        <x:f>IF(A47&gt;=1,"不可达",$B$5+(C47-$D$5)*(1+$B$8))</x:f>
        <x:v>11053.86474231361</x:v>
      </x:c>
    </x:row>
    <x:row r="48">
      <x:c r="A48" s="58" t="n">
        <x:v>0.915</x:v>
      </x:c>
      <x:c r="B48" s="64" t="n">
        <x:f>IF(A48&gt;=1,"",IF(ABS(A48-$B$6)&lt;0.000001,$D$4,$B$4*(1-A48)))</x:f>
        <x:v>84999999.99999997</x:v>
      </x:c>
      <x:c r="C48" s="64" t="n">
        <x:f>IF(A48&gt;=1,"",IF(ABS(A48-$B$6)&lt;0.000001,$D$5,$D$6/B48))</x:f>
        <x:v>11529.411764705887</x:v>
      </x:c>
      <x:c r="D48" s="75" t="n">
        <x:f>IF(A48&gt;=1,"",B48*C48)</x:f>
        <x:v>980000000000</x:v>
      </x:c>
      <x:c r="E48" s="374" t="n">
        <x:f>IF(A48&gt;=1,"",C48/B48)</x:f>
        <x:v>0.0001356401384083046</x:v>
      </x:c>
      <x:c r="F48" s="374" t="n">
        <x:f>IF(ISNUMBER(E48),E48*$B$3/'币价'!$B$12,"")</x:f>
        <x:v>0.00010236651681636304</x:v>
      </x:c>
      <x:c r="G48" s="562" t="n">
        <x:f>IF(A48&gt;=1,"",E48*$B$4)</x:f>
        <x:v>135640.1384083046</x:v>
      </x:c>
      <x:c r="H48" s="562" t="n">
        <x:f>IF(A48&gt;=1,"",G48*$B$3)</x:f>
        <x:v>102280.93840830457</x:v>
      </x:c>
      <x:c r="I48" s="562" t="n">
        <x:f>IF(A48&gt;=1,"",C48-C47)</x:f>
        <x:v>640.5228758169942</x:v>
      </x:c>
      <x:c r="J48" s="562" t="n">
        <x:f>IF(A48&gt;=1,"",I48*(1+$B$8))</x:f>
        <x:v>642.1241830065367</x:v>
      </x:c>
      <x:c r="K48" s="567" t="n">
        <x:f>IF(A48&gt;=1,"不可达",$B$5+(C48-$D$5)*(1+$B$8))</x:f>
        <x:v>11695.988925320147</x:v>
      </x:c>
    </x:row>
    <x:row r="49">
      <x:c r="A49" s="58" t="n">
        <x:v>0.92</x:v>
      </x:c>
      <x:c r="B49" s="64" t="n">
        <x:f>IF(A49&gt;=1,"",IF(ABS(A49-$B$6)&lt;0.000001,$D$4,$B$4*(1-A49)))</x:f>
        <x:v>79999999.99999996</x:v>
      </x:c>
      <x:c r="C49" s="64" t="n">
        <x:f>IF(A49&gt;=1,"",IF(ABS(A49-$B$6)&lt;0.000001,$D$5,$D$6/B49))</x:f>
        <x:v>12250.000000000007</x:v>
      </x:c>
      <x:c r="D49" s="75" t="n">
        <x:f>IF(A49&gt;=1,"",B49*C49)</x:f>
        <x:v>980000000000</x:v>
      </x:c>
      <x:c r="E49" s="374" t="n">
        <x:f>IF(A49&gt;=1,"",C49/B49)</x:f>
        <x:v>0.00015312500000000018</x:v>
      </x:c>
      <x:c r="F49" s="374" t="n">
        <x:f>IF(ISNUMBER(E49),E49*$B$3/'币价'!$B$12,"")</x:f>
        <x:v>0.0001155622006247224</x:v>
      </x:c>
      <x:c r="G49" s="562" t="n">
        <x:f>IF(A49&gt;=1,"",E49*$B$4)</x:f>
        <x:v>153125.00000000017</x:v>
      </x:c>
      <x:c r="H49" s="562" t="n">
        <x:f>IF(A49&gt;=1,"",G49*$B$3)</x:f>
        <x:v>115465.59062500013</x:v>
      </x:c>
      <x:c r="I49" s="562" t="n">
        <x:f>IF(A49&gt;=1,"",C49-C48)</x:f>
        <x:v>720.5882352941208</x:v>
      </x:c>
      <x:c r="J49" s="562" t="n">
        <x:f>IF(A49&gt;=1,"",I49*(1+$B$8))</x:f>
        <x:v>722.389705882356</x:v>
      </x:c>
      <x:c r="K49" s="567" t="n">
        <x:f>IF(A49&gt;=1,"不可达",$B$5+(C49-$D$5)*(1+$B$8))</x:f>
        <x:v>12418.378631202504</x:v>
      </x:c>
    </x:row>
    <x:row r="50">
      <x:c r="A50" s="58" t="n">
        <x:v>0.925</x:v>
      </x:c>
      <x:c r="B50" s="64" t="n">
        <x:f>IF(A50&gt;=1,"",IF(ABS(A50-$B$6)&lt;0.000001,$D$4,$B$4*(1-A50)))</x:f>
        <x:v>74999999.99999996</x:v>
      </x:c>
      <x:c r="C50" s="64" t="n">
        <x:f>IF(A50&gt;=1,"",IF(ABS(A50-$B$6)&lt;0.000001,$D$5,$D$6/B50))</x:f>
        <x:v>13066.666666666675</x:v>
      </x:c>
      <x:c r="D50" s="75" t="n">
        <x:f>IF(A50&gt;=1,"",B50*C50)</x:f>
        <x:v>980000000000</x:v>
      </x:c>
      <x:c r="E50" s="374" t="n">
        <x:f>IF(A50&gt;=1,"",C50/B50)</x:f>
        <x:v>0.00017422222222222245</x:v>
      </x:c>
      <x:c r="F50" s="374" t="n">
        <x:f>IF(ISNUMBER(E50),E50*$B$3/'币价'!$B$12,"")</x:f>
        <x:v>0.00013148410382190638</x:v>
      </x:c>
      <x:c r="G50" s="562" t="n">
        <x:f>IF(A50&gt;=1,"",E50*$B$4)</x:f>
        <x:v>174222.22222222245</x:v>
      </x:c>
      <x:c r="H50" s="562" t="n">
        <x:f>IF(A50&gt;=1,"",G50*$B$3)</x:f>
        <x:v>131374.18311111128</x:v>
      </x:c>
      <x:c r="I50" s="562" t="n">
        <x:f>IF(A50&gt;=1,"",C50-C49)</x:f>
        <x:v>816.6666666666679</x:v>
      </x:c>
      <x:c r="J50" s="562" t="n">
        <x:f>IF(A50&gt;=1,"",I50*(1+$B$8))</x:f>
        <x:v>818.7083333333345</x:v>
      </x:c>
      <x:c r="K50" s="567" t="n">
        <x:f>IF(A50&gt;=1,"不可达",$B$5+(C50-$D$5)*(1+$B$8))</x:f>
        <x:v>13237.086964535838</x:v>
      </x:c>
    </x:row>
    <x:row r="51">
      <x:c r="A51" s="58" t="n">
        <x:v>0.93</x:v>
      </x:c>
      <x:c r="B51" s="64" t="n">
        <x:f>IF(A51&gt;=1,"",IF(ABS(A51-$B$6)&lt;0.000001,$D$4,$B$4*(1-A51)))</x:f>
        <x:v>69999999.99999996</x:v>
      </x:c>
      <x:c r="C51" s="64" t="n">
        <x:f>IF(A51&gt;=1,"",IF(ABS(A51-$B$6)&lt;0.000001,$D$5,$D$6/B51))</x:f>
        <x:v>14000.00000000001</x:v>
      </x:c>
      <x:c r="D51" s="75" t="n">
        <x:f>IF(A51&gt;=1,"",B51*C51)</x:f>
        <x:v>980000000000</x:v>
      </x:c>
      <x:c r="E51" s="374" t="n">
        <x:f>IF(A51&gt;=1,"",C51/B51)</x:f>
        <x:v>0.00020000000000000025</x:v>
      </x:c>
      <x:c r="F51" s="374" t="n">
        <x:f>IF(ISNUMBER(E51),E51*$B$3/'币价'!$B$12,"")</x:f>
        <x:v>0.00015093838448943333</x:v>
      </x:c>
      <x:c r="G51" s="562" t="n">
        <x:f>IF(A51&gt;=1,"",E51*$B$4)</x:f>
        <x:v>200000.00000000026</x:v>
      </x:c>
      <x:c r="H51" s="562" t="n">
        <x:f>IF(A51&gt;=1,"",G51*$B$3)</x:f>
        <x:v>150812.2000000002</x:v>
      </x:c>
      <x:c r="I51" s="562" t="n">
        <x:f>IF(A51&gt;=1,"",C51-C50)</x:f>
        <x:v>933.3333333333339</x:v>
      </x:c>
      <x:c r="J51" s="562" t="n">
        <x:f>IF(A51&gt;=1,"",I51*(1+$B$8))</x:f>
        <x:v>935.6666666666672</x:v>
      </x:c>
      <x:c r="K51" s="567" t="n">
        <x:f>IF(A51&gt;=1,"不可达",$B$5+(C51-$D$5)*(1+$B$8))</x:f>
        <x:v>14172.753631202506</x:v>
      </x:c>
    </x:row>
    <x:row r="52">
      <x:c r="A52" s="58" t="n">
        <x:v>0.935</x:v>
      </x:c>
      <x:c r="B52" s="64" t="n">
        <x:f>IF(A52&gt;=1,"",IF(ABS(A52-$B$6)&lt;0.000001,$D$4,$B$4*(1-A52)))</x:f>
        <x:v>64999999.99999995</x:v>
      </x:c>
      <x:c r="C52" s="64" t="n">
        <x:f>IF(A52&gt;=1,"",IF(ABS(A52-$B$6)&lt;0.000001,$D$5,$D$6/B52))</x:f>
        <x:v>15076.923076923089</x:v>
      </x:c>
      <x:c r="D52" s="75" t="n">
        <x:f>IF(A52&gt;=1,"",B52*C52)</x:f>
        <x:v>980000000000</x:v>
      </x:c>
      <x:c r="E52" s="374" t="n">
        <x:f>IF(A52&gt;=1,"",C52/B52)</x:f>
        <x:v>0.00023195266272189386</x:v>
      </x:c>
      <x:c r="F52" s="374" t="n">
        <x:f>IF(ISNUMBER(E52),E52*$B$3/'币价'!$B$12,"")</x:f>
        <x:v>0.0001750528009463251</x:v>
      </x:c>
      <x:c r="G52" s="562" t="n">
        <x:f>IF(A52&gt;=1,"",E52*$B$4)</x:f>
        <x:v>231952.66272189387</x:v>
      </x:c>
      <x:c r="H52" s="562" t="n">
        <x:f>IF(A52&gt;=1,"",G52*$B$3)</x:f>
        <x:v>174906.456804734</x:v>
      </x:c>
      <x:c r="I52" s="562" t="n">
        <x:f>IF(A52&gt;=1,"",C52-C51)</x:f>
        <x:v>1076.9230769230799</x:v>
      </x:c>
      <x:c r="J52" s="562" t="n">
        <x:f>IF(A52&gt;=1,"",I52*(1+$B$8))</x:f>
        <x:v>1079.6153846153875</x:v>
      </x:c>
      <x:c r="K52" s="567" t="n">
        <x:f>IF(A52&gt;=1,"不可达",$B$5+(C52-$D$5)*(1+$B$8))</x:f>
        <x:v>15252.369015817892</x:v>
      </x:c>
    </x:row>
    <x:row r="53">
      <x:c r="A53" s="58" t="n">
        <x:v>0.94</x:v>
      </x:c>
      <x:c r="B53" s="64" t="n">
        <x:f>IF(A53&gt;=1,"",IF(ABS(A53-$B$6)&lt;0.000001,$D$4,$B$4*(1-A53)))</x:f>
        <x:v>60000000.00000005</x:v>
      </x:c>
      <x:c r="C53" s="64" t="n">
        <x:f>IF(A53&gt;=1,"",IF(ABS(A53-$B$6)&lt;0.000001,$D$5,$D$6/B53))</x:f>
        <x:v>16333.33333333332</x:v>
      </x:c>
      <x:c r="D53" s="75" t="n">
        <x:f>IF(A53&gt;=1,"",B53*C53)</x:f>
        <x:v>980000000000</x:v>
      </x:c>
      <x:c r="E53" s="374" t="n">
        <x:f>IF(A53&gt;=1,"",C53/B53)</x:f>
        <x:v>0.00027222222222222177</x:v>
      </x:c>
      <x:c r="F53" s="374" t="n">
        <x:f>IF(ISNUMBER(E53),E53*$B$3/'币价'!$B$12,"")</x:f>
        <x:v>0.00020544391222172812</x:v>
      </x:c>
      <x:c r="G53" s="562" t="n">
        <x:f>IF(A53&gt;=1,"",E53*$B$4)</x:f>
        <x:v>272222.2222222218</x:v>
      </x:c>
      <x:c r="H53" s="562" t="n">
        <x:f>IF(A53&gt;=1,"",G53*$B$3)</x:f>
        <x:v>205272.16111111076</x:v>
      </x:c>
      <x:c r="I53" s="562" t="n">
        <x:f>IF(A53&gt;=1,"",C53-C52)</x:f>
        <x:v>1256.4102564102304</x:v>
      </x:c>
      <x:c r="J53" s="562" t="n">
        <x:f>IF(A53&gt;=1,"",I53*(1+$B$8))</x:f>
        <x:v>1259.5512820512558</x:v>
      </x:c>
      <x:c r="K53" s="567" t="n">
        <x:f>IF(A53&gt;=1,"不可达",$B$5+(C53-$D$5)*(1+$B$8))</x:f>
        <x:v>16511.920297869146</x:v>
      </x:c>
    </x:row>
    <x:row r="54">
      <x:c r="A54" s="58" t="n">
        <x:v>0.945</x:v>
      </x:c>
      <x:c r="B54" s="64" t="n">
        <x:f>IF(A54&gt;=1,"",IF(ABS(A54-$B$6)&lt;0.000001,$D$4,$B$4*(1-A54)))</x:f>
        <x:v>55000000.00000005</x:v>
      </x:c>
      <x:c r="C54" s="64" t="n">
        <x:f>IF(A54&gt;=1,"",IF(ABS(A54-$B$6)&lt;0.000001,$D$5,$D$6/B54))</x:f>
        <x:v>17818.1818181818</x:v>
      </x:c>
      <x:c r="D54" s="75" t="n">
        <x:f>IF(A54&gt;=1,"",B54*C54)</x:f>
        <x:v>980000000000</x:v>
      </x:c>
      <x:c r="E54" s="374" t="n">
        <x:f>IF(A54&gt;=1,"",C54/B54)</x:f>
        <x:v>0.00032396694214875975</x:v>
      </x:c>
      <x:c r="F54" s="374" t="n">
        <x:f>IF(ISNUMBER(E54),E54*$B$3/'币价'!$B$12,"")</x:f>
        <x:v>0.0002444952343795772</x:v>
      </x:c>
      <x:c r="G54" s="562" t="n">
        <x:f>IF(A54&gt;=1,"",E54*$B$4)</x:f>
        <x:v>323966.9421487597</x:v>
      </x:c>
      <x:c r="H54" s="562" t="n">
        <x:f>IF(A54&gt;=1,"",G54*$B$3)</x:f>
        <x:v>244290.8363636359</x:v>
      </x:c>
      <x:c r="I54" s="562" t="n">
        <x:f>IF(A54&gt;=1,"",C54-C53)</x:f>
        <x:v>1484.8484848484823</x:v>
      </x:c>
      <x:c r="J54" s="562" t="n">
        <x:f>IF(A54&gt;=1,"",I54*(1+$B$8))</x:f>
        <x:v>1488.5606060606033</x:v>
      </x:c>
      <x:c r="K54" s="567" t="n">
        <x:f>IF(A54&gt;=1,"不可达",$B$5+(C54-$D$5)*(1+$B$8))</x:f>
        <x:v>18000.480903929754</x:v>
      </x:c>
    </x:row>
    <x:row r="55">
      <x:c r="A55" s="58" t="n">
        <x:v>0.95</x:v>
      </x:c>
      <x:c r="B55" s="64" t="n">
        <x:f>IF(A55&gt;=1,"",IF(ABS(A55-$B$6)&lt;0.000001,$D$4,$B$4*(1-A55)))</x:f>
        <x:v>50000000.000000045</x:v>
      </x:c>
      <x:c r="C55" s="64" t="n">
        <x:f>IF(A55&gt;=1,"",IF(ABS(A55-$B$6)&lt;0.000001,$D$5,$D$6/B55))</x:f>
        <x:v>19599.99999999998</x:v>
      </x:c>
      <x:c r="D55" s="75" t="n">
        <x:f>IF(A55&gt;=1,"",B55*C55)</x:f>
        <x:v>980000000000</x:v>
      </x:c>
      <x:c r="E55" s="374" t="n">
        <x:f>IF(A55&gt;=1,"",C55/B55)</x:f>
        <x:v>0.0003919999999999993</x:v>
      </x:c>
      <x:c r="F55" s="374" t="n">
        <x:f>IF(ISNUMBER(E55),E55*$B$3/'币价'!$B$12,"")</x:f>
        <x:v>0.00029583923359928846</x:v>
      </x:c>
      <x:c r="G55" s="562" t="n">
        <x:f>IF(A55&gt;=1,"",E55*$B$4)</x:f>
        <x:v>391999.9999999993</x:v>
      </x:c>
      <x:c r="H55" s="562" t="n">
        <x:f>IF(A55&gt;=1,"",G55*$B$3)</x:f>
        <x:v>295591.9119999995</x:v>
      </x:c>
      <x:c r="I55" s="562" t="n">
        <x:f>IF(A55&gt;=1,"",C55-C54)</x:f>
        <x:v>1781.8181818181802</x:v>
      </x:c>
      <x:c r="J55" s="562" t="n">
        <x:f>IF(A55&gt;=1,"",I55*(1+$B$8))</x:f>
        <x:v>1786.2727272727254</x:v>
      </x:c>
      <x:c r="K55" s="567" t="n">
        <x:f>IF(A55&gt;=1,"不可达",$B$5+(C55-$D$5)*(1+$B$8))</x:f>
        <x:v>19786.75363120248</x:v>
      </x:c>
    </x:row>
    <x:row r="56">
      <x:c r="A56" s="58" t="n">
        <x:v>0.955</x:v>
      </x:c>
      <x:c r="B56" s="64" t="n">
        <x:f>IF(A56&gt;=1,"",IF(ABS(A56-$B$6)&lt;0.000001,$D$4,$B$4*(1-A56)))</x:f>
        <x:v>45000000.00000004</x:v>
      </x:c>
      <x:c r="C56" s="64" t="n">
        <x:f>IF(A56&gt;=1,"",IF(ABS(A56-$B$6)&lt;0.000001,$D$5,$D$6/B56))</x:f>
        <x:v>21777.77777777776</x:v>
      </x:c>
      <x:c r="D56" s="75" t="n">
        <x:f>IF(A56&gt;=1,"",B56*C56)</x:f>
        <x:v>980000000000</x:v>
      </x:c>
      <x:c r="E56" s="374" t="n">
        <x:f>IF(A56&gt;=1,"",C56/B56)</x:f>
        <x:v>0.0004839506172839498</x:v>
      </x:c>
      <x:c r="F56" s="374" t="n">
        <x:f>IF(ISNUMBER(E56),E56*$B$3/'币价'!$B$12,"")</x:f>
        <x:v>0.0003652336217275166</x:v>
      </x:c>
      <x:c r="G56" s="562" t="n">
        <x:f>IF(A56&gt;=1,"",E56*$B$4)</x:f>
        <x:v>483950.6172839498</x:v>
      </x:c>
      <x:c r="H56" s="562" t="n">
        <x:f>IF(A56&gt;=1,"",G56*$B$3)</x:f>
        <x:v>364928.28641975246</x:v>
      </x:c>
      <x:c r="I56" s="562" t="n">
        <x:f>IF(A56&gt;=1,"",C56-C55)</x:f>
        <x:v>2177.7777777777774</x:v>
      </x:c>
      <x:c r="J56" s="562" t="n">
        <x:f>IF(A56&gt;=1,"",I56*(1+$B$8))</x:f>
        <x:v>2183.2222222222217</x:v>
      </x:c>
      <x:c r="K56" s="567" t="n">
        <x:f>IF(A56&gt;=1,"不可达",$B$5+(C56-$D$5)*(1+$B$8))</x:f>
        <x:v>21969.9758534247</x:v>
      </x:c>
    </x:row>
    <x:row r="57">
      <x:c r="A57" s="58" t="n">
        <x:v>0.96</x:v>
      </x:c>
      <x:c r="B57" s="64" t="n">
        <x:f>IF(A57&gt;=1,"",IF(ABS(A57-$B$6)&lt;0.000001,$D$4,$B$4*(1-A57)))</x:f>
        <x:v>40000000.00000004</x:v>
      </x:c>
      <x:c r="C57" s="64" t="n">
        <x:f>IF(A57&gt;=1,"",IF(ABS(A57-$B$6)&lt;0.000001,$D$5,$D$6/B57))</x:f>
        <x:v>24499.999999999978</x:v>
      </x:c>
      <x:c r="D57" s="75" t="n">
        <x:f>IF(A57&gt;=1,"",B57*C57)</x:f>
        <x:v>980000000000</x:v>
      </x:c>
      <x:c r="E57" s="374" t="n">
        <x:f>IF(A57&gt;=1,"",C57/B57)</x:f>
        <x:v>0.0006124999999999989</x:v>
      </x:c>
      <x:c r="F57" s="374" t="n">
        <x:f>IF(ISNUMBER(E57),E57*$B$3/'币价'!$B$12,"")</x:f>
        <x:v>0.0004622488024988882</x:v>
      </x:c>
      <x:c r="G57" s="562" t="n">
        <x:f>IF(A57&gt;=1,"",E57*$B$4)</x:f>
        <x:v>612499.999999999</x:v>
      </x:c>
      <x:c r="H57" s="562" t="n">
        <x:f>IF(A57&gt;=1,"",G57*$B$3)</x:f>
        <x:v>461862.3624999992</x:v>
      </x:c>
      <x:c r="I57" s="562" t="n">
        <x:f>IF(A57&gt;=1,"",C57-C56)</x:f>
        <x:v>2722.222222222219</x:v>
      </x:c>
      <x:c r="J57" s="562" t="n">
        <x:f>IF(A57&gt;=1,"",I57*(1+$B$8))</x:f>
        <x:v>2729.027777777774</x:v>
      </x:c>
      <x:c r="K57" s="567" t="n">
        <x:f>IF(A57&gt;=1,"不可达",$B$5+(C57-$D$5)*(1+$B$8))</x:f>
        <x:v>24699.003631202475</x:v>
      </x:c>
    </x:row>
    <x:row r="58">
      <x:c r="A58" s="58" t="n">
        <x:v>0.965</x:v>
      </x:c>
      <x:c r="B58" s="64" t="n">
        <x:f>IF(A58&gt;=1,"",IF(ABS(A58-$B$6)&lt;0.000001,$D$4,$B$4*(1-A58)))</x:f>
        <x:v>35000000.00000003</x:v>
      </x:c>
      <x:c r="C58" s="64" t="n">
        <x:f>IF(A58&gt;=1,"",IF(ABS(A58-$B$6)&lt;0.000001,$D$5,$D$6/B58))</x:f>
        <x:v>27999.999999999975</x:v>
      </x:c>
      <x:c r="D58" s="75" t="n">
        <x:f>IF(A58&gt;=1,"",B58*C58)</x:f>
        <x:v>980000000000</x:v>
      </x:c>
      <x:c r="E58" s="374" t="n">
        <x:f>IF(A58&gt;=1,"",C58/B58)</x:f>
        <x:v>0.0007999999999999986</x:v>
      </x:c>
      <x:c r="F58" s="374" t="n">
        <x:f>IF(ISNUMBER(E58),E58*$B$3/'币价'!$B$12,"")</x:f>
        <x:v>0.0006037535379577316</x:v>
      </x:c>
      <x:c r="G58" s="562" t="n">
        <x:f>IF(A58&gt;=1,"",E58*$B$4)</x:f>
        <x:v>799999.9999999986</x:v>
      </x:c>
      <x:c r="H58" s="562" t="n">
        <x:f>IF(A58&gt;=1,"",G58*$B$3)</x:f>
        <x:v>603248.7999999989</x:v>
      </x:c>
      <x:c r="I58" s="562" t="n">
        <x:f>IF(A58&gt;=1,"",C58-C57)</x:f>
        <x:v>3499.9999999999964</x:v>
      </x:c>
      <x:c r="J58" s="562" t="n">
        <x:f>IF(A58&gt;=1,"",I58*(1+$B$8))</x:f>
        <x:v>3508.7499999999964</x:v>
      </x:c>
      <x:c r="K58" s="567" t="n">
        <x:f>IF(A58&gt;=1,"不可达",$B$5+(C58-$D$5)*(1+$B$8))</x:f>
        <x:v>28207.75363120247</x:v>
      </x:c>
    </x:row>
    <x:row r="59">
      <x:c r="A59" s="58" t="n">
        <x:v>0.97</x:v>
      </x:c>
      <x:c r="B59" s="64" t="n">
        <x:f>IF(A59&gt;=1,"",IF(ABS(A59-$B$6)&lt;0.000001,$D$4,$B$4*(1-A59)))</x:f>
        <x:v>30000000.000000026</x:v>
      </x:c>
      <x:c r="C59" s="64" t="n">
        <x:f>IF(A59&gt;=1,"",IF(ABS(A59-$B$6)&lt;0.000001,$D$5,$D$6/B59))</x:f>
        <x:v>32666.66666666664</x:v>
      </x:c>
      <x:c r="D59" s="75" t="n">
        <x:f>IF(A59&gt;=1,"",B59*C59)</x:f>
        <x:v>980000000000</x:v>
      </x:c>
      <x:c r="E59" s="374" t="n">
        <x:f>IF(A59&gt;=1,"",C59/B59)</x:f>
        <x:v>0.001088888888888887</x:v>
      </x:c>
      <x:c r="F59" s="374" t="n">
        <x:f>IF(ISNUMBER(E59),E59*$B$3/'币价'!$B$12,"")</x:f>
        <x:v>0.0008217756488869125</x:v>
      </x:c>
      <x:c r="G59" s="562" t="n">
        <x:f>IF(A59&gt;=1,"",E59*$B$4)</x:f>
        <x:v>1088888.8888888871</x:v>
      </x:c>
      <x:c r="H59" s="562" t="n">
        <x:f>IF(A59&gt;=1,"",G59*$B$3)</x:f>
        <x:v>821088.644444443</x:v>
      </x:c>
      <x:c r="I59" s="562" t="n">
        <x:f>IF(A59&gt;=1,"",C59-C58)</x:f>
        <x:v>4666.666666666664</x:v>
      </x:c>
      <x:c r="J59" s="562" t="n">
        <x:f>IF(A59&gt;=1,"",I59*(1+$B$8))</x:f>
        <x:v>4678.33333333333</x:v>
      </x:c>
      <x:c r="K59" s="567" t="n">
        <x:f>IF(A59&gt;=1,"不可达",$B$5+(C59-$D$5)*(1+$B$8))</x:f>
        <x:v>32886.0869645358</x:v>
      </x:c>
    </x:row>
    <x:row r="60">
      <x:c r="A60" s="58" t="n">
        <x:v>0.975</x:v>
      </x:c>
      <x:c r="B60" s="64" t="n">
        <x:f>IF(A60&gt;=1,"",IF(ABS(A60-$B$6)&lt;0.000001,$D$4,$B$4*(1-A60)))</x:f>
        <x:v>25000000.000000022</x:v>
      </x:c>
      <x:c r="C60" s="64" t="n">
        <x:f>IF(A60&gt;=1,"",IF(ABS(A60-$B$6)&lt;0.000001,$D$5,$D$6/B60))</x:f>
        <x:v>39199.99999999996</x:v>
      </x:c>
      <x:c r="D60" s="75" t="n">
        <x:f>IF(A60&gt;=1,"",B60*C60)</x:f>
        <x:v>980000000000</x:v>
      </x:c>
      <x:c r="E60" s="374" t="n">
        <x:f>IF(A60&gt;=1,"",C60/B60)</x:f>
        <x:v>0.0015679999999999971</x:v>
      </x:c>
      <x:c r="F60" s="374" t="n">
        <x:f>IF(ISNUMBER(E60),E60*$B$3/'币价'!$B$12,"")</x:f>
        <x:v>0.0011833569343971538</x:v>
      </x:c>
      <x:c r="G60" s="562" t="n">
        <x:f>IF(A60&gt;=1,"",E60*$B$4)</x:f>
        <x:v>1567999.9999999972</x:v>
      </x:c>
      <x:c r="H60" s="562" t="n">
        <x:f>IF(A60&gt;=1,"",G60*$B$3)</x:f>
        <x:v>1182367.647999998</x:v>
      </x:c>
      <x:c r="I60" s="562" t="n">
        <x:f>IF(A60&gt;=1,"",C60-C59)</x:f>
        <x:v>6533.333333333325</x:v>
      </x:c>
      <x:c r="J60" s="562" t="n">
        <x:f>IF(A60&gt;=1,"",I60*(1+$B$8))</x:f>
        <x:v>6549.666666666658</x:v>
      </x:c>
      <x:c r="K60" s="567" t="n">
        <x:f>IF(A60&gt;=1,"不可达",$B$5+(C60-$D$5)*(1+$B$8))</x:f>
        <x:v>39435.75363120246</x:v>
      </x:c>
    </x:row>
    <x:row r="61">
      <x:c r="A61" s="58" t="n">
        <x:v>0.98</x:v>
      </x:c>
      <x:c r="B61" s="64" t="n">
        <x:f>IF(A61&gt;=1,"",IF(ABS(A61-$B$6)&lt;0.000001,$D$4,$B$4*(1-A61)))</x:f>
        <x:v>20000000.00000002</x:v>
      </x:c>
      <x:c r="C61" s="64" t="n">
        <x:f>IF(A61&gt;=1,"",IF(ABS(A61-$B$6)&lt;0.000001,$D$5,$D$6/B61))</x:f>
        <x:v>48999.999999999956</x:v>
      </x:c>
      <x:c r="D61" s="75" t="n">
        <x:f>IF(A61&gt;=1,"",B61*C61)</x:f>
        <x:v>980000000000</x:v>
      </x:c>
      <x:c r="E61" s="374" t="n">
        <x:f>IF(A61&gt;=1,"",C61/B61)</x:f>
        <x:v>0.0024499999999999956</x:v>
      </x:c>
      <x:c r="F61" s="374" t="n">
        <x:f>IF(ISNUMBER(E61),E61*$B$3/'币价'!$B$12,"")</x:f>
        <x:v>0.0018489952099955528</x:v>
      </x:c>
      <x:c r="G61" s="562" t="n">
        <x:f>IF(A61&gt;=1,"",E61*$B$4)</x:f>
        <x:v>2449999.999999996</x:v>
      </x:c>
      <x:c r="H61" s="562" t="n">
        <x:f>IF(A61&gt;=1,"",G61*$B$3)</x:f>
        <x:v>1847449.4499999967</x:v>
      </x:c>
      <x:c r="I61" s="562" t="n">
        <x:f>IF(A61&gt;=1,"",C61-C60)</x:f>
        <x:v>9799.999999999993</x:v>
      </x:c>
      <x:c r="J61" s="562" t="n">
        <x:f>IF(A61&gt;=1,"",I61*(1+$B$8))</x:f>
        <x:v>9824.499999999993</x:v>
      </x:c>
      <x:c r="K61" s="567" t="n">
        <x:f>IF(A61&gt;=1,"不可达",$B$5+(C61-$D$5)*(1+$B$8))</x:f>
        <x:v>49260.25363120245</x:v>
      </x:c>
    </x:row>
    <x:row r="62">
      <x:c r="A62" s="58" t="n">
        <x:v>0.985</x:v>
      </x:c>
      <x:c r="B62" s="64" t="n">
        <x:f>IF(A62&gt;=1,"",IF(ABS(A62-$B$6)&lt;0.000001,$D$4,$B$4*(1-A62)))</x:f>
        <x:v>15000000.000000013</x:v>
      </x:c>
      <x:c r="C62" s="64" t="n">
        <x:f>IF(A62&gt;=1,"",IF(ABS(A62-$B$6)&lt;0.000001,$D$5,$D$6/B62))</x:f>
        <x:v>65333.33333333328</x:v>
      </x:c>
      <x:c r="D62" s="75" t="n">
        <x:f>IF(A62&gt;=1,"",B62*C62)</x:f>
        <x:v>980000000000</x:v>
      </x:c>
      <x:c r="E62" s="374" t="n">
        <x:f>IF(A62&gt;=1,"",C62/B62)</x:f>
        <x:v>0.004355555555555548</x:v>
      </x:c>
      <x:c r="F62" s="374" t="n">
        <x:f>IF(ISNUMBER(E62),E62*$B$3/'币价'!$B$12,"")</x:f>
        <x:v>0.00328710259554765</x:v>
      </x:c>
      <x:c r="G62" s="562" t="n">
        <x:f>IF(A62&gt;=1,"",E62*$B$4)</x:f>
        <x:v>4355555.5555555485</x:v>
      </x:c>
      <x:c r="H62" s="562" t="n">
        <x:f>IF(A62&gt;=1,"",G62*$B$3)</x:f>
        <x:v>3284354.577777772</x:v>
      </x:c>
      <x:c r="I62" s="562" t="n">
        <x:f>IF(A62&gt;=1,"",C62-C61)</x:f>
        <x:v>16333.333333333321</x:v>
      </x:c>
      <x:c r="J62" s="562" t="n">
        <x:f>IF(A62&gt;=1,"",I62*(1+$B$8))</x:f>
        <x:v>16374.166666666653</x:v>
      </x:c>
      <x:c r="K62" s="567" t="n">
        <x:f>IF(A62&gt;=1,"不可达",$B$5+(C62-$D$5)*(1+$B$8))</x:f>
        <x:v>65634.4202978691</x:v>
      </x:c>
    </x:row>
    <x:row r="63">
      <x:c r="A63" s="58" t="n">
        <x:v>0.99</x:v>
      </x:c>
      <x:c r="B63" s="64" t="n">
        <x:f>IF(A63&gt;=1,"",IF(ABS(A63-$B$6)&lt;0.000001,$D$4,$B$4*(1-A63)))</x:f>
        <x:v>10000000.00000001</x:v>
      </x:c>
      <x:c r="C63" s="64" t="n">
        <x:f>IF(A63&gt;=1,"",IF(ABS(A63-$B$6)&lt;0.000001,$D$5,$D$6/B63))</x:f>
        <x:v>97999.99999999991</x:v>
      </x:c>
      <x:c r="D63" s="75" t="n">
        <x:f>IF(A63&gt;=1,"",B63*C63)</x:f>
        <x:v>980000000000</x:v>
      </x:c>
      <x:c r="E63" s="374" t="n">
        <x:f>IF(A63&gt;=1,"",C63/B63)</x:f>
        <x:v>0.009799999999999982</x:v>
      </x:c>
      <x:c r="F63" s="374" t="n">
        <x:f>IF(ISNUMBER(E63),E63*$B$3/'币价'!$B$12,"")</x:f>
        <x:v>0.007395980839982211</x:v>
      </x:c>
      <x:c r="G63" s="562" t="n">
        <x:f>IF(A63&gt;=1,"",E63*$B$4)</x:f>
        <x:v>9799999.999999983</x:v>
      </x:c>
      <x:c r="H63" s="562" t="n">
        <x:f>IF(A63&gt;=1,"",G63*$B$3)</x:f>
        <x:v>7389797.799999987</x:v>
      </x:c>
      <x:c r="I63" s="562" t="n">
        <x:f>IF(A63&gt;=1,"",C63-C62)</x:f>
        <x:v>32666.666666666635</x:v>
      </x:c>
      <x:c r="J63" s="562" t="n">
        <x:f>IF(A63&gt;=1,"",I63*(1+$B$8))</x:f>
        <x:v>32748.3333333333</x:v>
      </x:c>
      <x:c r="K63" s="567" t="n">
        <x:f>IF(A63&gt;=1,"不可达",$B$5+(C63-$D$5)*(1+$B$8))</x:f>
        <x:v>98382.75363120242</x:v>
      </x:c>
    </x:row>
    <x:row r="64">
      <x:c r="A64" s="58" t="n">
        <x:v>0.995</x:v>
      </x:c>
      <x:c r="B64" s="64" t="n">
        <x:f>IF(A64&gt;=1,"",IF(ABS(A64-$B$6)&lt;0.000001,$D$4,$B$4*(1-A64)))</x:f>
        <x:v>5000000.000000005</x:v>
      </x:c>
      <x:c r="C64" s="64" t="n">
        <x:f>IF(A64&gt;=1,"",IF(ABS(A64-$B$6)&lt;0.000001,$D$5,$D$6/B64))</x:f>
        <x:v>195999.99999999983</x:v>
      </x:c>
      <x:c r="D64" s="75" t="n">
        <x:f>IF(A64&gt;=1,"",B64*C64)</x:f>
        <x:v>980000000000</x:v>
      </x:c>
      <x:c r="E64" s="374" t="n">
        <x:f>IF(A64&gt;=1,"",C64/B64)</x:f>
        <x:v>0.03919999999999993</x:v>
      </x:c>
      <x:c r="F64" s="374" t="n">
        <x:f>IF(ISNUMBER(E64),E64*$B$3/'币价'!$B$12,"")</x:f>
        <x:v>0.029583923359928845</x:v>
      </x:c>
      <x:c r="G64" s="562" t="n">
        <x:f>IF(A64&gt;=1,"",E64*$B$4)</x:f>
        <x:v>39199999.99999993</x:v>
      </x:c>
      <x:c r="H64" s="562" t="n">
        <x:f>IF(A64&gt;=1,"",G64*$B$3)</x:f>
        <x:v>29559191.199999947</x:v>
      </x:c>
      <x:c r="I64" s="562" t="n">
        <x:f>IF(A64&gt;=1,"",C64-C63)</x:f>
        <x:v>97999.99999999991</x:v>
      </x:c>
      <x:c r="J64" s="562" t="n">
        <x:f>IF(A64&gt;=1,"",I64*(1+$B$8))</x:f>
        <x:v>98244.99999999991</x:v>
      </x:c>
      <x:c r="K64" s="567" t="n">
        <x:f>IF(A64&gt;=1,"不可达",$B$5+(C64-$D$5)*(1+$B$8))</x:f>
        <x:v>196627.75363120233</x:v>
      </x:c>
    </x:row>
    <x:row r="65">
      <x:c r="A65" s="58" t="n">
        <x:v>1</x:v>
      </x:c>
      <x:c r="B65" s="64" t="str">
        <x:f>IF(A65&gt;=1,"",IF(ABS(A65-$B$6)&lt;0.000001,$D$4,$B$4*(1-A65)))</x:f>
      </x:c>
      <x:c r="C65" s="64" t="str">
        <x:f>IF(A65&gt;=1,"",IF(ABS(A65-$B$6)&lt;0.000001,$D$5,$D$6/B65))</x:f>
      </x:c>
      <x:c r="D65" s="75" t="str">
        <x:f>IF(A65&gt;=1,"",B65*C65)</x:f>
      </x:c>
      <x:c r="E65" s="374" t="str">
        <x:f>IF(A65&gt;=1,"",C65/B65)</x:f>
      </x:c>
      <x:c r="F65" s="374" t="str">
        <x:f>IF(ISNUMBER(E65),E65*$B$3/'币价'!$B$12,"")</x:f>
      </x:c>
      <x:c r="G65" s="562" t="str">
        <x:f>IF(A65&gt;=1,"",E65*$B$4)</x:f>
      </x:c>
      <x:c r="H65" s="562" t="str">
        <x:f>IF(A65&gt;=1,"",G65*$B$3)</x:f>
      </x:c>
      <x:c r="I65" s="562" t="str">
        <x:f>IF(A65&gt;=1,"",C65-C64)</x:f>
      </x:c>
      <x:c r="J65" s="562" t="str">
        <x:f>IF(A65&gt;=1,"",I65*(1+$B$8))</x:f>
      </x:c>
      <x:c r="K65" s="567" t="str">
        <x:f>IF(A65&gt;=1,"不可达",$B$5+(C65-$D$5)*(1+$B$8))</x:f>
        <x:v>不可达</x:v>
      </x:c>
    </x:row>
    <x:row r="66">
      <x:c r="A66" s="59"/>
      <x:c r="B66" s="65"/>
      <x:c r="C66" s="65"/>
      <x:c r="D66" s="76"/>
      <x:c r="E66" s="82"/>
      <x:c r="F66" s="88"/>
      <x:c r="G66" s="65"/>
      <x:c r="H66" s="65"/>
      <x:c r="I66" s="65"/>
      <x:c r="J66" s="65"/>
      <x:c r="K66" s="65"/>
    </x:row>
    <x:row r="67">
      <x:c r="A67" s="59"/>
      <x:c r="B67" s="65"/>
      <x:c r="C67" s="17"/>
      <x:c r="D67" s="76"/>
      <x:c r="E67" s="82"/>
      <x:c r="F67" s="88"/>
      <x:c r="G67" s="88"/>
    </x:row>
    <x:row r="68">
      <x:c r="A68" s="59"/>
      <x:c r="B68" s="65"/>
      <x:c r="C68" s="17"/>
      <x:c r="D68" s="76"/>
      <x:c r="E68" s="82"/>
      <x:c r="F68" s="88"/>
      <x:c r="G68" s="88"/>
    </x:row>
    <x:row r="69">
      <x:c r="A69" s="59"/>
      <x:c r="B69" s="65"/>
      <x:c r="C69" s="17"/>
      <x:c r="D69" s="76"/>
      <x:c r="E69" s="82"/>
      <x:c r="F69" s="88"/>
      <x:c r="G69" s="88"/>
    </x:row>
    <x:row r="70">
      <x:c r="A70" s="59"/>
      <x:c r="B70" s="65"/>
      <x:c r="C70" s="17"/>
      <x:c r="D70" s="76"/>
      <x:c r="E70" s="82"/>
      <x:c r="F70" s="88"/>
      <x:c r="G70" s="88"/>
    </x:row>
    <x:row r="71" ht="28" customHeight="1">
      <x:c r="A71" s="61" t="str">
        <x:v>外盘回落参考 · 从 80% 控筹回落至 0%（每 10%）</x:v>
      </x:c>
      <x:c r="B71" s="67"/>
      <x:c r="C71" s="72"/>
      <x:c r="D71" s="78"/>
      <x:c r="E71" s="84"/>
      <x:c r="F71" s="90"/>
      <x:c r="G71" s="90"/>
      <x:c r="H71" s="26"/>
      <x:c r="I71" s="26"/>
      <x:c r="J71" s="26"/>
    </x:row>
    <x:row r="72" ht="28" customHeight="1">
      <x:c r="A72" s="60" t="str">
        <x:v>控筹率</x:v>
      </x:c>
      <x:c r="B72" s="66" t="str">
        <x:v>pooled token</x:v>
      </x:c>
      <x:c r="C72" s="71" t="str">
        <x:v>pooled ASTER</x:v>
      </x:c>
      <x:c r="D72" s="77" t="str">
        <x:v>k</x:v>
      </x:c>
      <x:c r="E72" s="391" t="str">
        <x:v>价格 / ASTER</x:v>
      </x:c>
      <x:c r="F72" s="391" t="str">
        <x:v>价格 / USDT</x:v>
      </x:c>
      <x:c r="G72" s="393" t="str">
        <x:v>市值 / ASTER</x:v>
      </x:c>
      <x:c r="H72" s="393" t="str">
        <x:v>市值 / USD</x:v>
      </x:c>
      <x:c r="I72" s="331" t="str">
        <x:v>较 80% 回撤</x:v>
      </x:c>
      <x:c r="J72"/>
      <x:c r="K72"/>
    </x:row>
    <x:row r="73">
      <x:c r="A73" s="58" t="n">
        <x:v>0.8</x:v>
      </x:c>
      <x:c r="B73" s="64" t="n">
        <x:f>IF(ABS(A73-$B$6)&lt;0.000001,$D$4,$B$4*(1-A73))</x:f>
        <x:v>200000000</x:v>
      </x:c>
      <x:c r="C73" s="70" t="n">
        <x:f>IF(ABS(A73-$B$6)&lt;0.000001,$D$5,$D$6/B73)</x:f>
        <x:v>4900</x:v>
      </x:c>
      <x:c r="D73" s="75" t="n">
        <x:f>B73*C73</x:f>
        <x:v>980000000000</x:v>
      </x:c>
      <x:c r="E73" s="374" t="n">
        <x:f>C73/B73</x:f>
        <x:v>0.0000245</x:v>
      </x:c>
      <x:c r="F73" s="374" t="n">
        <x:f>IF(ISNUMBER(E73),E73*$B$3/'币价'!$B$12,"")</x:f>
        <x:v>0.000018489952099955562</x:v>
      </x:c>
      <x:c r="G73" s="379" t="n">
        <x:f>E73*$B$4</x:f>
        <x:v>24500</x:v>
      </x:c>
      <x:c r="H73" s="379" t="n">
        <x:f>G73*$B$3</x:f>
        <x:v>18474.4945</x:v>
      </x:c>
      <x:c r="I73" s="408" t="n">
        <x:f>1-G73/$G$73</x:f>
        <x:v>0</x:v>
      </x:c>
      <x:c r="J73"/>
      <x:c r="K73"/>
    </x:row>
    <x:row r="74">
      <x:c r="A74" s="58" t="n">
        <x:v>0.7</x:v>
      </x:c>
      <x:c r="B74" s="64" t="n">
        <x:f>IF(ABS(A74-$B$6)&lt;0.000001,$D$4,$B$4*(1-A74))</x:f>
        <x:v>300000000.00000006</x:v>
      </x:c>
      <x:c r="C74" s="64" t="n">
        <x:f>IF(ABS(A74-$B$6)&lt;0.000001,$D$5,$D$6/B74)</x:f>
        <x:v>3266.666666666666</x:v>
      </x:c>
      <x:c r="D74" s="75" t="n">
        <x:f>B74*C74</x:f>
        <x:v>980000000000</x:v>
      </x:c>
      <x:c r="E74" s="374" t="n">
        <x:f>C74/B74</x:f>
        <x:v>0.000010888888888888884</x:v>
      </x:c>
      <x:c r="F74" s="374" t="n">
        <x:f>IF(ISNUMBER(E74),E74*$B$3/'币价'!$B$12,"")</x:f>
        <x:v>0.000008217756488869135</x:v>
      </x:c>
      <x:c r="G74" s="562" t="n">
        <x:f>E74*$B$4</x:f>
        <x:v>10888.888888888885</x:v>
      </x:c>
      <x:c r="H74" s="562" t="n">
        <x:f>G74*$B$3</x:f>
        <x:v>8210.88644444444</x:v>
      </x:c>
      <x:c r="I74" s="562" t="n">
        <x:f>1-G74/$G$73</x:f>
        <x:v>0.5555555555555557</x:v>
      </x:c>
      <x:c r="J74" s="65"/>
      <x:c r="K74" s="65"/>
    </x:row>
    <x:row r="75">
      <x:c r="A75" s="58" t="n">
        <x:v>0.6</x:v>
      </x:c>
      <x:c r="B75" s="64" t="n">
        <x:f>IF(ABS(A75-$B$6)&lt;0.000001,$D$4,$B$4*(1-A75))</x:f>
        <x:v>400000000</x:v>
      </x:c>
      <x:c r="C75" s="64" t="n">
        <x:f>IF(ABS(A75-$B$6)&lt;0.000001,$D$5,$D$6/B75)</x:f>
        <x:v>2450</x:v>
      </x:c>
      <x:c r="D75" s="75" t="n">
        <x:f>B75*C75</x:f>
        <x:v>980000000000</x:v>
      </x:c>
      <x:c r="E75" s="374" t="n">
        <x:f>C75/B75</x:f>
        <x:v>0.000006125</x:v>
      </x:c>
      <x:c r="F75" s="374" t="n">
        <x:f>IF(ISNUMBER(E75),E75*$B$3/'币价'!$B$12,"")</x:f>
        <x:v>0.000004622488024988891</x:v>
      </x:c>
      <x:c r="G75" s="562" t="n">
        <x:f>E75*$B$4</x:f>
        <x:v>6125</x:v>
      </x:c>
      <x:c r="H75" s="562" t="n">
        <x:f>G75*$B$3</x:f>
        <x:v>4618.623625</x:v>
      </x:c>
      <x:c r="I75" s="562" t="n">
        <x:f>1-G75/$G$73</x:f>
        <x:v>0.75</x:v>
      </x:c>
      <x:c r="J75" s="65"/>
      <x:c r="K75" s="65"/>
    </x:row>
    <x:row r="76">
      <x:c r="A76" s="58" t="n">
        <x:v>0.5</x:v>
      </x:c>
      <x:c r="B76" s="64" t="n">
        <x:f>IF(ABS(A76-$B$6)&lt;0.000001,$D$4,$B$4*(1-A76))</x:f>
        <x:v>500000000</x:v>
      </x:c>
      <x:c r="C76" s="64" t="n">
        <x:f>IF(ABS(A76-$B$6)&lt;0.000001,$D$5,$D$6/B76)</x:f>
        <x:v>1960</x:v>
      </x:c>
      <x:c r="D76" s="75" t="n">
        <x:f>B76*C76</x:f>
        <x:v>980000000000</x:v>
      </x:c>
      <x:c r="E76" s="374" t="n">
        <x:f>C76/B76</x:f>
        <x:v>0.00000392</x:v>
      </x:c>
      <x:c r="F76" s="374" t="n">
        <x:f>IF(ISNUMBER(E76),E76*$B$3/'币价'!$B$12,"")</x:f>
        <x:v>0.0000029583923359928896</x:v>
      </x:c>
      <x:c r="G76" s="562" t="n">
        <x:f>E76*$B$4</x:f>
        <x:v>3919.9999999999995</x:v>
      </x:c>
      <x:c r="H76" s="562" t="n">
        <x:f>G76*$B$3</x:f>
        <x:v>2955.9191199999996</x:v>
      </x:c>
      <x:c r="I76" s="562" t="n">
        <x:f>1-G76/$G$73</x:f>
        <x:v>0.8400000000000001</x:v>
      </x:c>
      <x:c r="J76" s="65"/>
      <x:c r="K76" s="65"/>
    </x:row>
    <x:row r="77">
      <x:c r="A77" s="58" t="n">
        <x:v>0.4</x:v>
      </x:c>
      <x:c r="B77" s="64" t="n">
        <x:f>IF(ABS(A77-$B$6)&lt;0.000001,$D$4,$B$4*(1-A77))</x:f>
        <x:v>600000000</x:v>
      </x:c>
      <x:c r="C77" s="64" t="n">
        <x:f>IF(ABS(A77-$B$6)&lt;0.000001,$D$5,$D$6/B77)</x:f>
        <x:v>1633.3333333333333</x:v>
      </x:c>
      <x:c r="D77" s="75" t="n">
        <x:f>B77*C77</x:f>
        <x:v>980000000000</x:v>
      </x:c>
      <x:c r="E77" s="374" t="n">
        <x:f>C77/B77</x:f>
        <x:v>0.000002722222222222222</x:v>
      </x:c>
      <x:c r="F77" s="374" t="n">
        <x:f>IF(ISNUMBER(E77),E77*$B$3/'币价'!$B$12,"")</x:f>
        <x:v>0.0000020544391222172843</x:v>
      </x:c>
      <x:c r="G77" s="562" t="n">
        <x:f>E77*$B$4</x:f>
        <x:v>2722.222222222222</x:v>
      </x:c>
      <x:c r="H77" s="562" t="n">
        <x:f>G77*$B$3</x:f>
        <x:v>2052.721611111111</x:v>
      </x:c>
      <x:c r="I77" s="562" t="n">
        <x:f>1-G77/$G$73</x:f>
        <x:v>0.8888888888888888</x:v>
      </x:c>
      <x:c r="J77" s="65"/>
      <x:c r="K77" s="65"/>
    </x:row>
    <x:row r="78">
      <x:c r="A78" s="58" t="n">
        <x:v>0.3</x:v>
      </x:c>
      <x:c r="B78" s="64" t="n">
        <x:f>IF(ABS(A78-$B$6)&lt;0.000001,$D$4,$B$4*(1-A78))</x:f>
        <x:v>700000000</x:v>
      </x:c>
      <x:c r="C78" s="64" t="n">
        <x:f>IF(ABS(A78-$B$6)&lt;0.000001,$D$5,$D$6/B78)</x:f>
        <x:v>1400</x:v>
      </x:c>
      <x:c r="D78" s="75" t="n">
        <x:f>B78*C78</x:f>
        <x:v>980000000000</x:v>
      </x:c>
      <x:c r="E78" s="374" t="n">
        <x:f>C78/B78</x:f>
        <x:v>0.000002</x:v>
      </x:c>
      <x:c r="F78" s="374" t="n">
        <x:f>IF(ISNUMBER(E78),E78*$B$3/'币价'!$B$12,"")</x:f>
        <x:v>0.0000015093838448943316</x:v>
      </x:c>
      <x:c r="G78" s="562" t="n">
        <x:f>E78*$B$4</x:f>
        <x:v>2000</x:v>
      </x:c>
      <x:c r="H78" s="562" t="n">
        <x:f>G78*$B$3</x:f>
        <x:v>1508.122</x:v>
      </x:c>
      <x:c r="I78" s="562" t="n">
        <x:f>1-G78/$G$73</x:f>
        <x:v>0.9183673469387755</x:v>
      </x:c>
      <x:c r="J78" s="65"/>
      <x:c r="K78" s="65"/>
    </x:row>
    <x:row r="79">
      <x:c r="A79" s="58" t="n">
        <x:v>0.2</x:v>
      </x:c>
      <x:c r="B79" s="64" t="n">
        <x:f>IF(ABS(A79-$B$6)&lt;0.000001,$D$4,$B$4*(1-A79))</x:f>
        <x:v>800000000</x:v>
      </x:c>
      <x:c r="C79" s="64" t="n">
        <x:f>IF(ABS(A79-$B$6)&lt;0.000001,$D$5,$D$6/B79)</x:f>
        <x:v>1225</x:v>
      </x:c>
      <x:c r="D79" s="75" t="n">
        <x:f>B79*C79</x:f>
        <x:v>980000000000</x:v>
      </x:c>
      <x:c r="E79" s="374" t="n">
        <x:f>C79/B79</x:f>
        <x:v>0.00000153125</x:v>
      </x:c>
      <x:c r="F79" s="374" t="n">
        <x:f>IF(ISNUMBER(E79),E79*$B$3/'币价'!$B$12,"")</x:f>
        <x:v>0.0000011556220062472227</x:v>
      </x:c>
      <x:c r="G79" s="562" t="n">
        <x:f>E79*$B$4</x:f>
        <x:v>1531.25</x:v>
      </x:c>
      <x:c r="H79" s="562" t="n">
        <x:f>G79*$B$3</x:f>
        <x:v>1154.65590625</x:v>
      </x:c>
      <x:c r="I79" s="562" t="n">
        <x:f>1-G79/$G$73</x:f>
        <x:v>0.9375</x:v>
      </x:c>
      <x:c r="J79" s="65"/>
      <x:c r="K79" s="65"/>
    </x:row>
    <x:row r="80">
      <x:c r="A80" s="58" t="n">
        <x:v>0.1</x:v>
      </x:c>
      <x:c r="B80" s="64" t="n">
        <x:f>IF(ABS(A80-$B$6)&lt;0.000001,$D$4,$B$4*(1-A80))</x:f>
        <x:v>900000000</x:v>
      </x:c>
      <x:c r="C80" s="64" t="n">
        <x:f>IF(ABS(A80-$B$6)&lt;0.000001,$D$5,$D$6/B80)</x:f>
        <x:v>1088.888888888889</x:v>
      </x:c>
      <x:c r="D80" s="75" t="n">
        <x:f>B80*C80</x:f>
        <x:v>980000000000</x:v>
      </x:c>
      <x:c r="E80" s="374" t="n">
        <x:f>C80/B80</x:f>
        <x:v>0.0000012098765432098765</x:v>
      </x:c>
      <x:c r="F80" s="374" t="n">
        <x:f>IF(ISNUMBER(E80),E80*$B$3/'币价'!$B$12,"")</x:f>
        <x:v>9.130840543187931e-7</x:v>
      </x:c>
      <x:c r="G80" s="562" t="n">
        <x:f>E80*$B$4</x:f>
        <x:v>1209.8765432098764</x:v>
      </x:c>
      <x:c r="H80" s="562" t="n">
        <x:f>G80*$B$3</x:f>
        <x:v>912.3207160493827</x:v>
      </x:c>
      <x:c r="I80" s="562" t="n">
        <x:f>1-G80/$G$73</x:f>
        <x:v>0.9506172839506173</x:v>
      </x:c>
      <x:c r="J80" s="65"/>
      <x:c r="K80" s="65"/>
    </x:row>
    <x:row r="81">
      <x:c r="A81" s="62" t="n">
        <x:v>0</x:v>
      </x:c>
      <x:c r="B81" s="68" t="n">
        <x:f>IF(ABS(A81-$B$6)&lt;0.000001,$D$4,$B$4*(1-A81))</x:f>
        <x:v>1000000000</x:v>
      </x:c>
      <x:c r="C81" s="68" t="n">
        <x:f>IF(ABS(A81-$B$6)&lt;0.000001,$D$5,$D$6/B81)</x:f>
        <x:v>980</x:v>
      </x:c>
      <x:c r="D81" s="79" t="n">
        <x:f>B81*C81</x:f>
        <x:v>980000000000</x:v>
      </x:c>
      <x:c r="E81" s="412" t="n">
        <x:f>C81/B81</x:f>
        <x:v>9.8e-7</x:v>
      </x:c>
      <x:c r="F81" s="412" t="n">
        <x:f>IF(ISNUMBER(E81),E81*$B$3/'币价'!$B$12,"")</x:f>
        <x:v>7.395980839982224e-7</x:v>
      </x:c>
      <x:c r="G81" s="565" t="n">
        <x:f>E81*$B$4</x:f>
        <x:v>979.9999999999999</x:v>
      </x:c>
      <x:c r="H81" s="565" t="n">
        <x:f>G81*$B$3</x:f>
        <x:v>738.9797799999999</x:v>
      </x:c>
      <x:c r="I81" s="565" t="n">
        <x:f>1-G81/$G$73</x:f>
        <x:v>0.96</x:v>
      </x:c>
      <x:c r="J81" s="565" t="str">
        <x:v>沉没成本</x:v>
      </x:c>
      <x:c r="K81" s="565" t="n">
        <x:f>C81</x:f>
        <x:v>980</x:v>
      </x:c>
    </x:row>
    <x:row r="82">
      <x:c r="B82" s="65" t="n">
        <x:f>IF(ABS(A82-$B$6)&lt;0.000001,$D$4,$B$4*(1-A82))</x:f>
        <x:v>1000000000</x:v>
      </x:c>
      <x:c r="C82" s="65"/>
      <x:c r="G82" s="65"/>
      <x:c r="H82" s="65"/>
      <x:c r="I82" s="65"/>
      <x:c r="J82" s="65"/>
      <x:c r="K82" s="65"/>
    </x:row>
  </x:sheetData>
  <x:mergeCells>
    <x:mergeCell ref="A1:J1"/>
    <x:mergeCell ref="A71:J7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0" hidden="0" customWidth="1"/>
    <x:col min="7" max="7" width="16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4" t="str">
        <x:v>Hyperpie / HYPE · 发射控筹模型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55" t="str">
        <x:v>Quote USD 价格</x:v>
      </x:c>
      <x:c r="B3" s="50" t="n">
        <x:f>'币价'!$B$5</x:f>
        <x:v>88.57</x:v>
      </x:c>
      <x:c r="C3" s="56" t="str">
        <x:v>内盘 k</x:v>
      </x:c>
      <x:c r="D3" s="51" t="n">
        <x:v>106666666700</x:v>
      </x:c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s="55" t="str">
        <x:v>total supply</x:v>
      </x:c>
      <x:c r="B4" s="51" t="n">
        <x:v>1000000000</x:v>
      </x:c>
      <x:c r="C4" s="56" t="str">
        <x:v>外盘初始 token</x:v>
      </x:c>
      <x:c r="D4" s="51" t="n">
        <x:v>201376811</x:v>
      </x:c>
      <x:c r="G4" t="str">
        <x:v>单地址 Gas / HYPE</x:v>
      </x:c>
      <x:c r="H4" s="99" t="n">
        <x:v>0.1</x:v>
      </x:c>
      <x:c r="I4" t="str">
        <x:v>Holder 地址</x:v>
      </x:c>
      <x:c r="J4" s="100" t="n">
        <x:v>150</x:v>
      </x:c>
    </x:row>
    <x:row r="5">
      <x:c r="A5" s="55" t="str">
        <x:v>内盘毕业所需</x:v>
      </x:c>
      <x:c r="B5" s="51" t="n">
        <x:f>K21</x:f>
        <x:v>302.99999962124997</x:v>
      </x:c>
      <x:c r="C5" s="56" t="str">
        <x:v>外盘初始 Quote</x:v>
      </x:c>
      <x:c r="D5" s="51" t="n">
        <x:v>297</x:v>
      </x:c>
      <x:c r="G5" t="str">
        <x:v>资金预留 / HYPE</x:v>
      </x:c>
      <x:c r="H5" s="553" t="n">
        <x:f>IF($B$3&gt;0,ROUNDUP('币价'!$B$15/($B$3/'币价'!$B$12),0),"")</x:f>
        <x:v>113</x:v>
      </x:c>
      <x:c r="I5" t="str">
        <x:v>默认目标控筹率</x:v>
      </x:c>
      <x:c r="J5" s="102" t="n">
        <x:v>0.94</x:v>
      </x:c>
    </x:row>
    <x:row r="6">
      <x:c r="A6" s="55" t="str">
        <x:v>毕业控筹率</x:v>
      </x:c>
      <x:c r="B6" s="52" t="n">
        <x:v>0.8</x:v>
      </x:c>
      <x:c r="C6" s="56" t="str">
        <x:v>外盘 k</x:v>
      </x:c>
      <x:c r="D6" s="51" t="n">
        <x:v>59808912867</x:v>
      </x:c>
      <x:c r="G6" t="str">
        <x:v>洗筹口径</x:v>
      </x:c>
      <x:c r="H6" s="95" t="str">
        <x:v>FDV × 外盘费率 × 2</x:v>
      </x:c>
      <x:c r="I6" t="str">
        <x:v>目标 +1% 理论资金</x:v>
      </x:c>
      <x:c r="J6" s="554" t="n">
        <x:f>INDEX($K$25:$K$65,ROUND(($J$5+1%-80%)/0.5%,0)+1)</x:f>
        <x:v>1204.875791733269</x:v>
      </x:c>
    </x:row>
    <x:row r="7">
      <x:c r="A7" s="55" t="str">
        <x:v>内盘交易手续费</x:v>
      </x:c>
      <x:c r="B7" s="52" t="n">
        <x:v>0.01</x:v>
      </x:c>
      <x:c r="C7"/>
      <x:c r="D7"/>
      <x:c r="G7" t="str">
        <x:v>内盘地址 / 套</x:v>
      </x:c>
      <x:c r="H7" s="100" t="n">
        <x:v>20</x:v>
      </x:c>
      <x:c r="I7" t="str">
        <x:v>额外内盘资金</x:v>
      </x:c>
      <x:c r="J7" s="554" t="n">
        <x:f>$B$5*($H$8-1)</x:f>
        <x:v>302.99999962124997</x:v>
      </x:c>
    </x:row>
    <x:row r="8">
      <x:c r="A8" s="55" t="str">
        <x:v>外盘交易手续费</x:v>
      </x:c>
      <x:c r="B8" s="52" t="n">
        <x:v>0.003</x:v>
      </x:c>
      <x:c r="C8"/>
      <x:c r="D8"/>
      <x:c r="G8" t="str">
        <x:v>内盘套数</x:v>
      </x:c>
      <x:c r="H8" s="100" t="n">
        <x:v>2</x:v>
      </x:c>
      <x:c r="I8" t="str">
        <x:v>动态洗筹手续费</x:v>
      </x:c>
      <x:c r="J8" s="554" t="n">
        <x:f>INDEX($G$25:$G$65,ROUND(($J$5+1%-80%)/0.5%,0)+1)*$H$9*2</x:f>
        <x:v>143.54139088079975</x:v>
      </x:c>
    </x:row>
    <x:row r="9">
      <x:c r="A9" s="55" t="str">
        <x:v>内盘初始 token</x:v>
      </x:c>
      <x:c r="B9" s="51" t="n">
        <x:v>1066666667</x:v>
      </x:c>
      <x:c r="C9"/>
      <x:c r="D9"/>
      <x:c r="G9" t="str">
        <x:v>外盘费率</x:v>
      </x:c>
      <x:c r="H9" s="101" t="n">
        <x:f>$B$8</x:f>
        <x:v>0.003</x:v>
      </x:c>
      <x:c r="I9" t="str">
        <x:v>建议 Quote 资金</x:v>
      </x:c>
      <x:c r="J9" s="554" t="n">
        <x:f>IF(AND(ISNUMBER($J$6),ISNUMBER($H$5)),SUM(J6:J8)+$H$5,"")</x:f>
        <x:v>1764.4171822353187</x:v>
      </x:c>
    </x:row>
    <x:row r="10">
      <x:c r="A10" s="55" t="str">
        <x:v>内盘初始 Quote</x:v>
      </x:c>
      <x:c r="B10" s="51" t="n">
        <x:v>100</x:v>
      </x:c>
      <x:c r="C10"/>
      <x:c r="D10"/>
      <x:c r="G10" t="str">
        <x:v>滑点预留</x:v>
      </x:c>
      <x:c r="H10" s="102" t="n">
        <x:v>0</x:v>
      </x:c>
      <x:c r="I10" t="str">
        <x:v>Gas 储备 / HYPE</x:v>
      </x:c>
      <x:c r="J10" s="554" t="n">
        <x:f>($H$7*$H$8+$J$3+$J$4)*$H$4</x:f>
        <x:v>22</x:v>
      </x:c>
    </x:row>
    <x:row r="11">
      <x:c r="J11" s="555"/>
    </x:row>
    <x:row r="12" ht="34" customHeight="1">
      <x:c r="A12" s="10" t="str">
        <x:v>控筹率</x:v>
      </x:c>
      <x:c r="B12" s="10" t="str">
        <x:v>pooled token</x:v>
      </x:c>
      <x:c r="C12" s="10" t="str">
        <x:v>pooled HYPE</x:v>
      </x:c>
      <x:c r="D12" s="10" t="str">
        <x:v>k</x:v>
      </x:c>
      <x:c r="E12" s="331" t="str">
        <x:v>价格 / HYPE</x:v>
      </x:c>
      <x:c r="F12" s="331" t="str">
        <x:v>价格 / USDT</x:v>
      </x:c>
      <x:c r="G12" s="331" t="str">
        <x:v>市值 / HYPE</x:v>
      </x:c>
      <x:c r="H12" s="331" t="str">
        <x:v>市值 / USD</x:v>
      </x:c>
      <x:c r="I12" s="331" t="str">
        <x:v>所需 HYPE</x:v>
      </x:c>
      <x:c r="J12" s="331" t="str">
        <x:v>加手续费</x:v>
      </x:c>
      <x:c r="K12" s="344" t="str">
        <x:v>理论累计所需</x:v>
      </x:c>
    </x:row>
    <x:row r="13">
      <x:c r="A13" s="57" t="n">
        <x:v>0</x:v>
      </x:c>
      <x:c r="B13" s="63" t="n">
        <x:f>$B$9-A13*$B$4</x:f>
        <x:v>1066666667</x:v>
      </x:c>
      <x:c r="C13" s="556" t="n">
        <x:f>$D$3/B13</x:f>
        <x:v>100</x:v>
      </x:c>
      <x:c r="D13" s="74" t="n">
        <x:f>B13*C13</x:f>
        <x:v>106666666700</x:v>
      </x:c>
      <x:c r="E13" s="348" t="n">
        <x:f>C13/B13</x:f>
        <x:v>9.374999997070313e-8</x:v>
      </x:c>
      <x:c r="F13" s="348" t="n">
        <x:f>IF(ISNUMBER(E13),E13*$B$3/'币价'!$B$12,"")</x:f>
        <x:v>0.000008310384979247827</x:v>
      </x:c>
      <x:c r="G13" s="558" t="n">
        <x:f>E13*$B$4</x:f>
        <x:v>93.74999997070313</x:v>
      </x:c>
      <x:c r="H13" s="561" t="n">
        <x:f>G13*$B$3</x:f>
        <x:v>8303.437497405175</x:v>
      </x:c>
      <x:c r="I13" s="558" t="n">
        <x:f>0</x:f>
        <x:v>0</x:v>
      </x:c>
      <x:c r="J13" s="558" t="n">
        <x:f>I13*(1+$B$7)</x:f>
        <x:v>0</x:v>
      </x:c>
      <x:c r="K13" s="560" t="n">
        <x:f>0</x:f>
        <x:v>0</x:v>
      </x:c>
    </x:row>
    <x:row r="14">
      <x:c r="A14" s="58" t="n">
        <x:v>0.1</x:v>
      </x:c>
      <x:c r="B14" s="64" t="n">
        <x:f>$B$9-A14*$B$4</x:f>
        <x:v>966666667</x:v>
      </x:c>
      <x:c r="C14" s="557" t="n">
        <x:f>$D$3/B14</x:f>
        <x:v>110.34482758263971</x:v>
      </x:c>
      <x:c r="D14" s="75" t="n">
        <x:f>B14*C14</x:f>
        <x:v>106666666700</x:v>
      </x:c>
      <x:c r="E14" s="374" t="n">
        <x:f>C14/B14</x:f>
        <x:v>1.1414982159785148e-7</x:v>
      </x:c>
      <x:c r="F14" s="374" t="n">
        <x:f>IF(ISNUMBER(E14),E14*$B$3/'币价'!$B$12,"")</x:f>
        <x:v>0.000010118708939595207</x:v>
      </x:c>
      <x:c r="G14" s="559" t="n">
        <x:f>E14*$B$4</x:f>
        <x:v>114.14982159785148</x:v>
      </x:c>
      <x:c r="H14" s="562" t="n">
        <x:f>G14*$B$3</x:f>
        <x:v>10110.249698921705</x:v>
      </x:c>
      <x:c r="I14" s="559" t="n">
        <x:f>C14-C13</x:f>
        <x:v>10.34482758263971</x:v>
      </x:c>
      <x:c r="J14" s="559" t="n">
        <x:f>I14*(1+$B$7)</x:f>
        <x:v>10.448275858466106</x:v>
      </x:c>
      <x:c r="K14" s="560" t="n">
        <x:f>K13+J14</x:f>
        <x:v>10.448275858466106</x:v>
      </x:c>
    </x:row>
    <x:row r="15">
      <x:c r="A15" s="58" t="n">
        <x:v>0.2</x:v>
      </x:c>
      <x:c r="B15" s="64" t="n">
        <x:f>$B$9-A15*$B$4</x:f>
        <x:v>866666667</x:v>
      </x:c>
      <x:c r="C15" s="557" t="n">
        <x:f>$D$3/B15</x:f>
        <x:v>123.07692306804734</x:v>
      </x:c>
      <x:c r="D15" s="75" t="n">
        <x:f>B15*C15</x:f>
        <x:v>106666666700</x:v>
      </x:c>
      <x:c r="E15" s="374" t="n">
        <x:f>C15/B15</x:f>
        <x:v>1.4201183425466545e-7</x:v>
      </x:c>
      <x:c r="F15" s="374" t="n">
        <x:f>IF(ISNUMBER(E15),E15*$B$3/'币价'!$B$12,"")</x:f>
        <x:v>0.000012588512156098215</x:v>
      </x:c>
      <x:c r="G15" s="559" t="n">
        <x:f>E15*$B$4</x:f>
        <x:v>142.01183425466544</x:v>
      </x:c>
      <x:c r="H15" s="562" t="n">
        <x:f>G15*$B$3</x:f>
        <x:v>12577.988159935718</x:v>
      </x:c>
      <x:c r="I15" s="559" t="n">
        <x:f>C15-C14</x:f>
        <x:v>12.732095485407626</x:v>
      </x:c>
      <x:c r="J15" s="559" t="n">
        <x:f>I15*(1+$B$7)</x:f>
        <x:v>12.859416440261702</x:v>
      </x:c>
      <x:c r="K15" s="560" t="n">
        <x:f>K14+J15</x:f>
        <x:v>23.307692298727808</x:v>
      </x:c>
    </x:row>
    <x:row r="16">
      <x:c r="A16" s="58" t="n">
        <x:v>0.3</x:v>
      </x:c>
      <x:c r="B16" s="64" t="n">
        <x:f>$B$9-A16*$B$4</x:f>
        <x:v>766666667</x:v>
      </x:c>
      <x:c r="C16" s="557" t="n">
        <x:f>$D$3/B16</x:f>
        <x:v>139.13043476559545</x:v>
      </x:c>
      <x:c r="D16" s="75" t="n">
        <x:f>B16*C16</x:f>
        <x:v>106666666699.99998</x:v>
      </x:c>
      <x:c r="E16" s="374" t="n">
        <x:f>C16/B16</x:f>
        <x:v>1.814744800501356e-7</x:v>
      </x:c>
      <x:c r="F16" s="374" t="n">
        <x:f>IF(ISNUMBER(E16),E16*$B$3/'币价'!$B$12,"")</x:f>
        <x:v>0.000016086643131698608</x:v>
      </x:c>
      <x:c r="G16" s="559" t="n">
        <x:f>E16*$B$4</x:f>
        <x:v>181.4744800501356</x:v>
      </x:c>
      <x:c r="H16" s="562" t="n">
        <x:f>G16*$B$3</x:f>
        <x:v>16073.19469804051</x:v>
      </x:c>
      <x:c r="I16" s="559" t="n">
        <x:f>C16-C15</x:f>
        <x:v>16.053511697548117</x:v>
      </x:c>
      <x:c r="J16" s="559" t="n">
        <x:f>I16*(1+$B$7)</x:f>
        <x:v>16.2140468145236</x:v>
      </x:c>
      <x:c r="K16" s="560" t="n">
        <x:f>K15+J16</x:f>
        <x:v>39.52173911325141</x:v>
      </x:c>
    </x:row>
    <x:row r="17">
      <x:c r="A17" s="58" t="n">
        <x:v>0.4</x:v>
      </x:c>
      <x:c r="B17" s="64" t="n">
        <x:f>$B$9-A17*$B$4</x:f>
        <x:v>666666667</x:v>
      </x:c>
      <x:c r="C17" s="557" t="n">
        <x:f>$D$3/B17</x:f>
        <x:v>159.99999997</x:v>
      </x:c>
      <x:c r="D17" s="75" t="n">
        <x:f>B17*C17</x:f>
        <x:v>106666666700</x:v>
      </x:c>
      <x:c r="E17" s="374" t="n">
        <x:f>C17/B17</x:f>
        <x:v>2.39999999835e-7</x:v>
      </x:c>
      <x:c r="F17" s="374" t="n">
        <x:f>IF(ISNUMBER(E17),E17*$B$3/'币价'!$B$12,"")</x:f>
        <x:v>0.000021274585538896466</x:v>
      </x:c>
      <x:c r="G17" s="559" t="n">
        <x:f>E17*$B$4</x:f>
        <x:v>239.999999835</x:v>
      </x:c>
      <x:c r="H17" s="562" t="n">
        <x:f>G17*$B$3</x:f>
        <x:v>21256.79998538595</x:v>
      </x:c>
      <x:c r="I17" s="559" t="n">
        <x:f>C17-C16</x:f>
        <x:v>20.86956520440455</x:v>
      </x:c>
      <x:c r="J17" s="559" t="n">
        <x:f>I17*(1+$B$7)</x:f>
        <x:v>21.078260856448598</x:v>
      </x:c>
      <x:c r="K17" s="560" t="n">
        <x:f>K16+J17</x:f>
        <x:v>60.59999996970001</x:v>
      </x:c>
    </x:row>
    <x:row r="18">
      <x:c r="A18" s="58" t="n">
        <x:v>0.5</x:v>
      </x:c>
      <x:c r="B18" s="64" t="n">
        <x:f>$B$9-A18*$B$4</x:f>
        <x:v>566666667</x:v>
      </x:c>
      <x:c r="C18" s="557" t="n">
        <x:f>$D$3/B18</x:f>
        <x:v>188.23529406574394</x:v>
      </x:c>
      <x:c r="D18" s="75" t="n">
        <x:f>B18*C18</x:f>
        <x:v>106666666700</x:v>
      </x:c>
      <x:c r="E18" s="374" t="n">
        <x:f>C18/B18</x:f>
        <x:v>3.3217993050885405e-7</x:v>
      </x:c>
      <x:c r="F18" s="374" t="n">
        <x:f>IF(ISNUMBER(E18),E18*$B$3/'币价'!$B$12,"")</x:f>
        <x:v>0.000029445793128224396</x:v>
      </x:c>
      <x:c r="G18" s="559" t="n">
        <x:f>E18*$B$4</x:f>
        <x:v>332.17993050885406</x:v>
      </x:c>
      <x:c r="H18" s="562" t="n">
        <x:f>G18*$B$3</x:f>
        <x:v>29421.1764451692</x:v>
      </x:c>
      <x:c r="I18" s="559" t="n">
        <x:f>C18-C17</x:f>
        <x:v>28.23529409574394</x:v>
      </x:c>
      <x:c r="J18" s="559" t="n">
        <x:f>I18*(1+$B$7)</x:f>
        <x:v>28.51764703670138</x:v>
      </x:c>
      <x:c r="K18" s="560" t="n">
        <x:f>K17+J18</x:f>
        <x:v>89.11764700640138</x:v>
      </x:c>
    </x:row>
    <x:row r="19">
      <x:c r="A19" s="58" t="n">
        <x:v>0.6</x:v>
      </x:c>
      <x:c r="B19" s="64" t="n">
        <x:f>$B$9-A19*$B$4</x:f>
        <x:v>466666667</x:v>
      </x:c>
      <x:c r="C19" s="557" t="n">
        <x:f>$D$3/B19</x:f>
        <x:v>228.57142847959184</x:v>
      </x:c>
      <x:c r="D19" s="75" t="n">
        <x:f>B19*C19</x:f>
        <x:v>106666666700</x:v>
      </x:c>
      <x:c r="E19" s="374" t="n">
        <x:f>C19/B19</x:f>
        <x:v>4.897959178206997e-7</x:v>
      </x:c>
      <x:c r="F19" s="374" t="n">
        <x:f>IF(ISNUMBER(E19),E19*$B$3/'币价'!$B$12,"")</x:f>
        <x:v>0.00004341752148934446</x:v>
      </x:c>
      <x:c r="G19" s="559" t="n">
        <x:f>E19*$B$4</x:f>
        <x:v>489.79591782069974</x:v>
      </x:c>
      <x:c r="H19" s="562" t="n">
        <x:f>G19*$B$3</x:f>
        <x:v>43381.224441379374</x:v>
      </x:c>
      <x:c r="I19" s="559" t="n">
        <x:f>C19-C18</x:f>
        <x:v>40.3361344138479</x:v>
      </x:c>
      <x:c r="J19" s="559" t="n">
        <x:f>I19*(1+$B$7)</x:f>
        <x:v>40.73949575798638</x:v>
      </x:c>
      <x:c r="K19" s="560" t="n">
        <x:f>K18+J19</x:f>
        <x:v>129.85714276438776</x:v>
      </x:c>
    </x:row>
    <x:row r="20">
      <x:c r="A20" s="58" t="n">
        <x:v>0.7</x:v>
      </x:c>
      <x:c r="B20" s="64" t="n">
        <x:f>$B$9-A20*$B$4</x:f>
        <x:v>366666667</x:v>
      </x:c>
      <x:c r="C20" s="557" t="n">
        <x:f>$D$3/B20</x:f>
        <x:v>290.9090907355372</x:v>
      </x:c>
      <x:c r="D20" s="75" t="n">
        <x:f>B20*C20</x:f>
        <x:v>106666666700</x:v>
      </x:c>
      <x:c r="E20" s="374" t="n">
        <x:f>C20/B20</x:f>
        <x:v>7.933884285574755e-7</x:v>
      </x:c>
      <x:c r="F20" s="374" t="n">
        <x:f>IF(ISNUMBER(E20),E20*$B$3/'币价'!$B$12,"")</x:f>
        <x:v>0.00007032920833550408</x:v>
      </x:c>
      <x:c r="G20" s="559" t="n">
        <x:f>E20*$B$4</x:f>
        <x:v>793.3884285574755</x:v>
      </x:c>
      <x:c r="H20" s="562" t="n">
        <x:f>G20*$B$3</x:f>
        <x:v>70270.4131173356</x:v>
      </x:c>
      <x:c r="I20" s="559" t="n">
        <x:f>C20-C19</x:f>
        <x:v>62.33766225594533</x:v>
      </x:c>
      <x:c r="J20" s="559" t="n">
        <x:f>I20*(1+$B$7)</x:f>
        <x:v>62.96103887850479</x:v>
      </x:c>
      <x:c r="K20" s="560" t="n">
        <x:f>K19+J20</x:f>
        <x:v>192.81818164289254</x:v>
      </x:c>
    </x:row>
    <x:row r="21">
      <x:c r="A21" s="57" t="n">
        <x:v>0.8</x:v>
      </x:c>
      <x:c r="B21" s="63" t="n">
        <x:f>$B$9-A21*$B$4</x:f>
        <x:v>266666667</x:v>
      </x:c>
      <x:c r="C21" s="556" t="n">
        <x:f>$D$3/B21</x:f>
        <x:v>399.999999625</x:v>
      </x:c>
      <x:c r="D21" s="74" t="n">
        <x:f>B21*C21</x:f>
        <x:v>106666666700</x:v>
      </x:c>
      <x:c r="E21" s="348" t="n">
        <x:f>C21/B21</x:f>
        <x:v>0.00000149999999671875</x:v>
      </x:c>
      <x:c r="F21" s="348" t="n">
        <x:f>IF(ISNUMBER(E21),E21*$B$3/'币价'!$B$12,"")</x:f>
        <x:v>0.00013296615941865367</x:v>
      </x:c>
      <x:c r="G21" s="558" t="n">
        <x:f>E21*$B$4</x:f>
        <x:v>1499.99999671875</x:v>
      </x:c>
      <x:c r="H21" s="561" t="n">
        <x:f>G21*$B$3</x:f>
        <x:v>132854.99970937968</x:v>
      </x:c>
      <x:c r="I21" s="558" t="n">
        <x:f>C21-C20</x:f>
        <x:v>109.09090888946281</x:v>
      </x:c>
      <x:c r="J21" s="558" t="n">
        <x:f>I21*(1+$B$7)</x:f>
        <x:v>110.18181797835744</x:v>
      </x:c>
      <x:c r="K21" s="560" t="n">
        <x:f>K20+J21</x:f>
        <x:v>302.99999962124997</x:v>
      </x:c>
    </x:row>
    <x:row r="22">
      <x:c r="A22" s="59"/>
      <x:c r="B22" s="65"/>
      <x:c r="C22" s="17"/>
      <x:c r="D22" s="76"/>
      <x:c r="E22" s="82"/>
      <x:c r="F22" s="88"/>
      <x:c r="G22" s="88"/>
    </x:row>
    <x:row r="23">
      <x:c r="A23" s="59"/>
      <x:c r="B23" s="65"/>
      <x:c r="C23" s="17"/>
      <x:c r="D23" s="76"/>
      <x:c r="E23" s="82"/>
      <x:c r="F23" s="88"/>
      <x:c r="G23" s="88"/>
    </x:row>
    <x:row r="24" ht="34" customHeight="1">
      <x:c r="A24" s="60" t="str">
        <x:v>控筹率</x:v>
      </x:c>
      <x:c r="B24" s="66" t="str">
        <x:v>pooled token</x:v>
      </x:c>
      <x:c r="C24" s="71" t="str">
        <x:v>pooled HYPE</x:v>
      </x:c>
      <x:c r="D24" s="77" t="str">
        <x:v>k</x:v>
      </x:c>
      <x:c r="E24" s="391" t="str">
        <x:v>价格 / HYPE</x:v>
      </x:c>
      <x:c r="F24" s="391" t="str">
        <x:v>价格 / USDT</x:v>
      </x:c>
      <x:c r="G24" s="393" t="str">
        <x:v>市值 / HYPE</x:v>
      </x:c>
      <x:c r="H24" s="393" t="str">
        <x:v>市值 / USD</x:v>
      </x:c>
      <x:c r="I24" s="331" t="str">
        <x:v>所需 HYPE</x:v>
      </x:c>
      <x:c r="J24" s="331" t="str">
        <x:v>加手续费</x:v>
      </x:c>
      <x:c r="K24" s="344" t="str">
        <x:v>理论累计所需</x:v>
      </x:c>
    </x:row>
    <x:row r="25">
      <x:c r="A25" s="57" t="n">
        <x:v>0.8</x:v>
      </x:c>
      <x:c r="B25" s="63" t="n">
        <x:f>IF(A25&gt;=1,"",IF(ABS(A25-$B$6)&lt;0.000001,$D$4,$B$4*(1-A25)))</x:f>
        <x:v>201376811</x:v>
      </x:c>
      <x:c r="C25" s="556" t="n">
        <x:f>IF(A25&gt;=1,"",IF(ABS(A25-$B$6)&lt;0.000001,$D$5,$D$6/B25))</x:f>
        <x:v>297</x:v>
      </x:c>
      <x:c r="D25" s="74" t="n">
        <x:f>IF(A25&gt;=1,"",B25*C25)</x:f>
        <x:v>59808912867</x:v>
      </x:c>
      <x:c r="E25" s="348" t="n">
        <x:f>IF(A25&gt;=1,"",C25/B25)</x:f>
        <x:v>0.000001474847071642226</x:v>
      </x:c>
      <x:c r="F25" s="348" t="n">
        <x:f>IF(ISNUMBER(E25),E25*$B$3/'币价'!$B$12,"")</x:f>
        <x:v>0.0001307365008500626</x:v>
      </x:c>
      <x:c r="G25" s="558" t="n">
        <x:f>IF(A25&gt;=1,"",E25*$B$4)</x:f>
        <x:v>1474.847071642226</x:v>
      </x:c>
      <x:c r="H25" s="561" t="n">
        <x:f>IF(A25&gt;=1,"",G25*$B$3)</x:f>
        <x:v>130627.20513535195</x:v>
      </x:c>
      <x:c r="I25" s="558" t="n">
        <x:f>IF(A25&gt;=1,"",C25-$D$5)</x:f>
        <x:v>0</x:v>
      </x:c>
      <x:c r="J25" s="558" t="n">
        <x:f>IF(A25&gt;=1,"",I25*(1+$B$8))</x:f>
        <x:v>0</x:v>
      </x:c>
      <x:c r="K25" s="560" t="n">
        <x:f>IF(A25&gt;=1,"不可达",$B$5+(C25-$D$5)*(1+$B$8))</x:f>
        <x:v>302.99999962124997</x:v>
      </x:c>
    </x:row>
    <x:row r="26">
      <x:c r="A26" s="58" t="n">
        <x:v>0.805</x:v>
      </x:c>
      <x:c r="B26" s="64" t="n">
        <x:f>IF(A26&gt;=1,"",IF(ABS(A26-$B$6)&lt;0.000001,$D$4,$B$4*(1-A26)))</x:f>
        <x:v>194999999.99999994</x:v>
      </x:c>
      <x:c r="C26" s="557" t="n">
        <x:f>IF(A26&gt;=1,"",IF(ABS(A26-$B$6)&lt;0.000001,$D$5,$D$6/B26))</x:f>
        <x:v>306.71237367692316</x:v>
      </x:c>
      <x:c r="D26" s="75" t="n">
        <x:f>IF(A26&gt;=1,"",B26*C26)</x:f>
        <x:v>59808912867</x:v>
      </x:c>
      <x:c r="E26" s="374" t="n">
        <x:f>IF(A26&gt;=1,"",C26/B26)</x:f>
        <x:v>0.0000015728839675739654</x:v>
      </x:c>
      <x:c r="F26" s="374" t="n">
        <x:f>IF(ISNUMBER(E26),E26*$B$3/'币价'!$B$12,"")</x:f>
        <x:v>0.00013942689389131923</x:v>
      </x:c>
      <x:c r="G26" s="559" t="n">
        <x:f>IF(A26&gt;=1,"",E26*$B$4)</x:f>
        <x:v>1572.8839675739655</x:v>
      </x:c>
      <x:c r="H26" s="562" t="n">
        <x:f>IF(A26&gt;=1,"",G26*$B$3)</x:f>
        <x:v>139310.33300802612</x:v>
      </x:c>
      <x:c r="I26" s="559" t="n">
        <x:f>IF(A26&gt;=1,"",C26-C25)</x:f>
        <x:v>9.712373676923164</x:v>
      </x:c>
      <x:c r="J26" s="559" t="n">
        <x:f>IF(A26&gt;=1,"",I26*(1+$B$8))</x:f>
        <x:v>9.741510797953932</x:v>
      </x:c>
      <x:c r="K26" s="560" t="n">
        <x:f>IF(A26&gt;=1,"不可达",$B$5+(C26-$D$5)*(1+$B$8))</x:f>
        <x:v>312.7415104192039</x:v>
      </x:c>
    </x:row>
    <x:row r="27">
      <x:c r="A27" s="58" t="n">
        <x:v>0.81</x:v>
      </x:c>
      <x:c r="B27" s="64" t="n">
        <x:f>IF(A27&gt;=1,"",IF(ABS(A27-$B$6)&lt;0.000001,$D$4,$B$4*(1-A27)))</x:f>
        <x:v>189999999.99999994</x:v>
      </x:c>
      <x:c r="C27" s="557" t="n">
        <x:f>IF(A27&gt;=1,"",IF(ABS(A27-$B$6)&lt;0.000001,$D$5,$D$6/B27))</x:f>
        <x:v>314.78375193157905</x:v>
      </x:c>
      <x:c r="D27" s="75" t="n">
        <x:f>IF(A27&gt;=1,"",B27*C27)</x:f>
        <x:v>59808912867</x:v>
      </x:c>
      <x:c r="E27" s="374" t="n">
        <x:f>IF(A27&gt;=1,"",C27/B27)</x:f>
        <x:v>0.0000016567565891135746</x:v>
      </x:c>
      <x:c r="F27" s="374" t="n">
        <x:f>IF(ISNUMBER(E27),E27*$B$3/'币价'!$B$12,"")</x:f>
        <x:v>0.00014686170748524696</x:v>
      </x:c>
      <x:c r="G27" s="559" t="n">
        <x:f>IF(A27&gt;=1,"",E27*$B$4)</x:f>
        <x:v>1656.7565891135746</x:v>
      </x:c>
      <x:c r="H27" s="562" t="n">
        <x:f>IF(A27&gt;=1,"",G27*$B$3)</x:f>
        <x:v>146738.9310977893</x:v>
      </x:c>
      <x:c r="I27" s="559" t="n">
        <x:f>IF(A27&gt;=1,"",C27-C26)</x:f>
        <x:v>8.071378254655883</x:v>
      </x:c>
      <x:c r="J27" s="559" t="n">
        <x:f>IF(A27&gt;=1,"",I27*(1+$B$8))</x:f>
        <x:v>8.09559238941985</x:v>
      </x:c>
      <x:c r="K27" s="560" t="n">
        <x:f>IF(A27&gt;=1,"不可达",$B$5+(C27-$D$5)*(1+$B$8))</x:f>
        <x:v>320.83710280862374</x:v>
      </x:c>
    </x:row>
    <x:row r="28">
      <x:c r="A28" s="58" t="n">
        <x:v>0.815</x:v>
      </x:c>
      <x:c r="B28" s="64" t="n">
        <x:f>IF(A28&gt;=1,"",IF(ABS(A28-$B$6)&lt;0.000001,$D$4,$B$4*(1-A28)))</x:f>
        <x:v>185000000.00000006</x:v>
      </x:c>
      <x:c r="C28" s="557" t="n">
        <x:f>IF(A28&gt;=1,"",IF(ABS(A28-$B$6)&lt;0.000001,$D$5,$D$6/B28))</x:f>
        <x:v>323.2914209027026</x:v>
      </x:c>
      <x:c r="D28" s="75" t="n">
        <x:f>IF(A28&gt;=1,"",B28*C28)</x:f>
        <x:v>59808912867</x:v>
      </x:c>
      <x:c r="E28" s="374" t="n">
        <x:f>IF(A28&gt;=1,"",C28/B28)</x:f>
        <x:v>0.0000017475211940686622</x:v>
      </x:c>
      <x:c r="F28" s="374" t="n">
        <x:f>IF(ISNUMBER(E28),E28*$B$3/'币价'!$B$12,"")</x:f>
        <x:v>0.00015490745479086656</x:v>
      </x:c>
      <x:c r="G28" s="559" t="n">
        <x:f>IF(A28&gt;=1,"",E28*$B$4)</x:f>
        <x:v>1747.5211940686622</x:v>
      </x:c>
      <x:c r="H28" s="562" t="n">
        <x:f>IF(A28&gt;=1,"",G28*$B$3)</x:f>
        <x:v>154777.9521586614</x:v>
      </x:c>
      <x:c r="I28" s="559" t="n">
        <x:f>IF(A28&gt;=1,"",C28-C27)</x:f>
        <x:v>8.507668971123564</x:v>
      </x:c>
      <x:c r="J28" s="559" t="n">
        <x:f>IF(A28&gt;=1,"",I28*(1+$B$8))</x:f>
        <x:v>8.533191978036934</x:v>
      </x:c>
      <x:c r="K28" s="560" t="n">
        <x:f>IF(A28&gt;=1,"不可达",$B$5+(C28-$D$5)*(1+$B$8))</x:f>
        <x:v>329.3702947866607</x:v>
      </x:c>
    </x:row>
    <x:row r="29">
      <x:c r="A29" s="58" t="n">
        <x:v>0.82</x:v>
      </x:c>
      <x:c r="B29" s="64" t="n">
        <x:f>IF(A29&gt;=1,"",IF(ABS(A29-$B$6)&lt;0.000001,$D$4,$B$4*(1-A29)))</x:f>
        <x:v>180000000.00000006</x:v>
      </x:c>
      <x:c r="C29" s="557" t="n">
        <x:f>IF(A29&gt;=1,"",IF(ABS(A29-$B$6)&lt;0.000001,$D$5,$D$6/B29))</x:f>
        <x:v>332.27173814999986</x:v>
      </x:c>
      <x:c r="D29" s="75" t="n">
        <x:f>IF(A29&gt;=1,"",B29*C29)</x:f>
        <x:v>59808912866.99999</x:v>
      </x:c>
      <x:c r="E29" s="374" t="n">
        <x:f>IF(A29&gt;=1,"",C29/B29)</x:f>
        <x:v>0.000001845954100833332</x:v>
      </x:c>
      <x:c r="F29" s="374" t="n">
        <x:f>IF(ISNUMBER(E29),E29*$B$3/'币价'!$B$12,"")</x:f>
        <x:v>0.00016363295185856195</x:v>
      </x:c>
      <x:c r="G29" s="559" t="n">
        <x:f>IF(A29&gt;=1,"",E29*$B$4)</x:f>
        <x:v>1845.954100833332</x:v>
      </x:c>
      <x:c r="H29" s="562" t="n">
        <x:f>IF(A29&gt;=1,"",G29*$B$3)</x:f>
        <x:v>163496.1547108082</x:v>
      </x:c>
      <x:c r="I29" s="559" t="n">
        <x:f>IF(A29&gt;=1,"",C29-C28)</x:f>
        <x:v>8.98031724729725</x:v>
      </x:c>
      <x:c r="J29" s="559" t="n">
        <x:f>IF(A29&gt;=1,"",I29*(1+$B$8))</x:f>
        <x:v>9.007258199039141</x:v>
      </x:c>
      <x:c r="K29" s="560" t="n">
        <x:f>IF(A29&gt;=1,"不可达",$B$5+(C29-$D$5)*(1+$B$8))</x:f>
        <x:v>338.3775529856998</x:v>
      </x:c>
    </x:row>
    <x:row r="30">
      <x:c r="A30" s="58" t="n">
        <x:v>0.825</x:v>
      </x:c>
      <x:c r="B30" s="64" t="n">
        <x:f>IF(A30&gt;=1,"",IF(ABS(A30-$B$6)&lt;0.000001,$D$4,$B$4*(1-A30)))</x:f>
        <x:v>175000000.00000003</x:v>
      </x:c>
      <x:c r="C30" s="557" t="n">
        <x:f>IF(A30&gt;=1,"",IF(ABS(A30-$B$6)&lt;0.000001,$D$5,$D$6/B30))</x:f>
        <x:v>341.7652163828571</x:v>
      </x:c>
      <x:c r="D30" s="75" t="n">
        <x:f>IF(A30&gt;=1,"",B30*C30)</x:f>
        <x:v>59808912867</x:v>
      </x:c>
      <x:c r="E30" s="374" t="n">
        <x:f>IF(A30&gt;=1,"",C30/B30)</x:f>
        <x:v>0.000001952944093616326</x:v>
      </x:c>
      <x:c r="F30" s="374" t="n">
        <x:f>IF(ISNUMBER(E30),E30*$B$3/'币价'!$B$12,"")</x:f>
        <x:v>0.00017311698417036439</x:v>
      </x:c>
      <x:c r="G30" s="559" t="n">
        <x:f>IF(A30&gt;=1,"",E30*$B$4)</x:f>
        <x:v>1952.944093616326</x:v>
      </x:c>
      <x:c r="H30" s="562" t="n">
        <x:f>IF(A30&gt;=1,"",G30*$B$3)</x:f>
        <x:v>172972.25837159797</x:v>
      </x:c>
      <x:c r="I30" s="559" t="n">
        <x:f>IF(A30&gt;=1,"",C30-C29)</x:f>
        <x:v>9.493478232857228</x:v>
      </x:c>
      <x:c r="J30" s="559" t="n">
        <x:f>IF(A30&gt;=1,"",I30*(1+$B$8))</x:f>
        <x:v>9.521958667555799</x:v>
      </x:c>
      <x:c r="K30" s="560" t="n">
        <x:f>IF(A30&gt;=1,"不可达",$B$5+(C30-$D$5)*(1+$B$8))</x:f>
        <x:v>347.8995116532556</x:v>
      </x:c>
    </x:row>
    <x:row r="31">
      <x:c r="A31" s="58" t="n">
        <x:v>0.83</x:v>
      </x:c>
      <x:c r="B31" s="64" t="n">
        <x:f>IF(A31&gt;=1,"",IF(ABS(A31-$B$6)&lt;0.000001,$D$4,$B$4*(1-A31)))</x:f>
        <x:v>170000000.00000003</x:v>
      </x:c>
      <x:c r="C31" s="557" t="n">
        <x:f>IF(A31&gt;=1,"",IF(ABS(A31-$B$6)&lt;0.000001,$D$5,$D$6/B31))</x:f>
        <x:v>351.81713451176466</x:v>
      </x:c>
      <x:c r="D31" s="75" t="n">
        <x:f>IF(A31&gt;=1,"",B31*C31)</x:f>
        <x:v>59808912867</x:v>
      </x:c>
      <x:c r="E31" s="374" t="n">
        <x:f>IF(A31&gt;=1,"",C31/B31)</x:f>
        <x:v>0.0000020695125559515566</x:v>
      </x:c>
      <x:c r="F31" s="374" t="n">
        <x:f>IF(ISNUMBER(E31),E31*$B$3/'币价'!$B$12,"")</x:f>
        <x:v>0.0001834500913570038</x:v>
      </x:c>
      <x:c r="G31" s="559" t="n">
        <x:f>IF(A31&gt;=1,"",E31*$B$4)</x:f>
        <x:v>2069.5125559515564</x:v>
      </x:c>
      <x:c r="H31" s="562" t="n">
        <x:f>IF(A31&gt;=1,"",G31*$B$3)</x:f>
        <x:v>183296.72708062932</x:v>
      </x:c>
      <x:c r="I31" s="559" t="n">
        <x:f>IF(A31&gt;=1,"",C31-C30)</x:f>
        <x:v>10.051918128907573</x:v>
      </x:c>
      <x:c r="J31" s="559" t="n">
        <x:f>IF(A31&gt;=1,"",I31*(1+$B$8))</x:f>
        <x:v>10.082073883294294</x:v>
      </x:c>
      <x:c r="K31" s="560" t="n">
        <x:f>IF(A31&gt;=1,"不可达",$B$5+(C31-$D$5)*(1+$B$8))</x:f>
        <x:v>357.9815855365499</x:v>
      </x:c>
    </x:row>
    <x:row r="32">
      <x:c r="A32" s="58" t="n">
        <x:v>0.835</x:v>
      </x:c>
      <x:c r="B32" s="64" t="n">
        <x:f>IF(A32&gt;=1,"",IF(ABS(A32-$B$6)&lt;0.000001,$D$4,$B$4*(1-A32)))</x:f>
        <x:v>165000000.00000003</x:v>
      </x:c>
      <x:c r="C32" s="557" t="n">
        <x:f>IF(A32&gt;=1,"",IF(ABS(A32-$B$6)&lt;0.000001,$D$5,$D$6/B32))</x:f>
        <x:v>362.47825979999993</x:v>
      </x:c>
      <x:c r="D32" s="75" t="n">
        <x:f>IF(A32&gt;=1,"",B32*C32)</x:f>
        <x:v>59808912867</x:v>
      </x:c>
      <x:c r="E32" s="374" t="n">
        <x:f>IF(A32&gt;=1,"",C32/B32)</x:f>
        <x:v>0.0000021968379381818174</x:v>
      </x:c>
      <x:c r="F32" s="374" t="n">
        <x:f>IF(ISNUMBER(E32),E32*$B$3/'币价'!$B$12,"")</x:f>
        <x:v>0.00019473673609613992</x:v>
      </x:c>
      <x:c r="G32" s="559" t="n">
        <x:f>IF(A32&gt;=1,"",E32*$B$4)</x:f>
        <x:v>2196.837938181817</x:v>
      </x:c>
      <x:c r="H32" s="562" t="n">
        <x:f>IF(A32&gt;=1,"",G32*$B$3)</x:f>
        <x:v>194573.93618476353</x:v>
      </x:c>
      <x:c r="I32" s="559" t="n">
        <x:f>IF(A32&gt;=1,"",C32-C31)</x:f>
        <x:v>10.661125288235269</x:v>
      </x:c>
      <x:c r="J32" s="559" t="n">
        <x:f>IF(A32&gt;=1,"",I32*(1+$B$8))</x:f>
        <x:v>10.693108664099974</x:v>
      </x:c>
      <x:c r="K32" s="560" t="n">
        <x:f>IF(A32&gt;=1,"不可达",$B$5+(C32-$D$5)*(1+$B$8))</x:f>
        <x:v>368.6746942006499</x:v>
      </x:c>
    </x:row>
    <x:row r="33">
      <x:c r="A33" s="58" t="n">
        <x:v>0.84</x:v>
      </x:c>
      <x:c r="B33" s="64" t="n">
        <x:f>IF(A33&gt;=1,"",IF(ABS(A33-$B$6)&lt;0.000001,$D$4,$B$4*(1-A33)))</x:f>
        <x:v>160000000.00000003</x:v>
      </x:c>
      <x:c r="C33" s="557" t="n">
        <x:f>IF(A33&gt;=1,"",IF(ABS(A33-$B$6)&lt;0.000001,$D$5,$D$6/B33))</x:f>
        <x:v>373.80570541874994</x:v>
      </x:c>
      <x:c r="D33" s="75" t="n">
        <x:f>IF(A33&gt;=1,"",B33*C33)</x:f>
        <x:v>59808912867</x:v>
      </x:c>
      <x:c r="E33" s="374" t="n">
        <x:f>IF(A33&gt;=1,"",C33/B33)</x:f>
        <x:v>0.0000023362856588671867</x:v>
      </x:c>
      <x:c r="F33" s="374" t="n">
        <x:f>IF(ISNUMBER(E33),E33*$B$3/'币价'!$B$12,"")</x:f>
        <x:v>0.00020709795469599253</x:v>
      </x:c>
      <x:c r="G33" s="559" t="n">
        <x:f>IF(A33&gt;=1,"",E33*$B$4)</x:f>
        <x:v>2336.2856588671866</x:v>
      </x:c>
      <x:c r="H33" s="562" t="n">
        <x:f>IF(A33&gt;=1,"",G33*$B$3)</x:f>
        <x:v>206924.8208058667</x:v>
      </x:c>
      <x:c r="I33" s="559" t="n">
        <x:f>IF(A33&gt;=1,"",C33-C32)</x:f>
        <x:v>11.327445618750005</x:v>
      </x:c>
      <x:c r="J33" s="559" t="n">
        <x:f>IF(A33&gt;=1,"",I33*(1+$B$8))</x:f>
        <x:v>11.361427955606255</x:v>
      </x:c>
      <x:c r="K33" s="560" t="n">
        <x:f>IF(A33&gt;=1,"不可达",$B$5+(C33-$D$5)*(1+$B$8))</x:f>
        <x:v>380.03612215625617</x:v>
      </x:c>
    </x:row>
    <x:row r="34">
      <x:c r="A34" s="58" t="n">
        <x:v>0.845</x:v>
      </x:c>
      <x:c r="B34" s="64" t="n">
        <x:f>IF(A34&gt;=1,"",IF(ABS(A34-$B$6)&lt;0.000001,$D$4,$B$4*(1-A34)))</x:f>
        <x:v>155000000.00000003</x:v>
      </x:c>
      <x:c r="C34" s="557" t="n">
        <x:f>IF(A34&gt;=1,"",IF(ABS(A34-$B$6)&lt;0.000001,$D$5,$D$6/B34))</x:f>
        <x:v>385.8639539806451</x:v>
      </x:c>
      <x:c r="D34" s="75" t="n">
        <x:f>IF(A34&gt;=1,"",B34*C34)</x:f>
        <x:v>59808912867</x:v>
      </x:c>
      <x:c r="E34" s="374" t="n">
        <x:f>IF(A34&gt;=1,"",C34/B34)</x:f>
        <x:v>0.000002489444864391258</x:v>
      </x:c>
      <x:c r="F34" s="374" t="n">
        <x:f>IF(ISNUMBER(E34),E34*$B$3/'币价'!$B$12,"")</x:f>
        <x:v>0.00022067461561779017</x:v>
      </x:c>
      <x:c r="G34" s="559" t="n">
        <x:f>IF(A34&gt;=1,"",E34*$B$4)</x:f>
        <x:v>2489.444864391258</x:v>
      </x:c>
      <x:c r="H34" s="562" t="n">
        <x:f>IF(A34&gt;=1,"",G34*$B$3)</x:f>
        <x:v>220490.1316391337</x:v>
      </x:c>
      <x:c r="I34" s="559" t="n">
        <x:f>IF(A34&gt;=1,"",C34-C33)</x:f>
        <x:v>12.058248561895141</x:v>
      </x:c>
      <x:c r="J34" s="559" t="n">
        <x:f>IF(A34&gt;=1,"",I34*(1+$B$8))</x:f>
        <x:v>12.094423307580826</x:v>
      </x:c>
      <x:c r="K34" s="560" t="n">
        <x:f>IF(A34&gt;=1,"不可达",$B$5+(C34-$D$5)*(1+$B$8))</x:f>
        <x:v>392.13054546383694</x:v>
      </x:c>
    </x:row>
    <x:row r="35">
      <x:c r="A35" s="58" t="n">
        <x:v>0.85</x:v>
      </x:c>
      <x:c r="B35" s="64" t="n">
        <x:f>IF(A35&gt;=1,"",IF(ABS(A35-$B$6)&lt;0.000001,$D$4,$B$4*(1-A35)))</x:f>
        <x:v>150000000.00000003</x:v>
      </x:c>
      <x:c r="C35" s="557" t="n">
        <x:f>IF(A35&gt;=1,"",IF(ABS(A35-$B$6)&lt;0.000001,$D$5,$D$6/B35))</x:f>
        <x:v>398.72608577999995</x:v>
      </x:c>
      <x:c r="D35" s="75" t="n">
        <x:f>IF(A35&gt;=1,"",B35*C35)</x:f>
        <x:v>59808912867.00001</x:v>
      </x:c>
      <x:c r="E35" s="374" t="n">
        <x:f>IF(A35&gt;=1,"",C35/B35)</x:f>
        <x:v>0.0000026581739051999992</x:v>
      </x:c>
      <x:c r="F35" s="374" t="n">
        <x:f>IF(ISNUMBER(E35),E35*$B$3/'币价'!$B$12,"")</x:f>
        <x:v>0.0002356314506763293</x:v>
      </x:c>
      <x:c r="G35" s="559" t="n">
        <x:f>IF(A35&gt;=1,"",E35*$B$4)</x:f>
        <x:v>2658.1739051999994</x:v>
      </x:c>
      <x:c r="H35" s="562" t="n">
        <x:f>IF(A35&gt;=1,"",G35*$B$3)</x:f>
        <x:v>235434.4627835639</x:v>
      </x:c>
      <x:c r="I35" s="559" t="n">
        <x:f>IF(A35&gt;=1,"",C35-C34)</x:f>
        <x:v>12.86213179935487</x:v>
      </x:c>
      <x:c r="J35" s="559" t="n">
        <x:f>IF(A35&gt;=1,"",I35*(1+$B$8))</x:f>
        <x:v>12.900718194752933</x:v>
      </x:c>
      <x:c r="K35" s="560" t="n">
        <x:f>IF(A35&gt;=1,"不可达",$B$5+(C35-$D$5)*(1+$B$8))</x:f>
        <x:v>405.0312636585899</x:v>
      </x:c>
    </x:row>
    <x:row r="36">
      <x:c r="A36" s="58" t="n">
        <x:v>0.855</x:v>
      </x:c>
      <x:c r="B36" s="64" t="n">
        <x:f>IF(A36&gt;=1,"",IF(ABS(A36-$B$6)&lt;0.000001,$D$4,$B$4*(1-A36)))</x:f>
        <x:v>145000000.00000003</x:v>
      </x:c>
      <x:c r="C36" s="557" t="n">
        <x:f>IF(A36&gt;=1,"",IF(ABS(A36-$B$6)&lt;0.000001,$D$5,$D$6/B36))</x:f>
        <x:v>412.47526115172406</x:v>
      </x:c>
      <x:c r="D36" s="75" t="n">
        <x:f>IF(A36&gt;=1,"",B36*C36)</x:f>
        <x:v>59808912867</x:v>
      </x:c>
      <x:c r="E36" s="374" t="n">
        <x:f>IF(A36&gt;=1,"",C36/B36)</x:f>
        <x:v>0.000002844656973460165</x:v>
      </x:c>
      <x:c r="F36" s="374" t="n">
        <x:f>IF(ISNUMBER(E36),E36*$B$3/'币价'!$B$12,"")</x:f>
        <x:v>0.00025216207563459733</x:v>
      </x:c>
      <x:c r="G36" s="559" t="n">
        <x:f>IF(A36&gt;=1,"",E36*$B$4)</x:f>
        <x:v>2844.6569734601653</x:v>
      </x:c>
      <x:c r="H36" s="562" t="n">
        <x:f>IF(A36&gt;=1,"",G36*$B$3)</x:f>
        <x:v>251951.26813936682</x:v>
      </x:c>
      <x:c r="I36" s="559" t="n">
        <x:f>IF(A36&gt;=1,"",C36-C35)</x:f>
        <x:v>13.749175371724107</x:v>
      </x:c>
      <x:c r="J36" s="559" t="n">
        <x:f>IF(A36&gt;=1,"",I36*(1+$B$8))</x:f>
        <x:v>13.790422897839278</x:v>
      </x:c>
      <x:c r="K36" s="560" t="n">
        <x:f>IF(A36&gt;=1,"不可达",$B$5+(C36-$D$5)*(1+$B$8))</x:f>
        <x:v>418.8216865564292</x:v>
      </x:c>
    </x:row>
    <x:row r="37">
      <x:c r="A37" s="58" t="n">
        <x:v>0.86</x:v>
      </x:c>
      <x:c r="B37" s="64" t="n">
        <x:f>IF(A37&gt;=1,"",IF(ABS(A37-$B$6)&lt;0.000001,$D$4,$B$4*(1-A37)))</x:f>
        <x:v>140000000</x:v>
      </x:c>
      <x:c r="C37" s="557" t="n">
        <x:f>IF(A37&gt;=1,"",IF(ABS(A37-$B$6)&lt;0.000001,$D$5,$D$6/B37))</x:f>
        <x:v>427.2065204785714</x:v>
      </x:c>
      <x:c r="D37" s="75" t="n">
        <x:f>IF(A37&gt;=1,"",B37*C37)</x:f>
        <x:v>59808912867</x:v>
      </x:c>
      <x:c r="E37" s="374" t="n">
        <x:f>IF(A37&gt;=1,"",C37/B37)</x:f>
        <x:v>0.00000305147514627551</x:v>
      </x:c>
      <x:c r="F37" s="374" t="n">
        <x:f>IF(ISNUMBER(E37),E37*$B$3/'币价'!$B$12,"")</x:f>
        <x:v>0.00027049528776619444</x:v>
      </x:c>
      <x:c r="G37" s="559" t="n">
        <x:f>IF(A37&gt;=1,"",E37*$B$4)</x:f>
        <x:v>3051.47514627551</x:v>
      </x:c>
      <x:c r="H37" s="562" t="n">
        <x:f>IF(A37&gt;=1,"",G37*$B$3)</x:f>
        <x:v>270269.1537056219</x:v>
      </x:c>
      <x:c r="I37" s="559" t="n">
        <x:f>IF(A37&gt;=1,"",C37-C36)</x:f>
        <x:v>14.73125932684735</x:v>
      </x:c>
      <x:c r="J37" s="559" t="n">
        <x:f>IF(A37&gt;=1,"",I37*(1+$B$8))</x:f>
        <x:v>14.775453104827891</x:v>
      </x:c>
      <x:c r="K37" s="560" t="n">
        <x:f>IF(A37&gt;=1,"不可达",$B$5+(C37-$D$5)*(1+$B$8))</x:f>
        <x:v>433.5971396612571</x:v>
      </x:c>
    </x:row>
    <x:row r="38">
      <x:c r="A38" s="58" t="n">
        <x:v>0.865</x:v>
      </x:c>
      <x:c r="B38" s="64" t="n">
        <x:f>IF(A38&gt;=1,"",IF(ABS(A38-$B$6)&lt;0.000001,$D$4,$B$4*(1-A38)))</x:f>
        <x:v>135000000</x:v>
      </x:c>
      <x:c r="C38" s="557" t="n">
        <x:f>IF(A38&gt;=1,"",IF(ABS(A38-$B$6)&lt;0.000001,$D$5,$D$6/B38))</x:f>
        <x:v>443.0289842</x:v>
      </x:c>
      <x:c r="D38" s="75" t="n">
        <x:f>IF(A38&gt;=1,"",B38*C38)</x:f>
        <x:v>59808912867</x:v>
      </x:c>
      <x:c r="E38" s="374" t="n">
        <x:f>IF(A38&gt;=1,"",C38/B38)</x:f>
        <x:v>0.0000032816961792592595</x:v>
      </x:c>
      <x:c r="F38" s="374" t="n">
        <x:f>IF(ISNUMBER(E38),E38*$B$3/'币价'!$B$12,"")</x:f>
        <x:v>0.0002909030255263326</x:v>
      </x:c>
      <x:c r="G38" s="559" t="n">
        <x:f>IF(A38&gt;=1,"",E38*$B$4)</x:f>
        <x:v>3281.6961792592597</x:v>
      </x:c>
      <x:c r="H38" s="562" t="n">
        <x:f>IF(A38&gt;=1,"",G38*$B$3)</x:f>
        <x:v>290659.83059699263</x:v>
      </x:c>
      <x:c r="I38" s="559" t="n">
        <x:f>IF(A38&gt;=1,"",C38-C37)</x:f>
        <x:v>15.822463721428619</x:v>
      </x:c>
      <x:c r="J38" s="559" t="n">
        <x:f>IF(A38&gt;=1,"",I38*(1+$B$8))</x:f>
        <x:v>15.869931112592903</x:v>
      </x:c>
      <x:c r="K38" s="560" t="n">
        <x:f>IF(A38&gt;=1,"不可达",$B$5+(C38-$D$5)*(1+$B$8))</x:f>
        <x:v>449.46707077384997</x:v>
      </x:c>
    </x:row>
    <x:row r="39">
      <x:c r="A39" s="58" t="n">
        <x:v>0.87</x:v>
      </x:c>
      <x:c r="B39" s="64" t="n">
        <x:f>IF(A39&gt;=1,"",IF(ABS(A39-$B$6)&lt;0.000001,$D$4,$B$4*(1-A39)))</x:f>
        <x:v>130000000</x:v>
      </x:c>
      <x:c r="C39" s="557" t="n">
        <x:f>IF(A39&gt;=1,"",IF(ABS(A39-$B$6)&lt;0.000001,$D$5,$D$6/B39))</x:f>
        <x:v>460.0685605153846</x:v>
      </x:c>
      <x:c r="D39" s="75" t="n">
        <x:f>IF(A39&gt;=1,"",B39*C39)</x:f>
        <x:v>59808912867</x:v>
      </x:c>
      <x:c r="E39" s="374" t="n">
        <x:f>IF(A39&gt;=1,"",C39/B39)</x:f>
        <x:v>0.00000353898892704142</x:v>
      </x:c>
      <x:c r="F39" s="374" t="n">
        <x:f>IF(ISNUMBER(E39),E39*$B$3/'币价'!$B$12,"")</x:f>
        <x:v>0.00031371051125546806</x:v>
      </x:c>
      <x:c r="G39" s="559" t="n">
        <x:f>IF(A39&gt;=1,"",E39*$B$4)</x:f>
        <x:v>3538.98892704142</x:v>
      </x:c>
      <x:c r="H39" s="562" t="n">
        <x:f>IF(A39&gt;=1,"",G39*$B$3)</x:f>
        <x:v>313448.2492680586</x:v>
      </x:c>
      <x:c r="I39" s="559" t="n">
        <x:f>IF(A39&gt;=1,"",C39-C38)</x:f>
        <x:v>17.03957631538458</x:v>
      </x:c>
      <x:c r="J39" s="559" t="n">
        <x:f>IF(A39&gt;=1,"",I39*(1+$B$8))</x:f>
        <x:v>17.09069504433073</x:v>
      </x:c>
      <x:c r="K39" s="560" t="n">
        <x:f>IF(A39&gt;=1,"不可达",$B$5+(C39-$D$5)*(1+$B$8))</x:f>
        <x:v>466.5577658181807</x:v>
      </x:c>
    </x:row>
    <x:row r="40">
      <x:c r="A40" s="58" t="n">
        <x:v>0.875</x:v>
      </x:c>
      <x:c r="B40" s="64" t="n">
        <x:f>IF(A40&gt;=1,"",IF(ABS(A40-$B$6)&lt;0.000001,$D$4,$B$4*(1-A40)))</x:f>
        <x:v>125000000</x:v>
      </x:c>
      <x:c r="C40" s="557" t="n">
        <x:f>IF(A40&gt;=1,"",IF(ABS(A40-$B$6)&lt;0.000001,$D$5,$D$6/B40))</x:f>
        <x:v>478.471302936</x:v>
      </x:c>
      <x:c r="D40" s="75" t="n">
        <x:f>IF(A40&gt;=1,"",B40*C40)</x:f>
        <x:v>59808912867</x:v>
      </x:c>
      <x:c r="E40" s="374" t="n">
        <x:f>IF(A40&gt;=1,"",C40/B40)</x:f>
        <x:v>0.000003827770423487999</x:v>
      </x:c>
      <x:c r="F40" s="374" t="n">
        <x:f>IF(ISNUMBER(E40),E40*$B$3/'币价'!$B$12,"")</x:f>
        <x:v>0.00033930928897391423</x:v>
      </x:c>
      <x:c r="G40" s="559" t="n">
        <x:f>IF(A40&gt;=1,"",E40*$B$4)</x:f>
        <x:v>3827.7704234879993</x:v>
      </x:c>
      <x:c r="H40" s="562" t="n">
        <x:f>IF(A40&gt;=1,"",G40*$B$3)</x:f>
        <x:v>339025.6264083321</x:v>
      </x:c>
      <x:c r="I40" s="559" t="n">
        <x:f>IF(A40&gt;=1,"",C40-C39)</x:f>
        <x:v>18.40274242061537</x:v>
      </x:c>
      <x:c r="J40" s="559" t="n">
        <x:f>IF(A40&gt;=1,"",I40*(1+$B$8))</x:f>
        <x:v>18.45795064787721</x:v>
      </x:c>
      <x:c r="K40" s="560" t="n">
        <x:f>IF(A40&gt;=1,"不可达",$B$5+(C40-$D$5)*(1+$B$8))</x:f>
        <x:v>485.01571646605794</x:v>
      </x:c>
    </x:row>
    <x:row r="41">
      <x:c r="A41" s="58" t="n">
        <x:v>0.88</x:v>
      </x:c>
      <x:c r="B41" s="64" t="n">
        <x:f>IF(A41&gt;=1,"",IF(ABS(A41-$B$6)&lt;0.000001,$D$4,$B$4*(1-A41)))</x:f>
        <x:v>120000000</x:v>
      </x:c>
      <x:c r="C41" s="557" t="n">
        <x:f>IF(A41&gt;=1,"",IF(ABS(A41-$B$6)&lt;0.000001,$D$5,$D$6/B41))</x:f>
        <x:v>498.407607225</x:v>
      </x:c>
      <x:c r="D41" s="75" t="n">
        <x:f>IF(A41&gt;=1,"",B41*C41)</x:f>
        <x:v>59808912867</x:v>
      </x:c>
      <x:c r="E41" s="374" t="n">
        <x:f>IF(A41&gt;=1,"",C41/B41)</x:f>
        <x:v>0.0000041533967268749995</x:v>
      </x:c>
      <x:c r="F41" s="374" t="n">
        <x:f>IF(ISNUMBER(E41),E41*$B$3/'币价'!$B$12,"")</x:f>
        <x:v>0.0003681741416817646</x:v>
      </x:c>
      <x:c r="G41" s="559" t="n">
        <x:f>IF(A41&gt;=1,"",E41*$B$4)</x:f>
        <x:v>4153.396726874999</x:v>
      </x:c>
      <x:c r="H41" s="562" t="n">
        <x:f>IF(A41&gt;=1,"",G41*$B$3)</x:f>
        <x:v>367866.3480993187</x:v>
      </x:c>
      <x:c r="I41" s="559" t="n">
        <x:f>IF(A41&gt;=1,"",C41-C40)</x:f>
        <x:v>19.93630428900002</x:v>
      </x:c>
      <x:c r="J41" s="559" t="n">
        <x:f>IF(A41&gt;=1,"",I41*(1+$B$8))</x:f>
        <x:v>19.99611320186702</x:v>
      </x:c>
      <x:c r="K41" s="560" t="n">
        <x:f>IF(A41&gt;=1,"不可达",$B$5+(C41-$D$5)*(1+$B$8))</x:f>
        <x:v>505.0118296679249</x:v>
      </x:c>
    </x:row>
    <x:row r="42">
      <x:c r="A42" s="58" t="n">
        <x:v>0.885</x:v>
      </x:c>
      <x:c r="B42" s="64" t="n">
        <x:f>IF(A42&gt;=1,"",IF(ABS(A42-$B$6)&lt;0.000001,$D$4,$B$4*(1-A42)))</x:f>
        <x:v>114999999.99999999</x:v>
      </x:c>
      <x:c r="C42" s="557" t="n">
        <x:f>IF(A42&gt;=1,"",IF(ABS(A42-$B$6)&lt;0.000001,$D$5,$D$6/B42))</x:f>
        <x:v>520.0775031913045</x:v>
      </x:c>
      <x:c r="D42" s="75" t="n">
        <x:f>IF(A42&gt;=1,"",B42*C42)</x:f>
        <x:v>59808912867.00001</x:v>
      </x:c>
      <x:c r="E42" s="374" t="n">
        <x:f>IF(A42&gt;=1,"",C42/B42)</x:f>
        <x:v>0.000004522413071228735</x:v>
      </x:c>
      <x:c r="F42" s="374" t="n">
        <x:f>IF(ISNUMBER(E42),E42*$B$3/'币价'!$B$12,"")</x:f>
        <x:v>0.0004008852658009386</x:v>
      </x:c>
      <x:c r="G42" s="559" t="n">
        <x:f>IF(A42&gt;=1,"",E42*$B$4)</x:f>
        <x:v>4522.413071228735</x:v>
      </x:c>
      <x:c r="H42" s="562" t="n">
        <x:f>IF(A42&gt;=1,"",G42*$B$3)</x:f>
        <x:v>400550.12571872905</x:v>
      </x:c>
      <x:c r="I42" s="559" t="n">
        <x:f>IF(A42&gt;=1,"",C42-C41)</x:f>
        <x:v>21.669895966304466</x:v>
      </x:c>
      <x:c r="J42" s="559" t="n">
        <x:f>IF(A42&gt;=1,"",I42*(1+$B$8))</x:f>
        <x:v>21.734905654203377</x:v>
      </x:c>
      <x:c r="K42" s="560" t="n">
        <x:f>IF(A42&gt;=1,"不可达",$B$5+(C42-$D$5)*(1+$B$8))</x:f>
        <x:v>526.7467353221283</x:v>
      </x:c>
    </x:row>
    <x:row r="43">
      <x:c r="A43" s="58" t="n">
        <x:v>0.89</x:v>
      </x:c>
      <x:c r="B43" s="64" t="n">
        <x:f>IF(A43&gt;=1,"",IF(ABS(A43-$B$6)&lt;0.000001,$D$4,$B$4*(1-A43)))</x:f>
        <x:v>109999999.99999999</x:v>
      </x:c>
      <x:c r="C43" s="557" t="n">
        <x:f>IF(A43&gt;=1,"",IF(ABS(A43-$B$6)&lt;0.000001,$D$5,$D$6/B43))</x:f>
        <x:v>543.7173897000001</x:v>
      </x:c>
      <x:c r="D43" s="75" t="n">
        <x:f>IF(A43&gt;=1,"",B43*C43)</x:f>
        <x:v>59808912867.00001</x:v>
      </x:c>
      <x:c r="E43" s="374" t="n">
        <x:f>IF(A43&gt;=1,"",C43/B43)</x:f>
        <x:v>0.0000049428853609090925</x:v>
      </x:c>
      <x:c r="F43" s="374" t="n">
        <x:f>IF(ISNUMBER(E43),E43*$B$3/'币价'!$B$12,"")</x:f>
        <x:v>0.00043815765621631506</x:v>
      </x:c>
      <x:c r="G43" s="559" t="n">
        <x:f>IF(A43&gt;=1,"",E43*$B$4)</x:f>
        <x:v>4942.885360909093</x:v>
      </x:c>
      <x:c r="H43" s="562" t="n">
        <x:f>IF(A43&gt;=1,"",G43*$B$3)</x:f>
        <x:v>437791.3564157183</x:v>
      </x:c>
      <x:c r="I43" s="559" t="n">
        <x:f>IF(A43&gt;=1,"",C43-C42)</x:f>
        <x:v>23.639886508695668</x:v>
      </x:c>
      <x:c r="J43" s="559" t="n">
        <x:f>IF(A43&gt;=1,"",I43*(1+$B$8))</x:f>
        <x:v>23.71080616822175</x:v>
      </x:c>
      <x:c r="K43" s="560" t="n">
        <x:f>IF(A43&gt;=1,"不可达",$B$5+(C43-$D$5)*(1+$B$8))</x:f>
        <x:v>550.4575414903501</x:v>
      </x:c>
    </x:row>
    <x:row r="44">
      <x:c r="A44" s="58" t="n">
        <x:v>0.895</x:v>
      </x:c>
      <x:c r="B44" s="64" t="n">
        <x:f>IF(A44&gt;=1,"",IF(ABS(A44-$B$6)&lt;0.000001,$D$4,$B$4*(1-A44)))</x:f>
        <x:v>104999999.99999999</x:v>
      </x:c>
      <x:c r="C44" s="557" t="n">
        <x:f>IF(A44&gt;=1,"",IF(ABS(A44-$B$6)&lt;0.000001,$D$5,$D$6/B44))</x:f>
        <x:v>569.6086939714287</x:v>
      </x:c>
      <x:c r="D44" s="75" t="n">
        <x:f>IF(A44&gt;=1,"",B44*C44)</x:f>
        <x:v>59808912867.00001</x:v>
      </x:c>
      <x:c r="E44" s="374" t="n">
        <x:f>IF(A44&gt;=1,"",C44/B44)</x:f>
        <x:v>0.000005424844704489798</x:v>
      </x:c>
      <x:c r="F44" s="374" t="n">
        <x:f>IF(ISNUMBER(E44),E44*$B$3/'币价'!$B$12,"")</x:f>
        <x:v>0.0004808805115843459</x:v>
      </x:c>
      <x:c r="G44" s="559" t="n">
        <x:f>IF(A44&gt;=1,"",E44*$B$4)</x:f>
        <x:v>5424.8447044897985</x:v>
      </x:c>
      <x:c r="H44" s="562" t="n">
        <x:f>IF(A44&gt;=1,"",G44*$B$3)</x:f>
        <x:v>480478.4954766614</x:v>
      </x:c>
      <x:c r="I44" s="559" t="n">
        <x:f>IF(A44&gt;=1,"",C44-C43)</x:f>
        <x:v>25.891304271428567</x:v>
      </x:c>
      <x:c r="J44" s="559" t="n">
        <x:f>IF(A44&gt;=1,"",I44*(1+$B$8))</x:f>
        <x:v>25.96897818424285</x:v>
      </x:c>
      <x:c r="K44" s="560" t="n">
        <x:f>IF(A44&gt;=1,"不可达",$B$5+(C44-$D$5)*(1+$B$8))</x:f>
        <x:v>576.4265196745929</x:v>
      </x:c>
    </x:row>
    <x:row r="45">
      <x:c r="A45" s="58" t="n">
        <x:v>0.9</x:v>
      </x:c>
      <x:c r="B45" s="64" t="n">
        <x:f>IF(A45&gt;=1,"",IF(ABS(A45-$B$6)&lt;0.000001,$D$4,$B$4*(1-A45)))</x:f>
        <x:v>99999999.99999999</x:v>
      </x:c>
      <x:c r="C45" s="557" t="n">
        <x:f>IF(A45&gt;=1,"",IF(ABS(A45-$B$6)&lt;0.000001,$D$5,$D$6/B45))</x:f>
        <x:v>598.08912867</x:v>
      </x:c>
      <x:c r="D45" s="75" t="n">
        <x:f>IF(A45&gt;=1,"",B45*C45)</x:f>
        <x:v>59808912866.99999</x:v>
      </x:c>
      <x:c r="E45" s="374" t="n">
        <x:f>IF(A45&gt;=1,"",C45/B45)</x:f>
        <x:v>0.000005980891286700001</x:v>
      </x:c>
      <x:c r="F45" s="374" t="n">
        <x:f>IF(ISNUMBER(E45),E45*$B$3/'币价'!$B$12,"")</x:f>
        <x:v>0.0005301707640217412</x:v>
      </x:c>
      <x:c r="G45" s="559" t="n">
        <x:f>IF(A45&gt;=1,"",E45*$B$4)</x:f>
        <x:v>5980.891286700002</x:v>
      </x:c>
      <x:c r="H45" s="562" t="n">
        <x:f>IF(A45&gt;=1,"",G45*$B$3)</x:f>
        <x:v>529727.5412630191</x:v>
      </x:c>
      <x:c r="I45" s="559" t="n">
        <x:f>IF(A45&gt;=1,"",C45-C44)</x:f>
        <x:v>28.480434698571344</x:v>
      </x:c>
      <x:c r="J45" s="559" t="n">
        <x:f>IF(A45&gt;=1,"",I45*(1+$B$8))</x:f>
        <x:v>28.565876002667054</x:v>
      </x:c>
      <x:c r="K45" s="560" t="n">
        <x:f>IF(A45&gt;=1,"不可达",$B$5+(C45-$D$5)*(1+$B$8))</x:f>
        <x:v>604.99239567726</x:v>
      </x:c>
    </x:row>
    <x:row r="46">
      <x:c r="A46" s="58" t="n">
        <x:v>0.905</x:v>
      </x:c>
      <x:c r="B46" s="64" t="n">
        <x:f>IF(A46&gt;=1,"",IF(ABS(A46-$B$6)&lt;0.000001,$D$4,$B$4*(1-A46)))</x:f>
        <x:v>94999999.99999997</x:v>
      </x:c>
      <x:c r="C46" s="557" t="n">
        <x:f>IF(A46&gt;=1,"",IF(ABS(A46-$B$6)&lt;0.000001,$D$5,$D$6/B46))</x:f>
        <x:v>629.5675038631581</x:v>
      </x:c>
      <x:c r="D46" s="75" t="n">
        <x:f>IF(A46&gt;=1,"",B46*C46)</x:f>
        <x:v>59808912867</x:v>
      </x:c>
      <x:c r="E46" s="374" t="n">
        <x:f>IF(A46&gt;=1,"",C46/B46)</x:f>
        <x:v>0.000006627026356454298</x:v>
      </x:c>
      <x:c r="F46" s="374" t="n">
        <x:f>IF(ISNUMBER(E46),E46*$B$3/'币价'!$B$12,"")</x:f>
        <x:v>0.0005874468299409878</x:v>
      </x:c>
      <x:c r="G46" s="559" t="n">
        <x:f>IF(A46&gt;=1,"",E46*$B$4)</x:f>
        <x:v>6627.026356454298</x:v>
      </x:c>
      <x:c r="H46" s="562" t="n">
        <x:f>IF(A46&gt;=1,"",G46*$B$3)</x:f>
        <x:v>586955.7243911572</x:v>
      </x:c>
      <x:c r="I46" s="559" t="n">
        <x:f>IF(A46&gt;=1,"",C46-C45)</x:f>
        <x:v>31.478375193158058</x:v>
      </x:c>
      <x:c r="J46" s="559" t="n">
        <x:f>IF(A46&gt;=1,"",I46*(1+$B$8))</x:f>
        <x:v>31.572810318737528</x:v>
      </x:c>
      <x:c r="K46" s="560" t="n">
        <x:f>IF(A46&gt;=1,"不可达",$B$5+(C46-$D$5)*(1+$B$8))</x:f>
        <x:v>636.5652059959975</x:v>
      </x:c>
    </x:row>
    <x:row r="47">
      <x:c r="A47" s="58" t="n">
        <x:v>0.91</x:v>
      </x:c>
      <x:c r="B47" s="64" t="n">
        <x:f>IF(A47&gt;=1,"",IF(ABS(A47-$B$6)&lt;0.000001,$D$4,$B$4*(1-A47)))</x:f>
        <x:v>89999999.99999997</x:v>
      </x:c>
      <x:c r="C47" s="557" t="n">
        <x:f>IF(A47&gt;=1,"",IF(ABS(A47-$B$6)&lt;0.000001,$D$5,$D$6/B47))</x:f>
        <x:v>664.5434763000002</x:v>
      </x:c>
      <x:c r="D47" s="75" t="n">
        <x:f>IF(A47&gt;=1,"",B47*C47)</x:f>
        <x:v>59808912867</x:v>
      </x:c>
      <x:c r="E47" s="374" t="n">
        <x:f>IF(A47&gt;=1,"",C47/B47)</x:f>
        <x:v>0.000007383816403333338</x:v>
      </x:c>
      <x:c r="F47" s="374" t="n">
        <x:f>IF(ISNUMBER(E47),E47*$B$3/'币价'!$B$12,"")</x:f>
        <x:v>0.0006545318074342487</x:v>
      </x:c>
      <x:c r="G47" s="559" t="n">
        <x:f>IF(A47&gt;=1,"",E47*$B$4)</x:f>
        <x:v>7383.816403333338</x:v>
      </x:c>
      <x:c r="H47" s="562" t="n">
        <x:f>IF(A47&gt;=1,"",G47*$B$3)</x:f>
        <x:v>653984.6188432337</x:v>
      </x:c>
      <x:c r="I47" s="559" t="n">
        <x:f>IF(A47&gt;=1,"",C47-C46)</x:f>
        <x:v>34.975972436842085</x:v>
      </x:c>
      <x:c r="J47" s="559" t="n">
        <x:f>IF(A47&gt;=1,"",I47*(1+$B$8))</x:f>
        <x:v>35.080900354152604</x:v>
      </x:c>
      <x:c r="K47" s="560" t="n">
        <x:f>IF(A47&gt;=1,"不可达",$B$5+(C47-$D$5)*(1+$B$8))</x:f>
        <x:v>671.6461063501501</x:v>
      </x:c>
    </x:row>
    <x:row r="48">
      <x:c r="A48" s="58" t="n">
        <x:v>0.915</x:v>
      </x:c>
      <x:c r="B48" s="64" t="n">
        <x:f>IF(A48&gt;=1,"",IF(ABS(A48-$B$6)&lt;0.000001,$D$4,$B$4*(1-A48)))</x:f>
        <x:v>84999999.99999997</x:v>
      </x:c>
      <x:c r="C48" s="557" t="n">
        <x:f>IF(A48&gt;=1,"",IF(ABS(A48-$B$6)&lt;0.000001,$D$5,$D$6/B48))</x:f>
        <x:v>703.6342690235297</x:v>
      </x:c>
      <x:c r="D48" s="75" t="n">
        <x:f>IF(A48&gt;=1,"",B48*C48)</x:f>
        <x:v>59808912867</x:v>
      </x:c>
      <x:c r="E48" s="374" t="n">
        <x:f>IF(A48&gt;=1,"",C48/B48)</x:f>
        <x:v>0.000008278050223806235</x:v>
      </x:c>
      <x:c r="F48" s="374" t="n">
        <x:f>IF(ISNUMBER(E48),E48*$B$3/'币价'!$B$12,"")</x:f>
        <x:v>0.0007338003654280159</x:v>
      </x:c>
      <x:c r="G48" s="559" t="n">
        <x:f>IF(A48&gt;=1,"",E48*$B$4)</x:f>
        <x:v>8278.050223806234</x:v>
      </x:c>
      <x:c r="H48" s="562" t="n">
        <x:f>IF(A48&gt;=1,"",G48*$B$3)</x:f>
        <x:v>733186.9083225181</x:v>
      </x:c>
      <x:c r="I48" s="559" t="n">
        <x:f>IF(A48&gt;=1,"",C48-C47)</x:f>
        <x:v>39.09079272352949</x:v>
      </x:c>
      <x:c r="J48" s="559" t="n">
        <x:f>IF(A48&gt;=1,"",I48*(1+$B$8))</x:f>
        <x:v>39.20806510170007</x:v>
      </x:c>
      <x:c r="K48" s="560" t="n">
        <x:f>IF(A48&gt;=1,"不可达",$B$5+(C48-$D$5)*(1+$B$8))</x:f>
        <x:v>710.8541714518501</x:v>
      </x:c>
    </x:row>
    <x:row r="49">
      <x:c r="A49" s="58" t="n">
        <x:v>0.92</x:v>
      </x:c>
      <x:c r="B49" s="64" t="n">
        <x:f>IF(A49&gt;=1,"",IF(ABS(A49-$B$6)&lt;0.000001,$D$4,$B$4*(1-A49)))</x:f>
        <x:v>79999999.99999996</x:v>
      </x:c>
      <x:c r="C49" s="557" t="n">
        <x:f>IF(A49&gt;=1,"",IF(ABS(A49-$B$6)&lt;0.000001,$D$5,$D$6/B49))</x:f>
        <x:v>747.6114108375004</x:v>
      </x:c>
      <x:c r="D49" s="75" t="n">
        <x:f>IF(A49&gt;=1,"",B49*C49)</x:f>
        <x:v>59808912867</x:v>
      </x:c>
      <x:c r="E49" s="374" t="n">
        <x:f>IF(A49&gt;=1,"",C49/B49)</x:f>
        <x:v>0.00000934514263546876</x:v>
      </x:c>
      <x:c r="F49" s="374" t="n">
        <x:f>IF(ISNUMBER(E49),E49*$B$3/'币价'!$B$12,"")</x:f>
        <x:v>0.0008283918187839713</x:v>
      </x:c>
      <x:c r="G49" s="559" t="n">
        <x:f>IF(A49&gt;=1,"",E49*$B$4)</x:f>
        <x:v>9345.142635468761</x:v>
      </x:c>
      <x:c r="H49" s="562" t="n">
        <x:f>IF(A49&gt;=1,"",G49*$B$3)</x:f>
        <x:v>827699.2832234681</x:v>
      </x:c>
      <x:c r="I49" s="559" t="n">
        <x:f>IF(A49&gt;=1,"",C49-C48)</x:f>
        <x:v>43.977141813970775</x:v>
      </x:c>
      <x:c r="J49" s="559" t="n">
        <x:f>IF(A49&gt;=1,"",I49*(1+$B$8))</x:f>
        <x:v>44.10907323941268</x:v>
      </x:c>
      <x:c r="K49" s="560" t="n">
        <x:f>IF(A49&gt;=1,"不可达",$B$5+(C49-$D$5)*(1+$B$8))</x:f>
        <x:v>754.9632446912628</x:v>
      </x:c>
    </x:row>
    <x:row r="50">
      <x:c r="A50" s="58" t="n">
        <x:v>0.925</x:v>
      </x:c>
      <x:c r="B50" s="64" t="n">
        <x:f>IF(A50&gt;=1,"",IF(ABS(A50-$B$6)&lt;0.000001,$D$4,$B$4*(1-A50)))</x:f>
        <x:v>74999999.99999996</x:v>
      </x:c>
      <x:c r="C50" s="557" t="n">
        <x:f>IF(A50&gt;=1,"",IF(ABS(A50-$B$6)&lt;0.000001,$D$5,$D$6/B50))</x:f>
        <x:v>797.4521715600005</x:v>
      </x:c>
      <x:c r="D50" s="75" t="n">
        <x:f>IF(A50&gt;=1,"",B50*C50)</x:f>
        <x:v>59808912867</x:v>
      </x:c>
      <x:c r="E50" s="374" t="n">
        <x:f>IF(A50&gt;=1,"",C50/B50)</x:f>
        <x:v>0.000010632695620800012</x:v>
      </x:c>
      <x:c r="F50" s="374" t="n">
        <x:f>IF(ISNUMBER(E50),E50*$B$3/'币价'!$B$12,"")</x:f>
        <x:v>0.0009425258027053186</x:v>
      </x:c>
      <x:c r="G50" s="559" t="n">
        <x:f>IF(A50&gt;=1,"",E50*$B$4)</x:f>
        <x:v>10632.695620800012</x:v>
      </x:c>
      <x:c r="H50" s="562" t="n">
        <x:f>IF(A50&gt;=1,"",G50*$B$3)</x:f>
        <x:v>941737.851134257</x:v>
      </x:c>
      <x:c r="I50" s="559" t="n">
        <x:f>IF(A50&gt;=1,"",C50-C49)</x:f>
        <x:v>49.84076072250002</x:v>
      </x:c>
      <x:c r="J50" s="559" t="n">
        <x:f>IF(A50&gt;=1,"",I50*(1+$B$8))</x:f>
        <x:v>49.99028300466752</x:v>
      </x:c>
      <x:c r="K50" s="560" t="n">
        <x:f>IF(A50&gt;=1,"不可达",$B$5+(C50-$D$5)*(1+$B$8))</x:f>
        <x:v>804.9535276959305</x:v>
      </x:c>
    </x:row>
    <x:row r="51">
      <x:c r="A51" s="58" t="n">
        <x:v>0.93</x:v>
      </x:c>
      <x:c r="B51" s="64" t="n">
        <x:f>IF(A51&gt;=1,"",IF(ABS(A51-$B$6)&lt;0.000001,$D$4,$B$4*(1-A51)))</x:f>
        <x:v>69999999.99999996</x:v>
      </x:c>
      <x:c r="C51" s="557" t="n">
        <x:f>IF(A51&gt;=1,"",IF(ABS(A51-$B$6)&lt;0.000001,$D$5,$D$6/B51))</x:f>
        <x:v>854.4130409571434</x:v>
      </x:c>
      <x:c r="D51" s="75" t="n">
        <x:f>IF(A51&gt;=1,"",B51*C51)</x:f>
        <x:v>59808912867</x:v>
      </x:c>
      <x:c r="E51" s="374" t="n">
        <x:f>IF(A51&gt;=1,"",C51/B51)</x:f>
        <x:v>0.000012205900585102057</x:v>
      </x:c>
      <x:c r="F51" s="374" t="n">
        <x:f>IF(ISNUMBER(E51),E51*$B$3/'币价'!$B$12,"")</x:f>
        <x:v>0.001081981151064779</x:v>
      </x:c>
      <x:c r="G51" s="559" t="n">
        <x:f>IF(A51&gt;=1,"",E51*$B$4)</x:f>
        <x:v>12205.900585102057</x:v>
      </x:c>
      <x:c r="H51" s="562" t="n">
        <x:f>IF(A51&gt;=1,"",G51*$B$3)</x:f>
        <x:v>1081076.6148224892</x:v>
      </x:c>
      <x:c r="I51" s="559" t="n">
        <x:f>IF(A51&gt;=1,"",C51-C50)</x:f>
        <x:v>56.960869397142915</x:v>
      </x:c>
      <x:c r="J51" s="559" t="n">
        <x:f>IF(A51&gt;=1,"",I51*(1+$B$8))</x:f>
        <x:v>57.131752005334334</x:v>
      </x:c>
      <x:c r="K51" s="560" t="n">
        <x:f>IF(A51&gt;=1,"不可达",$B$5+(C51-$D$5)*(1+$B$8))</x:f>
        <x:v>862.0852797012647</x:v>
      </x:c>
    </x:row>
    <x:row r="52">
      <x:c r="A52" s="58" t="n">
        <x:v>0.935</x:v>
      </x:c>
      <x:c r="B52" s="64" t="n">
        <x:f>IF(A52&gt;=1,"",IF(ABS(A52-$B$6)&lt;0.000001,$D$4,$B$4*(1-A52)))</x:f>
        <x:v>64999999.99999995</x:v>
      </x:c>
      <x:c r="C52" s="557" t="n">
        <x:f>IF(A52&gt;=1,"",IF(ABS(A52-$B$6)&lt;0.000001,$D$5,$D$6/B52))</x:f>
        <x:v>920.13712103077</x:v>
      </x:c>
      <x:c r="D52" s="75" t="n">
        <x:f>IF(A52&gt;=1,"",B52*C52)</x:f>
        <x:v>59808912867</x:v>
      </x:c>
      <x:c r="E52" s="374" t="n">
        <x:f>IF(A52&gt;=1,"",C52/B52)</x:f>
        <x:v>0.000014155955708165704</x:v>
      </x:c>
      <x:c r="F52" s="374" t="n">
        <x:f>IF(ISNUMBER(E52),E52*$B$3/'币价'!$B$12,"")</x:f>
        <x:v>0.0012548420450218746</x:v>
      </x:c>
      <x:c r="G52" s="559" t="n">
        <x:f>IF(A52&gt;=1,"",E52*$B$4)</x:f>
        <x:v>14155.955708165704</x:v>
      </x:c>
      <x:c r="H52" s="562" t="n">
        <x:f>IF(A52&gt;=1,"",G52*$B$3)</x:f>
        <x:v>1253792.9970722364</x:v>
      </x:c>
      <x:c r="I52" s="559" t="n">
        <x:f>IF(A52&gt;=1,"",C52-C51)</x:f>
        <x:v>65.72408007362662</x:v>
      </x:c>
      <x:c r="J52" s="559" t="n">
        <x:f>IF(A52&gt;=1,"",I52*(1+$B$8))</x:f>
        <x:v>65.9212523138475</x:v>
      </x:c>
      <x:c r="K52" s="560" t="n">
        <x:f>IF(A52&gt;=1,"不可达",$B$5+(C52-$D$5)*(1+$B$8))</x:f>
        <x:v>928.0065320151123</x:v>
      </x:c>
    </x:row>
    <x:row r="53">
      <x:c r="A53" s="58" t="n">
        <x:v>0.94</x:v>
      </x:c>
      <x:c r="B53" s="64" t="n">
        <x:f>IF(A53&gt;=1,"",IF(ABS(A53-$B$6)&lt;0.000001,$D$4,$B$4*(1-A53)))</x:f>
        <x:v>60000000.00000005</x:v>
      </x:c>
      <x:c r="C53" s="557" t="n">
        <x:f>IF(A53&gt;=1,"",IF(ABS(A53-$B$6)&lt;0.000001,$D$5,$D$6/B53))</x:f>
        <x:v>996.8152144499992</x:v>
      </x:c>
      <x:c r="D53" s="75" t="n">
        <x:f>IF(A53&gt;=1,"",B53*C53)</x:f>
        <x:v>59808912867</x:v>
      </x:c>
      <x:c r="E53" s="374" t="n">
        <x:f>IF(A53&gt;=1,"",C53/B53)</x:f>
        <x:v>0.00001661358690749997</x:v>
      </x:c>
      <x:c r="F53" s="374" t="n">
        <x:f>IF(ISNUMBER(E53),E53*$B$3/'币价'!$B$12,"")</x:f>
        <x:v>0.001472696566727056</x:v>
      </x:c>
      <x:c r="G53" s="559" t="n">
        <x:f>IF(A53&gt;=1,"",E53*$B$4)</x:f>
        <x:v>16613.586907499972</x:v>
      </x:c>
      <x:c r="H53" s="562" t="n">
        <x:f>IF(A53&gt;=1,"",G53*$B$3)</x:f>
        <x:v>1471465.3923972724</x:v>
      </x:c>
      <x:c r="I53" s="559" t="n">
        <x:f>IF(A53&gt;=1,"",C53-C52)</x:f>
        <x:v>76.67809341922919</x:v>
      </x:c>
      <x:c r="J53" s="559" t="n">
        <x:f>IF(A53&gt;=1,"",I53*(1+$B$8))</x:f>
        <x:v>76.90812769948687</x:v>
      </x:c>
      <x:c r="K53" s="560" t="n">
        <x:f>IF(A53&gt;=1,"不可达",$B$5+(C53-$D$5)*(1+$B$8))</x:f>
        <x:v>1004.9146597145991</x:v>
      </x:c>
    </x:row>
    <x:row r="54">
      <x:c r="A54" s="58" t="n">
        <x:v>0.945</x:v>
      </x:c>
      <x:c r="B54" s="64" t="n">
        <x:f>IF(A54&gt;=1,"",IF(ABS(A54-$B$6)&lt;0.000001,$D$4,$B$4*(1-A54)))</x:f>
        <x:v>55000000.00000005</x:v>
      </x:c>
      <x:c r="C54" s="557" t="n">
        <x:f>IF(A54&gt;=1,"",IF(ABS(A54-$B$6)&lt;0.000001,$D$5,$D$6/B54))</x:f>
        <x:v>1087.434779399999</x:v>
      </x:c>
      <x:c r="D54" s="75" t="n">
        <x:f>IF(A54&gt;=1,"",B54*C54)</x:f>
        <x:v>59808912866.99999</x:v>
      </x:c>
      <x:c r="E54" s="374" t="n">
        <x:f>IF(A54&gt;=1,"",C54/B54)</x:f>
        <x:v>0.000019771541443636326</x:v>
      </x:c>
      <x:c r="F54" s="374" t="n">
        <x:f>IF(ISNUMBER(E54),E54*$B$3/'币价'!$B$12,"")</x:f>
        <x:v>0.0017526306248652564</x:v>
      </x:c>
      <x:c r="G54" s="559" t="n">
        <x:f>IF(A54&gt;=1,"",E54*$B$4)</x:f>
        <x:v>19771.541443636324</x:v>
      </x:c>
      <x:c r="H54" s="562" t="n">
        <x:f>IF(A54&gt;=1,"",G54*$B$3)</x:f>
        <x:v>1751165.4256628691</x:v>
      </x:c>
      <x:c r="I54" s="559" t="n">
        <x:f>IF(A54&gt;=1,"",C54-C53)</x:f>
        <x:v>90.6195649499997</x:v>
      </x:c>
      <x:c r="J54" s="559" t="n">
        <x:f>IF(A54&gt;=1,"",I54*(1+$B$8))</x:f>
        <x:v>90.8914236448497</x:v>
      </x:c>
      <x:c r="K54" s="560" t="n">
        <x:f>IF(A54&gt;=1,"不可达",$B$5+(C54-$D$5)*(1+$B$8))</x:f>
        <x:v>1095.8060833594488</x:v>
      </x:c>
    </x:row>
    <x:row r="55">
      <x:c r="A55" s="58" t="n">
        <x:v>0.95</x:v>
      </x:c>
      <x:c r="B55" s="64" t="n">
        <x:f>IF(A55&gt;=1,"",IF(ABS(A55-$B$6)&lt;0.000001,$D$4,$B$4*(1-A55)))</x:f>
        <x:v>50000000.000000045</x:v>
      </x:c>
      <x:c r="C55" s="557" t="n">
        <x:f>IF(A55&gt;=1,"",IF(ABS(A55-$B$6)&lt;0.000001,$D$5,$D$6/B55))</x:f>
        <x:v>1196.178257339999</x:v>
      </x:c>
      <x:c r="D55" s="75" t="n">
        <x:f>IF(A55&gt;=1,"",B55*C55)</x:f>
        <x:v>59808912867</x:v>
      </x:c>
      <x:c r="E55" s="374" t="n">
        <x:f>IF(A55&gt;=1,"",C55/B55)</x:f>
        <x:v>0.000023923565146799958</x:v>
      </x:c>
      <x:c r="F55" s="374" t="n">
        <x:f>IF(ISNUMBER(E55),E55*$B$3/'币价'!$B$12,"")</x:f>
        <x:v>0.0021206830560869605</x:v>
      </x:c>
      <x:c r="G55" s="559" t="n">
        <x:f>IF(A55&gt;=1,"",E55*$B$4)</x:f>
        <x:v>23923.565146799956</x:v>
      </x:c>
      <x:c r="H55" s="562" t="n">
        <x:f>IF(A55&gt;=1,"",G55*$B$3)</x:f>
        <x:v>2118910.165052072</x:v>
      </x:c>
      <x:c r="I55" s="559" t="n">
        <x:f>IF(A55&gt;=1,"",C55-C54)</x:f>
        <x:v>108.74347794000005</x:v>
      </x:c>
      <x:c r="J55" s="559" t="n">
        <x:f>IF(A55&gt;=1,"",I55*(1+$B$8))</x:f>
        <x:v>109.06970837382003</x:v>
      </x:c>
      <x:c r="K55" s="560" t="n">
        <x:f>IF(A55&gt;=1,"不可达",$B$5+(C55-$D$5)*(1+$B$8))</x:f>
        <x:v>1204.875791733269</x:v>
      </x:c>
    </x:row>
    <x:row r="56">
      <x:c r="A56" s="58" t="n">
        <x:v>0.955</x:v>
      </x:c>
      <x:c r="B56" s="64" t="n">
        <x:f>IF(A56&gt;=1,"",IF(ABS(A56-$B$6)&lt;0.000001,$D$4,$B$4*(1-A56)))</x:f>
        <x:v>45000000.00000004</x:v>
      </x:c>
      <x:c r="C56" s="557" t="n">
        <x:f>IF(A56&gt;=1,"",IF(ABS(A56-$B$6)&lt;0.000001,$D$5,$D$6/B56))</x:f>
        <x:v>1329.086952599999</x:v>
      </x:c>
      <x:c r="D56" s="75" t="n">
        <x:f>IF(A56&gt;=1,"",B56*C56)</x:f>
        <x:v>59808912867.00001</x:v>
      </x:c>
      <x:c r="E56" s="374" t="n">
        <x:f>IF(A56&gt;=1,"",C56/B56)</x:f>
        <x:v>0.000029535265613333287</x:v>
      </x:c>
      <x:c r="F56" s="374" t="n">
        <x:f>IF(ISNUMBER(E56),E56*$B$3/'币价'!$B$12,"")</x:f>
        <x:v>0.002618127229736989</x:v>
      </x:c>
      <x:c r="G56" s="559" t="n">
        <x:f>IF(A56&gt;=1,"",E56*$B$4)</x:f>
        <x:v>29535.265613333286</x:v>
      </x:c>
      <x:c r="H56" s="562" t="n">
        <x:f>IF(A56&gt;=1,"",G56*$B$3)</x:f>
        <x:v>2615938.475372929</x:v>
      </x:c>
      <x:c r="I56" s="559" t="n">
        <x:f>IF(A56&gt;=1,"",C56-C55)</x:f>
        <x:v>132.90869526000006</x:v>
      </x:c>
      <x:c r="J56" s="559" t="n">
        <x:f>IF(A56&gt;=1,"",I56*(1+$B$8))</x:f>
        <x:v>133.30742134578006</x:v>
      </x:c>
      <x:c r="K56" s="560" t="n">
        <x:f>IF(A56&gt;=1,"不可达",$B$5+(C56-$D$5)*(1+$B$8))</x:f>
        <x:v>1338.183213079049</x:v>
      </x:c>
    </x:row>
    <x:row r="57">
      <x:c r="A57" s="58" t="n">
        <x:v>0.96</x:v>
      </x:c>
      <x:c r="B57" s="64" t="n">
        <x:f>IF(A57&gt;=1,"",IF(ABS(A57-$B$6)&lt;0.000001,$D$4,$B$4*(1-A57)))</x:f>
        <x:v>40000000.00000004</x:v>
      </x:c>
      <x:c r="C57" s="557" t="n">
        <x:f>IF(A57&gt;=1,"",IF(ABS(A57-$B$6)&lt;0.000001,$D$5,$D$6/B57))</x:f>
        <x:v>1495.2228216749986</x:v>
      </x:c>
      <x:c r="D57" s="75" t="n">
        <x:f>IF(A57&gt;=1,"",B57*C57)</x:f>
        <x:v>59808912867</x:v>
      </x:c>
      <x:c r="E57" s="374" t="n">
        <x:f>IF(A57&gt;=1,"",C57/B57)</x:f>
        <x:v>0.00003738057054187493</x:v>
      </x:c>
      <x:c r="F57" s="374" t="n">
        <x:f>IF(ISNUMBER(E57),E57*$B$3/'币价'!$B$12,"")</x:f>
        <x:v>0.003313567275135876</x:v>
      </x:c>
      <x:c r="G57" s="559" t="n">
        <x:f>IF(A57&gt;=1,"",E57*$B$4)</x:f>
        <x:v>37380.570541874935</x:v>
      </x:c>
      <x:c r="H57" s="562" t="n">
        <x:f>IF(A57&gt;=1,"",G57*$B$3)</x:f>
        <x:v>3310797.1328938627</x:v>
      </x:c>
      <x:c r="I57" s="559" t="n">
        <x:f>IF(A57&gt;=1,"",C57-C56)</x:f>
        <x:v>166.13586907499962</x:v>
      </x:c>
      <x:c r="J57" s="559" t="n">
        <x:f>IF(A57&gt;=1,"",I57*(1+$B$8))</x:f>
        <x:v>166.6342766822246</x:v>
      </x:c>
      <x:c r="K57" s="560" t="n">
        <x:f>IF(A57&gt;=1,"不可达",$B$5+(C57-$D$5)*(1+$B$8))</x:f>
        <x:v>1504.8174897612735</x:v>
      </x:c>
    </x:row>
    <x:row r="58">
      <x:c r="A58" s="58" t="n">
        <x:v>0.965</x:v>
      </x:c>
      <x:c r="B58" s="64" t="n">
        <x:f>IF(A58&gt;=1,"",IF(ABS(A58-$B$6)&lt;0.000001,$D$4,$B$4*(1-A58)))</x:f>
        <x:v>35000000.00000003</x:v>
      </x:c>
      <x:c r="C58" s="557" t="n">
        <x:f>IF(A58&gt;=1,"",IF(ABS(A58-$B$6)&lt;0.000001,$D$5,$D$6/B58))</x:f>
        <x:v>1708.8260819142843</x:v>
      </x:c>
      <x:c r="D58" s="75" t="n">
        <x:f>IF(A58&gt;=1,"",B58*C58)</x:f>
        <x:v>59808912867</x:v>
      </x:c>
      <x:c r="E58" s="374" t="n">
        <x:f>IF(A58&gt;=1,"",C58/B58)</x:f>
        <x:v>0.00004882360234040808</x:v>
      </x:c>
      <x:c r="F58" s="374" t="n">
        <x:f>IF(ISNUMBER(E58),E58*$B$3/'币价'!$B$12,"")</x:f>
        <x:v>0.004327924604259103</x:v>
      </x:c>
      <x:c r="G58" s="559" t="n">
        <x:f>IF(A58&gt;=1,"",E58*$B$4)</x:f>
        <x:v>48823.60234040808</x:v>
      </x:c>
      <x:c r="H58" s="562" t="n">
        <x:f>IF(A58&gt;=1,"",G58*$B$3)</x:f>
        <x:v>4324306.459289943</x:v>
      </x:c>
      <x:c r="I58" s="559" t="n">
        <x:f>IF(A58&gt;=1,"",C58-C57)</x:f>
        <x:v>213.60326023928565</x:v>
      </x:c>
      <x:c r="J58" s="559" t="n">
        <x:f>IF(A58&gt;=1,"",I58*(1+$B$8))</x:f>
        <x:v>214.24407002000348</x:v>
      </x:c>
      <x:c r="K58" s="560" t="n">
        <x:f>IF(A58&gt;=1,"不可达",$B$5+(C58-$D$5)*(1+$B$8))</x:f>
        <x:v>1719.061559781277</x:v>
      </x:c>
    </x:row>
    <x:row r="59">
      <x:c r="A59" s="58" t="n">
        <x:v>0.97</x:v>
      </x:c>
      <x:c r="B59" s="64" t="n">
        <x:f>IF(A59&gt;=1,"",IF(ABS(A59-$B$6)&lt;0.000001,$D$4,$B$4*(1-A59)))</x:f>
        <x:v>30000000.000000026</x:v>
      </x:c>
      <x:c r="C59" s="557" t="n">
        <x:f>IF(A59&gt;=1,"",IF(ABS(A59-$B$6)&lt;0.000001,$D$5,$D$6/B59))</x:f>
        <x:v>1993.6304288999984</x:v>
      </x:c>
      <x:c r="D59" s="75" t="n">
        <x:f>IF(A59&gt;=1,"",B59*C59)</x:f>
        <x:v>59808912867</x:v>
      </x:c>
      <x:c r="E59" s="374" t="n">
        <x:f>IF(A59&gt;=1,"",C59/B59)</x:f>
        <x:v>0.00006645434762999988</x:v>
      </x:c>
      <x:c r="F59" s="374" t="n">
        <x:f>IF(ISNUMBER(E59),E59*$B$3/'币价'!$B$12,"")</x:f>
        <x:v>0.005890786266908224</x:v>
      </x:c>
      <x:c r="G59" s="559" t="n">
        <x:f>IF(A59&gt;=1,"",E59*$B$4)</x:f>
        <x:v>66454.34762999989</x:v>
      </x:c>
      <x:c r="H59" s="562" t="n">
        <x:f>IF(A59&gt;=1,"",G59*$B$3)</x:f>
        <x:v>5885861.56958909</x:v>
      </x:c>
      <x:c r="I59" s="559" t="n">
        <x:f>IF(A59&gt;=1,"",C59-C58)</x:f>
        <x:v>284.8043469857141</x:v>
      </x:c>
      <x:c r="J59" s="559" t="n">
        <x:f>IF(A59&gt;=1,"",I59*(1+$B$8))</x:f>
        <x:v>285.65876002667125</x:v>
      </x:c>
      <x:c r="K59" s="560" t="n">
        <x:f>IF(A59&gt;=1,"不可达",$B$5+(C59-$D$5)*(1+$B$8))</x:f>
        <x:v>2004.7203198079483</x:v>
      </x:c>
    </x:row>
    <x:row r="60">
      <x:c r="A60" s="58" t="n">
        <x:v>0.975</x:v>
      </x:c>
      <x:c r="B60" s="64" t="n">
        <x:f>IF(A60&gt;=1,"",IF(ABS(A60-$B$6)&lt;0.000001,$D$4,$B$4*(1-A60)))</x:f>
        <x:v>25000000.000000022</x:v>
      </x:c>
      <x:c r="C60" s="557" t="n">
        <x:f>IF(A60&gt;=1,"",IF(ABS(A60-$B$6)&lt;0.000001,$D$5,$D$6/B60))</x:f>
        <x:v>2392.356514679998</x:v>
      </x:c>
      <x:c r="D60" s="75" t="n">
        <x:f>IF(A60&gt;=1,"",B60*C60)</x:f>
        <x:v>59808912867</x:v>
      </x:c>
      <x:c r="E60" s="374" t="n">
        <x:f>IF(A60&gt;=1,"",C60/B60)</x:f>
        <x:v>0.00009569426058719983</x:v>
      </x:c>
      <x:c r="F60" s="374" t="n">
        <x:f>IF(ISNUMBER(E60),E60*$B$3/'币价'!$B$12,"")</x:f>
        <x:v>0.008482732224347842</x:v>
      </x:c>
      <x:c r="G60" s="559" t="n">
        <x:f>IF(A60&gt;=1,"",E60*$B$4)</x:f>
        <x:v>95694.26058719982</x:v>
      </x:c>
      <x:c r="H60" s="562" t="n">
        <x:f>IF(A60&gt;=1,"",G60*$B$3)</x:f>
        <x:v>8475640.660208289</x:v>
      </x:c>
      <x:c r="I60" s="559" t="n">
        <x:f>IF(A60&gt;=1,"",C60-C59)</x:f>
        <x:v>398.7260857799995</x:v>
      </x:c>
      <x:c r="J60" s="559" t="n">
        <x:f>IF(A60&gt;=1,"",I60*(1+$B$8))</x:f>
        <x:v>399.92226403733946</x:v>
      </x:c>
      <x:c r="K60" s="560" t="n">
        <x:f>IF(A60&gt;=1,"不可达",$B$5+(C60-$D$5)*(1+$B$8))</x:f>
        <x:v>2404.642583845288</x:v>
      </x:c>
    </x:row>
    <x:row r="61">
      <x:c r="A61" s="58" t="n">
        <x:v>0.98</x:v>
      </x:c>
      <x:c r="B61" s="64" t="n">
        <x:f>IF(A61&gt;=1,"",IF(ABS(A61-$B$6)&lt;0.000001,$D$4,$B$4*(1-A61)))</x:f>
        <x:v>20000000.00000002</x:v>
      </x:c>
      <x:c r="C61" s="557" t="n">
        <x:f>IF(A61&gt;=1,"",IF(ABS(A61-$B$6)&lt;0.000001,$D$5,$D$6/B61))</x:f>
        <x:v>2990.445643349997</x:v>
      </x:c>
      <x:c r="D61" s="75" t="n">
        <x:f>IF(A61&gt;=1,"",B61*C61)</x:f>
        <x:v>59808912867</x:v>
      </x:c>
      <x:c r="E61" s="374" t="n">
        <x:f>IF(A61&gt;=1,"",C61/B61)</x:f>
        <x:v>0.00014952228216749973</x:v>
      </x:c>
      <x:c r="F61" s="374" t="n">
        <x:f>IF(ISNUMBER(E61),E61*$B$3/'币价'!$B$12,"")</x:f>
        <x:v>0.013254269100543503</x:v>
      </x:c>
      <x:c r="G61" s="559" t="n">
        <x:f>IF(A61&gt;=1,"",E61*$B$4)</x:f>
        <x:v>149522.28216749974</x:v>
      </x:c>
      <x:c r="H61" s="562" t="n">
        <x:f>IF(A61&gt;=1,"",G61*$B$3)</x:f>
        <x:v>13243188.53157545</x:v>
      </x:c>
      <x:c r="I61" s="559" t="n">
        <x:f>IF(A61&gt;=1,"",C61-C60)</x:f>
        <x:v>598.0891286699994</x:v>
      </x:c>
      <x:c r="J61" s="559" t="n">
        <x:f>IF(A61&gt;=1,"",I61*(1+$B$8))</x:f>
        <x:v>599.8833960560092</x:v>
      </x:c>
      <x:c r="K61" s="560" t="n">
        <x:f>IF(A61&gt;=1,"不可达",$B$5+(C61-$D$5)*(1+$B$8))</x:f>
        <x:v>3004.525979901297</x:v>
      </x:c>
    </x:row>
    <x:row r="62">
      <x:c r="A62" s="58" t="n">
        <x:v>0.985</x:v>
      </x:c>
      <x:c r="B62" s="64" t="n">
        <x:f>IF(A62&gt;=1,"",IF(ABS(A62-$B$6)&lt;0.000001,$D$4,$B$4*(1-A62)))</x:f>
        <x:v>15000000.000000013</x:v>
      </x:c>
      <x:c r="C62" s="557" t="n">
        <x:f>IF(A62&gt;=1,"",IF(ABS(A62-$B$6)&lt;0.000001,$D$5,$D$6/B62))</x:f>
        <x:v>3987.2608577999968</x:v>
      </x:c>
      <x:c r="D62" s="75" t="n">
        <x:f>IF(A62&gt;=1,"",B62*C62)</x:f>
        <x:v>59808912867</x:v>
      </x:c>
      <x:c r="E62" s="374" t="n">
        <x:f>IF(A62&gt;=1,"",C62/B62)</x:f>
        <x:v>0.00026581739051999954</x:v>
      </x:c>
      <x:c r="F62" s="374" t="n">
        <x:f>IF(ISNUMBER(E62),E62*$B$3/'币价'!$B$12,"")</x:f>
        <x:v>0.023563145067632896</x:v>
      </x:c>
      <x:c r="G62" s="559" t="n">
        <x:f>IF(A62&gt;=1,"",E62*$B$4)</x:f>
        <x:v>265817.39051999955</x:v>
      </x:c>
      <x:c r="H62" s="562" t="n">
        <x:f>IF(A62&gt;=1,"",G62*$B$3)</x:f>
        <x:v>23543446.27835636</x:v>
      </x:c>
      <x:c r="I62" s="559" t="n">
        <x:f>IF(A62&gt;=1,"",C62-C61)</x:f>
        <x:v>996.8152144499995</x:v>
      </x:c>
      <x:c r="J62" s="559" t="n">
        <x:f>IF(A62&gt;=1,"",I62*(1+$B$8))</x:f>
        <x:v>999.8056600933494</x:v>
      </x:c>
      <x:c r="K62" s="560" t="n">
        <x:f>IF(A62&gt;=1,"不可达",$B$5+(C62-$D$5)*(1+$B$8))</x:f>
        <x:v>4004.3316399946466</x:v>
      </x:c>
    </x:row>
    <x:row r="63">
      <x:c r="A63" s="58" t="n">
        <x:v>0.99</x:v>
      </x:c>
      <x:c r="B63" s="64" t="n">
        <x:f>IF(A63&gt;=1,"",IF(ABS(A63-$B$6)&lt;0.000001,$D$4,$B$4*(1-A63)))</x:f>
        <x:v>10000000.00000001</x:v>
      </x:c>
      <x:c r="C63" s="557" t="n">
        <x:f>IF(A63&gt;=1,"",IF(ABS(A63-$B$6)&lt;0.000001,$D$5,$D$6/B63))</x:f>
        <x:v>5980.891286699994</x:v>
      </x:c>
      <x:c r="D63" s="75" t="n">
        <x:f>IF(A63&gt;=1,"",B63*C63)</x:f>
        <x:v>59808912867</x:v>
      </x:c>
      <x:c r="E63" s="374" t="n">
        <x:f>IF(A63&gt;=1,"",C63/B63)</x:f>
        <x:v>0.0005980891286699989</x:v>
      </x:c>
      <x:c r="F63" s="374" t="n">
        <x:f>IF(ISNUMBER(E63),E63*$B$3/'币价'!$B$12,"")</x:f>
        <x:v>0.05301707640217401</x:v>
      </x:c>
      <x:c r="G63" s="559" t="n">
        <x:f>IF(A63&gt;=1,"",E63*$B$4)</x:f>
        <x:v>598089.128669999</x:v>
      </x:c>
      <x:c r="H63" s="562" t="n">
        <x:f>IF(A63&gt;=1,"",G63*$B$3)</x:f>
        <x:v>52972754.1263018</x:v>
      </x:c>
      <x:c r="I63" s="559" t="n">
        <x:f>IF(A63&gt;=1,"",C63-C62)</x:f>
        <x:v>1993.6304288999977</x:v>
      </x:c>
      <x:c r="J63" s="559" t="n">
        <x:f>IF(A63&gt;=1,"",I63*(1+$B$8))</x:f>
        <x:v>1999.6113201866974</x:v>
      </x:c>
      <x:c r="K63" s="560" t="n">
        <x:f>IF(A63&gt;=1,"不可达",$B$5+(C63-$D$5)*(1+$B$8))</x:f>
        <x:v>6003.942960181344</x:v>
      </x:c>
    </x:row>
    <x:row r="64">
      <x:c r="A64" s="58" t="n">
        <x:v>0.995</x:v>
      </x:c>
      <x:c r="B64" s="64" t="n">
        <x:f>IF(A64&gt;=1,"",IF(ABS(A64-$B$6)&lt;0.000001,$D$4,$B$4*(1-A64)))</x:f>
        <x:v>5000000.000000005</x:v>
      </x:c>
      <x:c r="C64" s="557" t="n">
        <x:f>IF(A64&gt;=1,"",IF(ABS(A64-$B$6)&lt;0.000001,$D$5,$D$6/B64))</x:f>
        <x:v>11961.782573399989</x:v>
      </x:c>
      <x:c r="D64" s="75" t="n">
        <x:f>IF(A64&gt;=1,"",B64*C64)</x:f>
        <x:v>59808912867</x:v>
      </x:c>
      <x:c r="E64" s="374" t="n">
        <x:f>IF(A64&gt;=1,"",C64/B64)</x:f>
        <x:v>0.0023923565146799957</x:v>
      </x:c>
      <x:c r="F64" s="374" t="n">
        <x:f>IF(ISNUMBER(E64),E64*$B$3/'币价'!$B$12,"")</x:f>
        <x:v>0.21206830560869605</x:v>
      </x:c>
      <x:c r="G64" s="559" t="n">
        <x:f>IF(A64&gt;=1,"",E64*$B$4)</x:f>
        <x:v>2392356.514679996</x:v>
      </x:c>
      <x:c r="H64" s="562" t="n">
        <x:f>IF(A64&gt;=1,"",G64*$B$3)</x:f>
        <x:v>211891016.5052072</x:v>
      </x:c>
      <x:c r="I64" s="559" t="n">
        <x:f>IF(A64&gt;=1,"",C64-C63)</x:f>
        <x:v>5980.891286699994</x:v>
      </x:c>
      <x:c r="J64" s="559" t="n">
        <x:f>IF(A64&gt;=1,"",I64*(1+$B$8))</x:f>
        <x:v>5998.833960560094</x:v>
      </x:c>
      <x:c r="K64" s="560" t="n">
        <x:f>IF(A64&gt;=1,"不可达",$B$5+(C64-$D$5)*(1+$B$8))</x:f>
        <x:v>12002.776920741439</x:v>
      </x:c>
    </x:row>
    <x:row r="65">
      <x:c r="A65" s="58" t="n">
        <x:v>1</x:v>
      </x:c>
      <x:c r="B65" s="64" t="str">
        <x:f>IF(A65&gt;=1,"",IF(ABS(A65-$B$6)&lt;0.000001,$D$4,$B$4*(1-A65)))</x:f>
      </x:c>
      <x:c r="C65" s="557" t="str">
        <x:f>IF(A65&gt;=1,"",IF(ABS(A65-$B$6)&lt;0.000001,$D$5,$D$6/B65))</x:f>
      </x:c>
      <x:c r="D65" s="75" t="str">
        <x:f>IF(A65&gt;=1,"",B65*C65)</x:f>
      </x:c>
      <x:c r="E65" s="374" t="str">
        <x:f>IF(A65&gt;=1,"",C65/B65)</x:f>
      </x:c>
      <x:c r="F65" s="374" t="str">
        <x:f>IF(ISNUMBER(E65),E65*$B$3/'币价'!$B$12,"")</x:f>
      </x:c>
      <x:c r="G65" s="559" t="str">
        <x:f>IF(A65&gt;=1,"",E65*$B$4)</x:f>
      </x:c>
      <x:c r="H65" s="562" t="str">
        <x:f>IF(A65&gt;=1,"",G65*$B$3)</x:f>
      </x:c>
      <x:c r="I65" s="559" t="str">
        <x:f>IF(A65&gt;=1,"",C65-C64)</x:f>
      </x:c>
      <x:c r="J65" s="559" t="str">
        <x:f>IF(A65&gt;=1,"",I65*(1+$B$8))</x:f>
      </x:c>
      <x:c r="K65" s="560" t="str">
        <x:f>IF(A65&gt;=1,"不可达",$B$5+(C65-$D$5)*(1+$B$8))</x:f>
        <x:v>不可达</x:v>
      </x:c>
    </x:row>
    <x:row r="66">
      <x:c r="A66" s="59"/>
      <x:c r="B66" s="65"/>
      <x:c r="C66" s="555"/>
      <x:c r="D66" s="76"/>
      <x:c r="E66" s="82"/>
      <x:c r="F66" s="88"/>
      <x:c r="G66" s="555"/>
      <x:c r="H66" s="65"/>
      <x:c r="I66" s="555"/>
      <x:c r="J66" s="555"/>
      <x:c r="K66" s="555"/>
    </x:row>
    <x:row r="67">
      <x:c r="A67" s="59"/>
      <x:c r="B67" s="65"/>
      <x:c r="C67" s="17"/>
      <x:c r="D67" s="76"/>
      <x:c r="E67" s="82"/>
      <x:c r="F67" s="88"/>
      <x:c r="G67" s="88"/>
    </x:row>
    <x:row r="68">
      <x:c r="A68" s="59"/>
      <x:c r="B68" s="65"/>
      <x:c r="C68" s="17"/>
      <x:c r="D68" s="76"/>
      <x:c r="E68" s="82"/>
      <x:c r="F68" s="88"/>
      <x:c r="G68" s="88"/>
    </x:row>
    <x:row r="69">
      <x:c r="A69" s="59"/>
      <x:c r="B69" s="65"/>
      <x:c r="C69" s="17"/>
      <x:c r="D69" s="76"/>
      <x:c r="E69" s="82"/>
      <x:c r="F69" s="88"/>
      <x:c r="G69" s="88"/>
    </x:row>
    <x:row r="70">
      <x:c r="A70" s="59"/>
      <x:c r="B70" s="65"/>
      <x:c r="C70" s="17"/>
      <x:c r="D70" s="76"/>
      <x:c r="E70" s="82"/>
      <x:c r="F70" s="88"/>
      <x:c r="G70" s="88"/>
    </x:row>
    <x:row r="71" ht="28" customHeight="1">
      <x:c r="A71" s="61" t="str">
        <x:v>外盘回落参考 · 从 80% 控筹回落至 0%（每 10%）</x:v>
      </x:c>
      <x:c r="B71" s="67"/>
      <x:c r="C71" s="72"/>
      <x:c r="D71" s="78"/>
      <x:c r="E71" s="84"/>
      <x:c r="F71" s="90"/>
      <x:c r="G71" s="90"/>
      <x:c r="H71" s="26"/>
      <x:c r="I71" s="26"/>
      <x:c r="J71" s="26"/>
    </x:row>
    <x:row r="72" ht="28" customHeight="1">
      <x:c r="A72" s="60" t="str">
        <x:v>控筹率</x:v>
      </x:c>
      <x:c r="B72" s="66" t="str">
        <x:v>pooled token</x:v>
      </x:c>
      <x:c r="C72" s="71" t="str">
        <x:v>pooled HYPE</x:v>
      </x:c>
      <x:c r="D72" s="77" t="str">
        <x:v>k</x:v>
      </x:c>
      <x:c r="E72" s="391" t="str">
        <x:v>价格 / HYPE</x:v>
      </x:c>
      <x:c r="F72" s="391" t="str">
        <x:v>价格 / USDT</x:v>
      </x:c>
      <x:c r="G72" s="393" t="str">
        <x:v>市值 / HYPE</x:v>
      </x:c>
      <x:c r="H72" s="393" t="str">
        <x:v>市值 / USD</x:v>
      </x:c>
      <x:c r="I72" s="331" t="str">
        <x:v>较 80% 回撤</x:v>
      </x:c>
      <x:c r="J72"/>
      <x:c r="K72"/>
    </x:row>
    <x:row r="73">
      <x:c r="A73" s="58" t="n">
        <x:v>0.8</x:v>
      </x:c>
      <x:c r="B73" s="64" t="n">
        <x:f>IF(ABS(A73-$B$6)&lt;0.000001,$D$4,$B$4*(1-A73))</x:f>
        <x:v>201376811</x:v>
      </x:c>
      <x:c r="C73" s="70" t="n">
        <x:f>IF(ABS(A73-$B$6)&lt;0.000001,$D$5,$D$6/B73)</x:f>
        <x:v>297</x:v>
      </x:c>
      <x:c r="D73" s="75" t="n">
        <x:f>B73*C73</x:f>
        <x:v>59808912867</x:v>
      </x:c>
      <x:c r="E73" s="374" t="n">
        <x:f>C73/B73</x:f>
        <x:v>0.000001474847071642226</x:v>
      </x:c>
      <x:c r="F73" s="374" t="n">
        <x:f>IF(ISNUMBER(E73),E73*$B$3/'币价'!$B$12,"")</x:f>
        <x:v>0.0001307365008500626</x:v>
      </x:c>
      <x:c r="G73" s="379" t="n">
        <x:f>E73*$B$4</x:f>
        <x:v>1474.847071642226</x:v>
      </x:c>
      <x:c r="H73" s="379" t="n">
        <x:f>G73*$B$3</x:f>
        <x:v>130627.20513535195</x:v>
      </x:c>
      <x:c r="I73" s="408" t="n">
        <x:f>1-G73/$G$73</x:f>
        <x:v>0</x:v>
      </x:c>
      <x:c r="J73"/>
      <x:c r="K73"/>
    </x:row>
    <x:row r="74">
      <x:c r="A74" s="58" t="n">
        <x:v>0.7</x:v>
      </x:c>
      <x:c r="B74" s="64" t="n">
        <x:f>IF(ABS(A74-$B$6)&lt;0.000001,$D$4,$B$4*(1-A74))</x:f>
        <x:v>300000000.00000006</x:v>
      </x:c>
      <x:c r="C74" s="557" t="n">
        <x:f>IF(ABS(A74-$B$6)&lt;0.000001,$D$5,$D$6/B74)</x:f>
        <x:v>199.36304288999997</x:v>
      </x:c>
      <x:c r="D74" s="75" t="n">
        <x:f>B74*C74</x:f>
        <x:v>59808912867.00001</x:v>
      </x:c>
      <x:c r="E74" s="374" t="n">
        <x:f>C74/B74</x:f>
        <x:v>6.645434762999998e-7</x:v>
      </x:c>
      <x:c r="F74" s="374" t="n">
        <x:f>IF(ISNUMBER(E74),E74*$B$3/'币价'!$B$12,"")</x:f>
        <x:v>0.000058907862669082325</x:v>
      </x:c>
      <x:c r="G74" s="559" t="n">
        <x:f>E74*$B$4</x:f>
        <x:v>664.5434762999998</x:v>
      </x:c>
      <x:c r="H74" s="562" t="n">
        <x:f>G74*$B$3</x:f>
        <x:v>58858.61569589098</x:v>
      </x:c>
      <x:c r="I74" s="559" t="n">
        <x:f>1-G74/$G$73</x:f>
        <x:v>0.5494153332385587</x:v>
      </x:c>
      <x:c r="J74" s="555"/>
      <x:c r="K74" s="555"/>
    </x:row>
    <x:row r="75">
      <x:c r="A75" s="58" t="n">
        <x:v>0.6</x:v>
      </x:c>
      <x:c r="B75" s="64" t="n">
        <x:f>IF(ABS(A75-$B$6)&lt;0.000001,$D$4,$B$4*(1-A75))</x:f>
        <x:v>400000000</x:v>
      </x:c>
      <x:c r="C75" s="557" t="n">
        <x:f>IF(ABS(A75-$B$6)&lt;0.000001,$D$5,$D$6/B75)</x:f>
        <x:v>149.5222821675</x:v>
      </x:c>
      <x:c r="D75" s="75" t="n">
        <x:f>B75*C75</x:f>
        <x:v>59808912867</x:v>
      </x:c>
      <x:c r="E75" s="374" t="n">
        <x:f>C75/B75</x:f>
        <x:v>3.7380570541875003e-7</x:v>
      </x:c>
      <x:c r="F75" s="374" t="n">
        <x:f>IF(ISNUMBER(E75),E75*$B$3/'币价'!$B$12,"")</x:f>
        <x:v>0.00003313567275135882</x:v>
      </x:c>
      <x:c r="G75" s="559" t="n">
        <x:f>E75*$B$4</x:f>
        <x:v>373.80570541875005</x:v>
      </x:c>
      <x:c r="H75" s="562" t="n">
        <x:f>G75*$B$3</x:f>
        <x:v>33107.97132893869</x:v>
      </x:c>
      <x:c r="I75" s="559" t="n">
        <x:f>1-G75/$G$73</x:f>
        <x:v>0.7465461249466891</x:v>
      </x:c>
      <x:c r="J75" s="555"/>
      <x:c r="K75" s="555"/>
    </x:row>
    <x:row r="76">
      <x:c r="A76" s="58" t="n">
        <x:v>0.5</x:v>
      </x:c>
      <x:c r="B76" s="64" t="n">
        <x:f>IF(ABS(A76-$B$6)&lt;0.000001,$D$4,$B$4*(1-A76))</x:f>
        <x:v>500000000</x:v>
      </x:c>
      <x:c r="C76" s="557" t="n">
        <x:f>IF(ABS(A76-$B$6)&lt;0.000001,$D$5,$D$6/B76)</x:f>
        <x:v>119.617825734</x:v>
      </x:c>
      <x:c r="D76" s="75" t="n">
        <x:f>B76*C76</x:f>
        <x:v>59808912867</x:v>
      </x:c>
      <x:c r="E76" s="374" t="n">
        <x:f>C76/B76</x:f>
        <x:v>2.3923565146799996e-7</x:v>
      </x:c>
      <x:c r="F76" s="374" t="n">
        <x:f>IF(ISNUMBER(E76),E76*$B$3/'币价'!$B$12,"")</x:f>
        <x:v>0.00002120683056086964</x:v>
      </x:c>
      <x:c r="G76" s="559" t="n">
        <x:f>E76*$B$4</x:f>
        <x:v>239.23565146799996</x:v>
      </x:c>
      <x:c r="H76" s="562" t="n">
        <x:f>G76*$B$3</x:f>
        <x:v>21189.101650520755</x:v>
      </x:c>
      <x:c r="I76" s="559" t="n">
        <x:f>1-G76/$G$73</x:f>
        <x:v>0.8377895199658811</x:v>
      </x:c>
      <x:c r="J76" s="555"/>
      <x:c r="K76" s="555"/>
    </x:row>
    <x:row r="77">
      <x:c r="A77" s="58" t="n">
        <x:v>0.4</x:v>
      </x:c>
      <x:c r="B77" s="64" t="n">
        <x:f>IF(ABS(A77-$B$6)&lt;0.000001,$D$4,$B$4*(1-A77))</x:f>
        <x:v>600000000</x:v>
      </x:c>
      <x:c r="C77" s="557" t="n">
        <x:f>IF(ABS(A77-$B$6)&lt;0.000001,$D$5,$D$6/B77)</x:f>
        <x:v>99.681521445</x:v>
      </x:c>
      <x:c r="D77" s="75" t="n">
        <x:f>B77*C77</x:f>
        <x:v>59808912867</x:v>
      </x:c>
      <x:c r="E77" s="374" t="n">
        <x:f>C77/B77</x:f>
        <x:v>1.66135869075e-7</x:v>
      </x:c>
      <x:c r="F77" s="374" t="n">
        <x:f>IF(ISNUMBER(E77),E77*$B$3/'币价'!$B$12,"")</x:f>
        <x:v>0.000014726965667270586</x:v>
      </x:c>
      <x:c r="G77" s="559" t="n">
        <x:f>E77*$B$4</x:f>
        <x:v>166.13586907500002</x:v>
      </x:c>
      <x:c r="H77" s="562" t="n">
        <x:f>G77*$B$3</x:f>
        <x:v>14714.65392397275</x:v>
      </x:c>
      <x:c r="I77" s="559" t="n">
        <x:f>1-G77/$G$73</x:f>
        <x:v>0.8873538333096397</x:v>
      </x:c>
      <x:c r="J77" s="555"/>
      <x:c r="K77" s="555"/>
    </x:row>
    <x:row r="78">
      <x:c r="A78" s="58" t="n">
        <x:v>0.3</x:v>
      </x:c>
      <x:c r="B78" s="64" t="n">
        <x:f>IF(ABS(A78-$B$6)&lt;0.000001,$D$4,$B$4*(1-A78))</x:f>
        <x:v>700000000</x:v>
      </x:c>
      <x:c r="C78" s="557" t="n">
        <x:f>IF(ABS(A78-$B$6)&lt;0.000001,$D$5,$D$6/B78)</x:f>
        <x:v>85.44130409571429</x:v>
      </x:c>
      <x:c r="D78" s="75" t="n">
        <x:f>B78*C78</x:f>
        <x:v>59808912867</x:v>
      </x:c>
      <x:c r="E78" s="374" t="n">
        <x:f>C78/B78</x:f>
        <x:v>1.2205900585102042e-7</x:v>
      </x:c>
      <x:c r="F78" s="374" t="n">
        <x:f>IF(ISNUMBER(E78),E78*$B$3/'币价'!$B$12,"")</x:f>
        <x:v>0.00001081981151064778</x:v>
      </x:c>
      <x:c r="G78" s="559" t="n">
        <x:f>E78*$B$4</x:f>
        <x:v>122.05900585102042</x:v>
      </x:c>
      <x:c r="H78" s="562" t="n">
        <x:f>G78*$B$3</x:f>
        <x:v>10810.766148224877</x:v>
      </x:c>
      <x:c r="I78" s="559" t="n">
        <x:f>1-G78/$G$73</x:f>
        <x:v>0.9172395510030006</x:v>
      </x:c>
      <x:c r="J78" s="555"/>
      <x:c r="K78" s="555"/>
    </x:row>
    <x:row r="79">
      <x:c r="A79" s="58" t="n">
        <x:v>0.2</x:v>
      </x:c>
      <x:c r="B79" s="64" t="n">
        <x:f>IF(ABS(A79-$B$6)&lt;0.000001,$D$4,$B$4*(1-A79))</x:f>
        <x:v>800000000</x:v>
      </x:c>
      <x:c r="C79" s="557" t="n">
        <x:f>IF(ABS(A79-$B$6)&lt;0.000001,$D$5,$D$6/B79)</x:f>
        <x:v>74.76114108375</x:v>
      </x:c>
      <x:c r="D79" s="75" t="n">
        <x:f>B79*C79</x:f>
        <x:v>59808912867</x:v>
      </x:c>
      <x:c r="E79" s="374" t="n">
        <x:f>C79/B79</x:f>
        <x:v>9.345142635468751e-8</x:v>
      </x:c>
      <x:c r="F79" s="374" t="n">
        <x:f>IF(ISNUMBER(E79),E79*$B$3/'币价'!$B$12,"")</x:f>
        <x:v>0.000008283918187839705</x:v>
      </x:c>
      <x:c r="G79" s="559" t="n">
        <x:f>E79*$B$4</x:f>
        <x:v>93.45142635468751</x:v>
      </x:c>
      <x:c r="H79" s="562" t="n">
        <x:f>G79*$B$3</x:f>
        <x:v>8276.992832234673</x:v>
      </x:c>
      <x:c r="I79" s="559" t="n">
        <x:f>1-G79/$G$73</x:f>
        <x:v>0.9366365312366723</x:v>
      </x:c>
      <x:c r="J79" s="555"/>
      <x:c r="K79" s="555"/>
    </x:row>
    <x:row r="80">
      <x:c r="A80" s="58" t="n">
        <x:v>0.1</x:v>
      </x:c>
      <x:c r="B80" s="64" t="n">
        <x:f>IF(ABS(A80-$B$6)&lt;0.000001,$D$4,$B$4*(1-A80))</x:f>
        <x:v>900000000</x:v>
      </x:c>
      <x:c r="C80" s="557" t="n">
        <x:f>IF(ABS(A80-$B$6)&lt;0.000001,$D$5,$D$6/B80)</x:f>
        <x:v>66.45434763</x:v>
      </x:c>
      <x:c r="D80" s="75" t="n">
        <x:f>B80*C80</x:f>
        <x:v>59808912867</x:v>
      </x:c>
      <x:c r="E80" s="374" t="n">
        <x:f>C80/B80</x:f>
        <x:v>7.383816403333333e-8</x:v>
      </x:c>
      <x:c r="F80" s="374" t="n">
        <x:f>IF(ISNUMBER(E80),E80*$B$3/'币价'!$B$12,"")</x:f>
        <x:v>0.0000065453180743424825</x:v>
      </x:c>
      <x:c r="G80" s="559" t="n">
        <x:f>E80*$B$4</x:f>
        <x:v>73.83816403333333</x:v>
      </x:c>
      <x:c r="H80" s="562" t="n">
        <x:f>G80*$B$3</x:f>
        <x:v>6539.846188432332</x:v>
      </x:c>
      <x:c r="I80" s="559" t="n">
        <x:f>1-G80/$G$73</x:f>
        <x:v>0.9499350370265065</x:v>
      </x:c>
      <x:c r="J80" s="555"/>
      <x:c r="K80" s="555"/>
    </x:row>
    <x:row r="81">
      <x:c r="A81" s="62" t="n">
        <x:v>0</x:v>
      </x:c>
      <x:c r="B81" s="68" t="n">
        <x:f>IF(ABS(A81-$B$6)&lt;0.000001,$D$4,$B$4*(1-A81))</x:f>
        <x:v>1000000000</x:v>
      </x:c>
      <x:c r="C81" s="563" t="n">
        <x:f>IF(ABS(A81-$B$6)&lt;0.000001,$D$5,$D$6/B81)</x:f>
        <x:v>59.808912867</x:v>
      </x:c>
      <x:c r="D81" s="79" t="n">
        <x:f>B81*C81</x:f>
        <x:v>59808912867</x:v>
      </x:c>
      <x:c r="E81" s="412" t="n">
        <x:f>C81/B81</x:f>
        <x:v>5.980891286699999e-8</x:v>
      </x:c>
      <x:c r="F81" s="412" t="n">
        <x:f>IF(ISNUMBER(E81),E81*$B$3/'币价'!$B$12,"")</x:f>
        <x:v>0.00000530170764021741</x:v>
      </x:c>
      <x:c r="G81" s="564" t="n">
        <x:f>E81*$B$4</x:f>
        <x:v>59.80891286699999</x:v>
      </x:c>
      <x:c r="H81" s="565" t="n">
        <x:f>G81*$B$3</x:f>
        <x:v>5297.275412630189</x:v>
      </x:c>
      <x:c r="I81" s="564" t="n">
        <x:f>1-G81/$G$73</x:f>
        <x:v>0.9594473799914702</x:v>
      </x:c>
      <x:c r="J81" s="564" t="str">
        <x:v>沉没成本</x:v>
      </x:c>
      <x:c r="K81" s="564" t="n">
        <x:f>C81</x:f>
        <x:v>59.808912867</x:v>
      </x:c>
    </x:row>
    <x:row r="82">
      <x:c r="B82" s="65" t="n">
        <x:f>IF(ABS(A82-$B$6)&lt;0.000001,$D$4,$B$4*(1-A82))</x:f>
        <x:v>1000000000</x:v>
      </x:c>
      <x:c r="C82" s="555"/>
      <x:c r="G82" s="555"/>
      <x:c r="H82" s="65"/>
      <x:c r="I82" s="555"/>
      <x:c r="J82" s="555"/>
      <x:c r="K82" s="555"/>
    </x:row>
  </x:sheetData>
  <x:mergeCells>
    <x:mergeCell ref="A1:J1"/>
    <x:mergeCell ref="A71:J7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0" hidden="0" customWidth="1"/>
    <x:col min="7" max="7" width="16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4" t="str">
        <x:v>Flap / BNB · 发射控筹模型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55" t="str">
        <x:v>Quote USD 价格</x:v>
      </x:c>
      <x:c r="B3" s="50" t="n">
        <x:f>'币价'!$B$4</x:f>
        <x:v>753.88</x:v>
      </x:c>
      <x:c r="C3" s="56" t="str">
        <x:v>内盘 k</x:v>
      </x:c>
      <x:c r="D3" s="51" t="n">
        <x:v>6797205657.28</x:v>
      </x:c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s="55" t="str">
        <x:v>total supply</x:v>
      </x:c>
      <x:c r="B4" s="51" t="n">
        <x:v>1000000000</x:v>
      </x:c>
      <x:c r="C4" s="56" t="str">
        <x:v>外盘初始 token</x:v>
      </x:c>
      <x:c r="D4" s="51" t="n">
        <x:v>200000000</x:v>
      </x:c>
      <x:c r="G4" t="str">
        <x:v>单地址 Gas / BNB</x:v>
      </x:c>
      <x:c r="H4" s="99" t="n">
        <x:v>0.01</x:v>
      </x:c>
      <x:c r="I4" t="str">
        <x:v>Holder 地址</x:v>
      </x:c>
      <x:c r="J4" s="100" t="n">
        <x:v>150</x:v>
      </x:c>
    </x:row>
    <x:row r="5">
      <x:c r="A5" s="55" t="str">
        <x:v>内盘毕业所需</x:v>
      </x:c>
      <x:c r="B5" s="51" t="n">
        <x:f>K21</x:f>
        <x:v>16.158065663748292</x:v>
      </x:c>
      <x:c r="C5" s="56" t="str">
        <x:v>外盘初始 Quote</x:v>
      </x:c>
      <x:c r="D5" s="51" t="n">
        <x:v>15.998</x:v>
      </x:c>
      <x:c r="G5" t="str">
        <x:v>资金预留 / BNB</x:v>
      </x:c>
      <x:c r="H5" s="553" t="n">
        <x:f>IF($B$3&gt;0,ROUNDUP('币价'!$B$15/($B$3/'币价'!$B$12),0),"")</x:f>
        <x:v>14</x:v>
      </x:c>
      <x:c r="I5" t="str">
        <x:v>默认目标控筹率</x:v>
      </x:c>
      <x:c r="J5" s="102" t="n">
        <x:v>0.94</x:v>
      </x:c>
    </x:row>
    <x:row r="6">
      <x:c r="A6" s="55" t="str">
        <x:v>毕业控筹率</x:v>
      </x:c>
      <x:c r="B6" s="52" t="n">
        <x:v>0.8</x:v>
      </x:c>
      <x:c r="C6" s="56" t="str">
        <x:v>外盘 k</x:v>
      </x:c>
      <x:c r="D6" s="51" t="n">
        <x:v>3199600000</x:v>
      </x:c>
      <x:c r="G6" t="str">
        <x:v>洗筹口径</x:v>
      </x:c>
      <x:c r="H6" s="95" t="str">
        <x:v>FDV × 外盘费率 × 2</x:v>
      </x:c>
      <x:c r="I6" t="str">
        <x:v>目标 +1% 理论资金</x:v>
      </x:c>
      <x:c r="J6" s="554" t="n">
        <x:f>INDEX($K$25:$K$65,ROUND(($J$5+1%-80%)/0.5%,0)+1)</x:f>
        <x:v>64.27205066374817</x:v>
      </x:c>
    </x:row>
    <x:row r="7">
      <x:c r="A7" s="55" t="str">
        <x:v>内盘交易手续费</x:v>
      </x:c>
      <x:c r="B7" s="52" t="n">
        <x:v>0.01</x:v>
      </x:c>
      <x:c r="C7"/>
      <x:c r="D7"/>
      <x:c r="G7" t="str">
        <x:v>内盘地址 / 套</x:v>
      </x:c>
      <x:c r="H7" s="100" t="n">
        <x:v>20</x:v>
      </x:c>
      <x:c r="I7" t="str">
        <x:v>额外内盘资金</x:v>
      </x:c>
      <x:c r="J7" s="554" t="n">
        <x:f>$B$5*($H$8-1)</x:f>
        <x:v>16.158065663748292</x:v>
      </x:c>
    </x:row>
    <x:row r="8">
      <x:c r="A8" s="55" t="str">
        <x:v>外盘交易手续费</x:v>
      </x:c>
      <x:c r="B8" s="52" t="n">
        <x:v>0.0025</x:v>
      </x:c>
      <x:c r="C8"/>
      <x:c r="D8"/>
      <x:c r="G8" t="str">
        <x:v>内盘套数</x:v>
      </x:c>
      <x:c r="H8" s="100" t="n">
        <x:v>2</x:v>
      </x:c>
      <x:c r="I8" t="str">
        <x:v>动态洗筹手续费</x:v>
      </x:c>
      <x:c r="J8" s="554" t="n">
        <x:f>INDEX($G$25:$G$65,ROUND(($J$5+1%-80%)/0.5%,0)+1)*$H$9*2</x:f>
        <x:v>6.399199999999977</x:v>
      </x:c>
    </x:row>
    <x:row r="9">
      <x:c r="A9" s="55" t="str">
        <x:v>内盘初始 token</x:v>
      </x:c>
      <x:c r="B9" s="51" t="n">
        <x:v>1107036752</x:v>
      </x:c>
      <x:c r="C9"/>
      <x:c r="D9"/>
      <x:c r="G9" t="str">
        <x:v>外盘费率</x:v>
      </x:c>
      <x:c r="H9" s="101" t="n">
        <x:f>$B$8</x:f>
        <x:v>0.0025</x:v>
      </x:c>
      <x:c r="I9" t="str">
        <x:v>建议 Quote 资金</x:v>
      </x:c>
      <x:c r="J9" s="554" t="n">
        <x:f>IF(AND(ISNUMBER($J$6),ISNUMBER($H$5)),SUM(J6:J8)+$H$5+$J$11,"")</x:f>
        <x:v>104.70830602346307</x:v>
      </x:c>
    </x:row>
    <x:row r="10">
      <x:c r="A10" s="55" t="str">
        <x:v>内盘初始 Quote</x:v>
      </x:c>
      <x:c r="B10" s="51" t="n">
        <x:v>6.14</x:v>
      </x:c>
      <x:c r="C10"/>
      <x:c r="D10"/>
      <x:c r="G10" t="str">
        <x:v>滑点预留</x:v>
      </x:c>
      <x:c r="H10" s="102" t="n">
        <x:v>0</x:v>
      </x:c>
      <x:c r="I10" t="str">
        <x:v>Gas 储备 / BNB</x:v>
      </x:c>
      <x:c r="J10" s="554" t="n">
        <x:f>($H$7*$H$8+$J$3+$J$4)*$H$4</x:f>
        <x:v>2.2</x:v>
      </x:c>
    </x:row>
    <x:row r="11">
      <x:c r="I11" t="str">
        <x:v>恢复目标控筹资金</x:v>
      </x:c>
      <x:c r="J11" s="555" t="n">
        <x:f>MAX(0,($D$6/($D$4-($J$5-$B$6)*$B$4)-$D$6/($D$4-($J$5*(1-$B$8)^2-$B$6)*$B$4))*(1+$B$8))</x:f>
        <x:v>3.878989695966626</x:v>
      </x:c>
    </x:row>
    <x:row r="12" ht="34" customHeight="1">
      <x:c r="A12" s="10" t="str">
        <x:v>控筹率</x:v>
      </x:c>
      <x:c r="B12" s="10" t="str">
        <x:v>pooled token</x:v>
      </x:c>
      <x:c r="C12" s="10" t="str">
        <x:v>pooled BNB</x:v>
      </x:c>
      <x:c r="D12" s="10" t="str">
        <x:v>k</x:v>
      </x:c>
      <x:c r="E12" s="331" t="str">
        <x:v>价格 / BNB</x:v>
      </x:c>
      <x:c r="F12" s="331" t="str">
        <x:v>价格 / USDT</x:v>
      </x:c>
      <x:c r="G12" s="331" t="str">
        <x:v>市值 / BNB</x:v>
      </x:c>
      <x:c r="H12" s="331" t="str">
        <x:v>市值 / USD</x:v>
      </x:c>
      <x:c r="I12" s="331" t="str">
        <x:v>所需 BNB</x:v>
      </x:c>
      <x:c r="J12" s="331" t="str">
        <x:v>加手续费</x:v>
      </x:c>
      <x:c r="K12" s="344" t="str">
        <x:v>理论累计所需</x:v>
      </x:c>
    </x:row>
    <x:row r="13">
      <x:c r="A13" s="57" t="n">
        <x:v>0</x:v>
      </x:c>
      <x:c r="B13" s="63" t="n">
        <x:f>$B$9-A13*$B$4</x:f>
        <x:v>1107036752</x:v>
      </x:c>
      <x:c r="C13" s="556" t="n">
        <x:f>$D$3/B13</x:f>
        <x:v>6.14</x:v>
      </x:c>
      <x:c r="D13" s="74" t="n">
        <x:f>B13*C13</x:f>
        <x:v>6797205657.28</x:v>
      </x:c>
      <x:c r="E13" s="348" t="n">
        <x:f>C13/B13</x:f>
        <x:v>5.546337995470633e-9</x:v>
      </x:c>
      <x:c r="F13" s="348" t="n">
        <x:f>IF(ISNUMBER(E13),E13*$B$3/'币价'!$B$12,"")</x:f>
        <x:v>0.0000041847717572144316</x:v>
      </x:c>
      <x:c r="G13" s="558" t="n">
        <x:f>E13*$B$4</x:f>
        <x:v>5.546337995470632</x:v>
      </x:c>
      <x:c r="H13" s="561" t="n">
        <x:f>G13*$B$3</x:f>
        <x:v>4181.273288025401</x:v>
      </x:c>
      <x:c r="I13" s="558" t="n">
        <x:f>0</x:f>
        <x:v>0</x:v>
      </x:c>
      <x:c r="J13" s="558" t="n">
        <x:f>I13*(1+$B$7)</x:f>
        <x:v>0</x:v>
      </x:c>
      <x:c r="K13" s="560" t="n">
        <x:f>0</x:f>
        <x:v>0</x:v>
      </x:c>
    </x:row>
    <x:row r="14">
      <x:c r="A14" s="58" t="n">
        <x:v>0.1</x:v>
      </x:c>
      <x:c r="B14" s="64" t="n">
        <x:f>$B$9-A14*$B$4</x:f>
        <x:v>1007036752</x:v>
      </x:c>
      <x:c r="C14" s="557" t="n">
        <x:f>$D$3/B14</x:f>
        <x:v>6.749709624579818</x:v>
      </x:c>
      <x:c r="D14" s="75" t="n">
        <x:f>B14*C14</x:f>
        <x:v>6797205657.28</x:v>
      </x:c>
      <x:c r="E14" s="374" t="n">
        <x:f>C14/B14</x:f>
        <x:v>6.702545474308388e-9</x:v>
      </x:c>
      <x:c r="F14" s="374" t="n">
        <x:f>IF(ISNUMBER(E14),E14*$B$3/'币价'!$B$12,"")</x:f>
        <x:v>0.000005057142753513544</x:v>
      </x:c>
      <x:c r="G14" s="559" t="n">
        <x:f>E14*$B$4</x:f>
        <x:v>6.702545474308388</x:v>
      </x:c>
      <x:c r="H14" s="562" t="n">
        <x:f>G14*$B$3</x:f>
        <x:v>5052.914982171607</x:v>
      </x:c>
      <x:c r="I14" s="559" t="n">
        <x:f>C14-C13</x:f>
        <x:v>0.6097096245798186</x:v>
      </x:c>
      <x:c r="J14" s="559" t="n">
        <x:f>I14*(1+$B$7)</x:f>
        <x:v>0.6158067208256168</x:v>
      </x:c>
      <x:c r="K14" s="560" t="n">
        <x:f>K13+J14</x:f>
        <x:v>0.6158067208256168</x:v>
      </x:c>
    </x:row>
    <x:row r="15">
      <x:c r="A15" s="58" t="n">
        <x:v>0.2</x:v>
      </x:c>
      <x:c r="B15" s="64" t="n">
        <x:f>$B$9-A15*$B$4</x:f>
        <x:v>907036752</x:v>
      </x:c>
      <x:c r="C15" s="557" t="n">
        <x:f>$D$3/B15</x:f>
        <x:v>7.493859143295221</x:v>
      </x:c>
      <x:c r="D15" s="75" t="n">
        <x:f>B15*C15</x:f>
        <x:v>6797205657.28</x:v>
      </x:c>
      <x:c r="E15" s="374" t="n">
        <x:f>C15/B15</x:f>
        <x:v>8.261913452538051e-9</x:v>
      </x:c>
      <x:c r="F15" s="374" t="n">
        <x:f>IF(ISNUMBER(E15),E15*$B$3/'币价'!$B$12,"")</x:f>
        <x:v>0.000006233702689047429</x:v>
      </x:c>
      <x:c r="G15" s="559" t="n">
        <x:f>E15*$B$4</x:f>
        <x:v>8.261913452538051</x:v>
      </x:c>
      <x:c r="H15" s="562" t="n">
        <x:f>G15*$B$3</x:f>
        <x:v>6228.491313599386</x:v>
      </x:c>
      <x:c r="I15" s="559" t="n">
        <x:f>C15-C14</x:f>
        <x:v>0.7441495187154024</x:v>
      </x:c>
      <x:c r="J15" s="559" t="n">
        <x:f>I15*(1+$B$7)</x:f>
        <x:v>0.7515910139025563</x:v>
      </x:c>
      <x:c r="K15" s="560" t="n">
        <x:f>K14+J15</x:f>
        <x:v>1.3673977347281732</x:v>
      </x:c>
    </x:row>
    <x:row r="16">
      <x:c r="A16" s="58" t="n">
        <x:v>0.3</x:v>
      </x:c>
      <x:c r="B16" s="64" t="n">
        <x:f>$B$9-A16*$B$4</x:f>
        <x:v>807036752</x:v>
      </x:c>
      <x:c r="C16" s="557" t="n">
        <x:f>$D$3/B16</x:f>
        <x:v>8.422423936004341</x:v>
      </x:c>
      <x:c r="D16" s="75" t="n">
        <x:f>B16*C16</x:f>
        <x:v>6797205657.279999</x:v>
      </x:c>
      <x:c r="E16" s="374" t="n">
        <x:f>C16/B16</x:f>
        <x:v>1.0436233436868735e-8</x:v>
      </x:c>
      <x:c r="F16" s="374" t="n">
        <x:f>IF(ISNUMBER(E16),E16*$B$3/'币价'!$B$12,"")</x:f>
        <x:v>0.000007874250536835396</x:v>
      </x:c>
      <x:c r="G16" s="559" t="n">
        <x:f>E16*$B$4</x:f>
        <x:v>10.436233436868735</x:v>
      </x:c>
      <x:c r="H16" s="562" t="n">
        <x:f>G16*$B$3</x:f>
        <x:v>7867.667663386602</x:v>
      </x:c>
      <x:c r="I16" s="559" t="n">
        <x:f>C16-C15</x:f>
        <x:v>0.9285647927091203</x:v>
      </x:c>
      <x:c r="J16" s="559" t="n">
        <x:f>I16*(1+$B$7)</x:f>
        <x:v>0.9378504406362115</x:v>
      </x:c>
      <x:c r="K16" s="560" t="n">
        <x:f>K15+J16</x:f>
        <x:v>2.3052481753643845</x:v>
      </x:c>
    </x:row>
    <x:row r="17">
      <x:c r="A17" s="58" t="n">
        <x:v>0.4</x:v>
      </x:c>
      <x:c r="B17" s="64" t="n">
        <x:f>$B$9-A17*$B$4</x:f>
        <x:v>707036752</x:v>
      </x:c>
      <x:c r="C17" s="557" t="n">
        <x:f>$D$3/B17</x:f>
        <x:v>9.61365252662283</x:v>
      </x:c>
      <x:c r="D17" s="75" t="n">
        <x:f>B17*C17</x:f>
        <x:v>6797205657.28</x:v>
      </x:c>
      <x:c r="E17" s="374" t="n">
        <x:f>C17/B17</x:f>
        <x:v>1.3597104392987525e-8</x:v>
      </x:c>
      <x:c r="F17" s="374" t="n">
        <x:f>IF(ISNUMBER(E17),E17*$B$3/'币价'!$B$12,"")</x:f>
        <x:v>0.000010259161718982504</x:v>
      </x:c>
      <x:c r="G17" s="559" t="n">
        <x:f>E17*$B$4</x:f>
        <x:v>13.597104392987525</x:v>
      </x:c>
      <x:c r="H17" s="562" t="n">
        <x:f>G17*$B$3</x:f>
        <x:v>10250.585059785435</x:v>
      </x:c>
      <x:c r="I17" s="559" t="n">
        <x:f>C17-C16</x:f>
        <x:v>1.1912285906184898</x:v>
      </x:c>
      <x:c r="J17" s="559" t="n">
        <x:f>I17*(1+$B$7)</x:f>
        <x:v>1.2031408765246747</x:v>
      </x:c>
      <x:c r="K17" s="560" t="n">
        <x:f>K16+J17</x:f>
        <x:v>3.5083890518890595</x:v>
      </x:c>
    </x:row>
    <x:row r="18">
      <x:c r="A18" s="58" t="n">
        <x:v>0.5</x:v>
      </x:c>
      <x:c r="B18" s="64" t="n">
        <x:f>$B$9-A18*$B$4</x:f>
        <x:v>607036752</x:v>
      </x:c>
      <x:c r="C18" s="557" t="n">
        <x:f>$D$3/B18</x:f>
        <x:v>11.197354418633289</x:v>
      </x:c>
      <x:c r="D18" s="75" t="n">
        <x:f>B18*C18</x:f>
        <x:v>6797205657.28</x:v>
      </x:c>
      <x:c r="E18" s="374" t="n">
        <x:f>C18/B18</x:f>
        <x:v>1.844592503129578e-8</x:v>
      </x:c>
      <x:c r="F18" s="374" t="n">
        <x:f>IF(ISNUMBER(E18),E18*$B$3/'币价'!$B$12,"")</x:f>
        <x:v>0.000013917649117255289</x:v>
      </x:c>
      <x:c r="G18" s="559" t="n">
        <x:f>E18*$B$4</x:f>
        <x:v>18.44592503129578</x:v>
      </x:c>
      <x:c r="H18" s="562" t="n">
        <x:f>G18*$B$3</x:f>
        <x:v>13906.013962593262</x:v>
      </x:c>
      <x:c r="I18" s="559" t="n">
        <x:f>C18-C17</x:f>
        <x:v>1.583701892010458</x:v>
      </x:c>
      <x:c r="J18" s="559" t="n">
        <x:f>I18*(1+$B$7)</x:f>
        <x:v>1.5995389109305627</x:v>
      </x:c>
      <x:c r="K18" s="560" t="n">
        <x:f>K17+J18</x:f>
        <x:v>5.107927962819622</x:v>
      </x:c>
    </x:row>
    <x:row r="19">
      <x:c r="A19" s="58" t="n">
        <x:v>0.6</x:v>
      </x:c>
      <x:c r="B19" s="64" t="n">
        <x:f>$B$9-A19*$B$4</x:f>
        <x:v>507036752</x:v>
      </x:c>
      <x:c r="C19" s="557" t="n">
        <x:f>$D$3/B19</x:f>
        <x:v>13.405745501619968</x:v>
      </x:c>
      <x:c r="D19" s="75" t="n">
        <x:f>B19*C19</x:f>
        <x:v>6797205657.28</x:v>
      </x:c>
      <x:c r="E19" s="374" t="n">
        <x:f>C19/B19</x:f>
        <x:v>2.6439396057073133e-8</x:v>
      </x:c>
      <x:c r="F19" s="374" t="n">
        <x:f>IF(ISNUMBER(E19),E19*$B$3/'币价'!$B$12,"")</x:f>
        <x:v>0.000019948809103917166</x:v>
      </x:c>
      <x:c r="G19" s="559" t="n">
        <x:f>E19*$B$4</x:f>
        <x:v>26.439396057073132</x:v>
      </x:c>
      <x:c r="H19" s="562" t="n">
        <x:f>G19*$B$3</x:f>
        <x:v>19932.131899506294</x:v>
      </x:c>
      <x:c r="I19" s="559" t="n">
        <x:f>C19-C18</x:f>
        <x:v>2.2083910829866795</x:v>
      </x:c>
      <x:c r="J19" s="559" t="n">
        <x:f>I19*(1+$B$7)</x:f>
        <x:v>2.2304749938165465</x:v>
      </x:c>
      <x:c r="K19" s="560" t="n">
        <x:f>K18+J19</x:f>
        <x:v>7.338402956636169</x:v>
      </x:c>
    </x:row>
    <x:row r="20">
      <x:c r="A20" s="58" t="n">
        <x:v>0.7</x:v>
      </x:c>
      <x:c r="B20" s="64" t="n">
        <x:f>$B$9-A20*$B$4</x:f>
        <x:v>407036752</x:v>
      </x:c>
      <x:c r="C20" s="557" t="n">
        <x:f>$D$3/B20</x:f>
        <x:v>16.699243063142365</x:v>
      </x:c>
      <x:c r="D20" s="75" t="n">
        <x:f>B20*C20</x:f>
        <x:v>6797205657.279999</x:v>
      </x:c>
      <x:c r="E20" s="374" t="n">
        <x:f>C20/B20</x:f>
        <x:v>4.1026376564498444e-8</x:v>
      </x:c>
      <x:c r="F20" s="374" t="n">
        <x:f>IF(ISNUMBER(E20),E20*$B$3/'币价'!$B$12,"")</x:f>
        <x:v>0.000030954843013203124</x:v>
      </x:c>
      <x:c r="G20" s="559" t="n">
        <x:f>E20*$B$4</x:f>
        <x:v>41.02637656449844</x:v>
      </x:c>
      <x:c r="H20" s="562" t="n">
        <x:f>G20*$B$3</x:f>
        <x:v>30928.964764444085</x:v>
      </x:c>
      <x:c r="I20" s="559" t="n">
        <x:f>C20-C19</x:f>
        <x:v>3.293497561522397</x:v>
      </x:c>
      <x:c r="J20" s="559" t="n">
        <x:f>I20*(1+$B$7)</x:f>
        <x:v>3.326432537137621</x:v>
      </x:c>
      <x:c r="K20" s="560" t="n">
        <x:f>K19+J20</x:f>
        <x:v>10.66483549377379</x:v>
      </x:c>
    </x:row>
    <x:row r="21">
      <x:c r="A21" s="57" t="n">
        <x:v>0.8</x:v>
      </x:c>
      <x:c r="B21" s="63" t="n">
        <x:f>$B$9-A21*$B$4</x:f>
        <x:v>307036752</x:v>
      </x:c>
      <x:c r="C21" s="556" t="n">
        <x:f>$D$3/B21</x:f>
        <x:v>22.138084815592368</x:v>
      </x:c>
      <x:c r="D21" s="74" t="n">
        <x:f>B21*C21</x:f>
        <x:v>6797205657.28</x:v>
      </x:c>
      <x:c r="E21" s="348" t="n">
        <x:f>C21/B21</x:f>
        <x:v>7.210239383848214e-8</x:v>
      </x:c>
      <x:c r="F21" s="348" t="n">
        <x:f>IF(ISNUMBER(E21),E21*$B$3/'币价'!$B$12,"")</x:f>
        <x:v>0.00005440203276634758</x:v>
      </x:c>
      <x:c r="G21" s="558" t="n">
        <x:f>E21*$B$4</x:f>
        <x:v>72.10239383848214</x:v>
      </x:c>
      <x:c r="H21" s="561" t="n">
        <x:f>G21*$B$3</x:f>
        <x:v>54356.552666954914</x:v>
      </x:c>
      <x:c r="I21" s="558" t="n">
        <x:f>C21-C20</x:f>
        <x:v>5.438841752450003</x:v>
      </x:c>
      <x:c r="J21" s="558" t="n">
        <x:f>I21*(1+$B$7)</x:f>
        <x:v>5.4932301699745025</x:v>
      </x:c>
      <x:c r="K21" s="560" t="n">
        <x:f>K20+J21</x:f>
        <x:v>16.158065663748292</x:v>
      </x:c>
    </x:row>
    <x:row r="22">
      <x:c r="A22" s="59"/>
      <x:c r="B22" s="65"/>
      <x:c r="C22" s="17"/>
      <x:c r="D22" s="76"/>
      <x:c r="E22" s="82"/>
      <x:c r="F22" s="88"/>
      <x:c r="G22" s="88"/>
    </x:row>
    <x:row r="23">
      <x:c r="A23" s="59"/>
      <x:c r="B23" s="65"/>
      <x:c r="C23" s="17"/>
      <x:c r="D23" s="76"/>
      <x:c r="E23" s="82"/>
      <x:c r="F23" s="88"/>
      <x:c r="G23" s="88"/>
    </x:row>
    <x:row r="24" ht="34" customHeight="1">
      <x:c r="A24" s="60" t="str">
        <x:v>控筹率</x:v>
      </x:c>
      <x:c r="B24" s="66" t="str">
        <x:v>pooled token</x:v>
      </x:c>
      <x:c r="C24" s="71" t="str">
        <x:v>pooled BNB</x:v>
      </x:c>
      <x:c r="D24" s="77" t="str">
        <x:v>k</x:v>
      </x:c>
      <x:c r="E24" s="391" t="str">
        <x:v>价格 / BNB</x:v>
      </x:c>
      <x:c r="F24" s="391" t="str">
        <x:v>价格 / USDT</x:v>
      </x:c>
      <x:c r="G24" s="393" t="str">
        <x:v>市值 / BNB</x:v>
      </x:c>
      <x:c r="H24" s="393" t="str">
        <x:v>市值 / USD</x:v>
      </x:c>
      <x:c r="I24" s="331" t="str">
        <x:v>所需 BNB</x:v>
      </x:c>
      <x:c r="J24" s="331" t="str">
        <x:v>加手续费</x:v>
      </x:c>
      <x:c r="K24" s="344" t="str">
        <x:v>理论累计所需</x:v>
      </x:c>
    </x:row>
    <x:row r="25">
      <x:c r="A25" s="57" t="n">
        <x:v>0.8</x:v>
      </x:c>
      <x:c r="B25" s="63" t="n">
        <x:f>IF(A25&gt;=1,"",$D$4-(A25-$B$6)*$B$4)</x:f>
        <x:v>200000000</x:v>
      </x:c>
      <x:c r="C25" s="556" t="n">
        <x:f>IF(A25&gt;=1,"",IF(ABS(A25-$B$6)&lt;0.000001,$D$5,$D$6/B25))</x:f>
        <x:v>15.998</x:v>
      </x:c>
      <x:c r="D25" s="74" t="n">
        <x:f>IF(A25&gt;=1,"",B25*C25)</x:f>
        <x:v>3199600000</x:v>
      </x:c>
      <x:c r="E25" s="348" t="n">
        <x:f>IF(A25&gt;=1,"",C25/B25)</x:f>
        <x:v>7.998999999999999e-8</x:v>
      </x:c>
      <x:c r="F25" s="348" t="n">
        <x:f>IF(ISNUMBER(E25),E25*$B$3/'币价'!$B$12,"")</x:f>
        <x:v>0.000060353316572654724</x:v>
      </x:c>
      <x:c r="G25" s="558" t="n">
        <x:f>IF(A25&gt;=1,"",E25*$B$4)</x:f>
        <x:v>79.99</x:v>
      </x:c>
      <x:c r="H25" s="561" t="n">
        <x:f>IF(A25&gt;=1,"",G25*$B$3)</x:f>
        <x:v>60302.8612</x:v>
      </x:c>
      <x:c r="I25" s="558" t="n">
        <x:f>IF(A25&gt;=1,"",0)</x:f>
        <x:v>0</x:v>
      </x:c>
      <x:c r="J25" s="558" t="n">
        <x:f>IF(A25&gt;=1,"",I25*(1+$B$8))</x:f>
        <x:v>0</x:v>
      </x:c>
      <x:c r="K25" s="560" t="n">
        <x:f>IF(A25&gt;=1,"不可达",$B$5+(C25-$D$5)*(1+$B$8))</x:f>
        <x:v>16.158065663748292</x:v>
      </x:c>
    </x:row>
    <x:row r="26">
      <x:c r="A26" s="58" t="n">
        <x:v>0.805</x:v>
      </x:c>
      <x:c r="B26" s="64" t="n">
        <x:f>IF(A26&gt;=1,"",$D$4-(A26-$B$6)*$B$4)</x:f>
        <x:v>195000000</x:v>
      </x:c>
      <x:c r="C26" s="557" t="n">
        <x:f>IF(A26&gt;=1,"",IF(ABS(A26-$B$6)&lt;0.000001,$D$5,$D$6/B26))</x:f>
        <x:v>16.40820512820513</x:v>
      </x:c>
      <x:c r="D26" s="75" t="n">
        <x:f>IF(A26&gt;=1,"",B26*C26)</x:f>
        <x:v>3199600000</x:v>
      </x:c>
      <x:c r="E26" s="374" t="n">
        <x:f>IF(A26&gt;=1,"",C26/B26)</x:f>
        <x:v>8.414464168310323e-8</x:v>
      </x:c>
      <x:c r="F26" s="374" t="n">
        <x:f>IF(ISNUMBER(E26),E26*$B$3/'币价'!$B$12,"")</x:f>
        <x:v>0.00006348803847222063</x:v>
      </x:c>
      <x:c r="G26" s="559" t="n">
        <x:f>IF(A26&gt;=1,"",E26*$B$4)</x:f>
        <x:v>84.14464168310323</x:v>
      </x:c>
      <x:c r="H26" s="562" t="n">
        <x:f>IF(A26&gt;=1,"",G26*$B$3)</x:f>
        <x:v>63434.962472057865</x:v>
      </x:c>
      <x:c r="I26" s="559" t="n">
        <x:f>IF(A26&gt;=1,"",C26-C25)</x:f>
        <x:v>0.41020512820512955</x:v>
      </x:c>
      <x:c r="J26" s="559" t="n">
        <x:f>IF(A26&gt;=1,"",I26*(1+$B$8))</x:f>
        <x:v>0.41123064102564233</x:v>
      </x:c>
      <x:c r="K26" s="560" t="n">
        <x:f>IF(A26&gt;=1,"不可达",$B$5+(C26-$D$5)*(1+$B$8))</x:f>
        <x:v>16.569296304773935</x:v>
      </x:c>
    </x:row>
    <x:row r="27">
      <x:c r="A27" s="58" t="n">
        <x:v>0.81</x:v>
      </x:c>
      <x:c r="B27" s="64" t="n">
        <x:f>IF(A27&gt;=1,"",$D$4-(A27-$B$6)*$B$4)</x:f>
        <x:v>190000000</x:v>
      </x:c>
      <x:c r="C27" s="557" t="n">
        <x:f>IF(A27&gt;=1,"",IF(ABS(A27-$B$6)&lt;0.000001,$D$5,$D$6/B27))</x:f>
        <x:v>16.84</x:v>
      </x:c>
      <x:c r="D27" s="75" t="n">
        <x:f>IF(A27&gt;=1,"",B27*C27)</x:f>
        <x:v>3199600000</x:v>
      </x:c>
      <x:c r="E27" s="374" t="n">
        <x:f>IF(A27&gt;=1,"",C27/B27)</x:f>
        <x:v>8.863157894736842e-8</x:v>
      </x:c>
      <x:c r="F27" s="374" t="n">
        <x:f>IF(ISNUMBER(E27),E27*$B$3/'币价'!$B$12,"")</x:f>
        <x:v>0.00006687348096693046</x:v>
      </x:c>
      <x:c r="G27" s="559" t="n">
        <x:f>IF(A27&gt;=1,"",E27*$B$4)</x:f>
        <x:v>88.63157894736842</x:v>
      </x:c>
      <x:c r="H27" s="562" t="n">
        <x:f>IF(A27&gt;=1,"",G27*$B$3)</x:f>
        <x:v>66817.57473684211</x:v>
      </x:c>
      <x:c r="I27" s="559" t="n">
        <x:f>IF(A27&gt;=1,"",C27-C26)</x:f>
        <x:v>0.43179487179487097</x:v>
      </x:c>
      <x:c r="J27" s="559" t="n">
        <x:f>IF(A27&gt;=1,"",I27*(1+$B$8))</x:f>
        <x:v>0.4328743589743581</x:v>
      </x:c>
      <x:c r="K27" s="560" t="n">
        <x:f>IF(A27&gt;=1,"不可达",$B$5+(C27-$D$5)*(1+$B$8))</x:f>
        <x:v>17.00217066374829</x:v>
      </x:c>
    </x:row>
    <x:row r="28">
      <x:c r="A28" s="58" t="n">
        <x:v>0.815</x:v>
      </x:c>
      <x:c r="B28" s="64" t="n">
        <x:f>IF(A28&gt;=1,"",$D$4-(A28-$B$6)*$B$4)</x:f>
        <x:v>185000000.0000001</x:v>
      </x:c>
      <x:c r="C28" s="557" t="n">
        <x:f>IF(A28&gt;=1,"",IF(ABS(A28-$B$6)&lt;0.000001,$D$5,$D$6/B28))</x:f>
        <x:v>17.295135135135126</x:v>
      </x:c>
      <x:c r="D28" s="75" t="n">
        <x:f>IF(A28&gt;=1,"",B28*C28)</x:f>
        <x:v>3199600000</x:v>
      </x:c>
      <x:c r="E28" s="374" t="n">
        <x:f>IF(A28&gt;=1,"",C28/B28)</x:f>
        <x:v>9.348721694667631e-8</x:v>
      </x:c>
      <x:c r="F28" s="374" t="n">
        <x:f>IF(ISNUMBER(E28),E28*$B$3/'币价'!$B$12,"")</x:f>
        <x:v>0.0000705371121375073</x:v>
      </x:c>
      <x:c r="G28" s="559" t="n">
        <x:f>IF(A28&gt;=1,"",E28*$B$4)</x:f>
        <x:v>93.48721694667631</x:v>
      </x:c>
      <x:c r="H28" s="562" t="n">
        <x:f>IF(A28&gt;=1,"",G28*$B$3)</x:f>
        <x:v>70478.14311176034</x:v>
      </x:c>
      <x:c r="I28" s="559" t="n">
        <x:f>IF(A28&gt;=1,"",C28-C27)</x:f>
        <x:v>0.4551351351351265</x:v>
      </x:c>
      <x:c r="J28" s="559" t="n">
        <x:f>IF(A28&gt;=1,"",I28*(1+$B$8))</x:f>
        <x:v>0.45627297297296426</x:v>
      </x:c>
      <x:c r="K28" s="560" t="n">
        <x:f>IF(A28&gt;=1,"不可达",$B$5+(C28-$D$5)*(1+$B$8))</x:f>
        <x:v>17.458443636721256</x:v>
      </x:c>
    </x:row>
    <x:row r="29">
      <x:c r="A29" s="58" t="n">
        <x:v>0.82</x:v>
      </x:c>
      <x:c r="B29" s="64" t="n">
        <x:f>IF(A29&gt;=1,"",$D$4-(A29-$B$6)*$B$4)</x:f>
        <x:v>180000000.0000001</x:v>
      </x:c>
      <x:c r="C29" s="557" t="n">
        <x:f>IF(A29&gt;=1,"",IF(ABS(A29-$B$6)&lt;0.000001,$D$5,$D$6/B29))</x:f>
        <x:v>17.775555555555545</x:v>
      </x:c>
      <x:c r="D29" s="75" t="n">
        <x:f>IF(A29&gt;=1,"",B29*C29)</x:f>
        <x:v>3199599999.9999995</x:v>
      </x:c>
      <x:c r="E29" s="374" t="n">
        <x:f>IF(A29&gt;=1,"",C29/B29)</x:f>
        <x:v>9.875308641975298e-8</x:v>
      </x:c>
      <x:c r="F29" s="374" t="n">
        <x:f>IF(ISNUMBER(E29),E29*$B$3/'币价'!$B$12,"")</x:f>
        <x:v>0.00007451026737364773</x:v>
      </x:c>
      <x:c r="G29" s="559" t="n">
        <x:f>IF(A29&gt;=1,"",E29*$B$4)</x:f>
        <x:v>98.75308641975298</x:v>
      </x:c>
      <x:c r="H29" s="562" t="n">
        <x:f>IF(A29&gt;=1,"",G29*$B$3)</x:f>
        <x:v>74447.97679012337</x:v>
      </x:c>
      <x:c r="I29" s="559" t="n">
        <x:f>IF(A29&gt;=1,"",C29-C28)</x:f>
        <x:v>0.480420420420419</x:v>
      </x:c>
      <x:c r="J29" s="559" t="n">
        <x:f>IF(A29&gt;=1,"",I29*(1+$B$8))</x:f>
        <x:v>0.48162147147147</x:v>
      </x:c>
      <x:c r="K29" s="560" t="n">
        <x:f>IF(A29&gt;=1,"不可达",$B$5+(C29-$D$5)*(1+$B$8))</x:f>
        <x:v>17.940065108192726</x:v>
      </x:c>
    </x:row>
    <x:row r="30">
      <x:c r="A30" s="58" t="n">
        <x:v>0.825</x:v>
      </x:c>
      <x:c r="B30" s="64" t="n">
        <x:f>IF(A30&gt;=1,"",$D$4-(A30-$B$6)*$B$4)</x:f>
        <x:v>175000000.0000001</x:v>
      </x:c>
      <x:c r="C30" s="557" t="n">
        <x:f>IF(A30&gt;=1,"",IF(ABS(A30-$B$6)&lt;0.000001,$D$5,$D$6/B30))</x:f>
        <x:v>18.283428571428562</x:v>
      </x:c>
      <x:c r="D30" s="75" t="n">
        <x:f>IF(A30&gt;=1,"",B30*C30)</x:f>
        <x:v>3199600000</x:v>
      </x:c>
      <x:c r="E30" s="374" t="n">
        <x:f>IF(A30&gt;=1,"",C30/B30)</x:f>
        <x:v>1.0447673469387744e-7</x:v>
      </x:c>
      <x:c r="F30" s="374" t="n">
        <x:f>IF(ISNUMBER(E30),E30*$B$3/'币价'!$B$12,"")</x:f>
        <x:v>0.0000788288216459163</x:v>
      </x:c>
      <x:c r="G30" s="559" t="n">
        <x:f>IF(A30&gt;=1,"",E30*$B$4)</x:f>
        <x:v>104.47673469387745</x:v>
      </x:c>
      <x:c r="H30" s="562" t="n">
        <x:f>IF(A30&gt;=1,"",G30*$B$3)</x:f>
        <x:v>78762.92075102033</x:v>
      </x:c>
      <x:c r="I30" s="559" t="n">
        <x:f>IF(A30&gt;=1,"",C30-C29)</x:f>
        <x:v>0.5078730158730167</x:v>
      </x:c>
      <x:c r="J30" s="559" t="n">
        <x:f>IF(A30&gt;=1,"",I30*(1+$B$8))</x:f>
        <x:v>0.5091426984126992</x:v>
      </x:c>
      <x:c r="K30" s="560" t="n">
        <x:f>IF(A30&gt;=1,"不可达",$B$5+(C30-$D$5)*(1+$B$8))</x:f>
        <x:v>18.449207806605425</x:v>
      </x:c>
    </x:row>
    <x:row r="31">
      <x:c r="A31" s="58" t="n">
        <x:v>0.83</x:v>
      </x:c>
      <x:c r="B31" s="64" t="n">
        <x:f>IF(A31&gt;=1,"",$D$4-(A31-$B$6)*$B$4)</x:f>
        <x:v>170000000.0000001</x:v>
      </x:c>
      <x:c r="C31" s="557" t="n">
        <x:f>IF(A31&gt;=1,"",IF(ABS(A31-$B$6)&lt;0.000001,$D$5,$D$6/B31))</x:f>
        <x:v>18.821176470588224</x:v>
      </x:c>
      <x:c r="D31" s="75" t="n">
        <x:f>IF(A31&gt;=1,"",B31*C31)</x:f>
        <x:v>3199599999.9999995</x:v>
      </x:c>
      <x:c r="E31" s="374" t="n">
        <x:f>IF(A31&gt;=1,"",C31/B31)</x:f>
        <x:v>1.1071280276816596e-7</x:v>
      </x:c>
      <x:c r="F31" s="374" t="n">
        <x:f>IF(ISNUMBER(E31),E31*$B$3/'币价'!$B$12,"")</x:f>
        <x:v>0.00008353400217668466</x:v>
      </x:c>
      <x:c r="G31" s="559" t="n">
        <x:f>IF(A31&gt;=1,"",E31*$B$4)</x:f>
        <x:v>110.71280276816596</x:v>
      </x:c>
      <x:c r="H31" s="562" t="n">
        <x:f>IF(A31&gt;=1,"",G31*$B$3)</x:f>
        <x:v>83464.16775086494</x:v>
      </x:c>
      <x:c r="I31" s="559" t="n">
        <x:f>IF(A31&gt;=1,"",C31-C30)</x:f>
        <x:v>0.5377478991596618</x:v>
      </x:c>
      <x:c r="J31" s="559" t="n">
        <x:f>IF(A31&gt;=1,"",I31*(1+$B$8))</x:f>
        <x:v>0.5390922689075609</x:v>
      </x:c>
      <x:c r="K31" s="560" t="n">
        <x:f>IF(A31&gt;=1,"不可达",$B$5+(C31-$D$5)*(1+$B$8))</x:f>
        <x:v>18.98830007551299</x:v>
      </x:c>
    </x:row>
    <x:row r="32">
      <x:c r="A32" s="58" t="n">
        <x:v>0.835</x:v>
      </x:c>
      <x:c r="B32" s="64" t="n">
        <x:f>IF(A32&gt;=1,"",$D$4-(A32-$B$6)*$B$4)</x:f>
        <x:v>165000000.0000001</x:v>
      </x:c>
      <x:c r="C32" s="557" t="n">
        <x:f>IF(A32&gt;=1,"",IF(ABS(A32-$B$6)&lt;0.000001,$D$5,$D$6/B32))</x:f>
        <x:v>19.39151515151514</x:v>
      </x:c>
      <x:c r="D32" s="75" t="n">
        <x:f>IF(A32&gt;=1,"",B32*C32)</x:f>
        <x:v>3199600000</x:v>
      </x:c>
      <x:c r="E32" s="374" t="n">
        <x:f>IF(A32&gt;=1,"",C32/B32)</x:f>
        <x:v>1.1752433425160684e-7</x:v>
      </x:c>
      <x:c r="F32" s="374" t="n">
        <x:f>IF(ISNUMBER(E32),E32*$B$3/'币价'!$B$12,"")</x:f>
        <x:v>0.00008867337604797748</x:v>
      </x:c>
      <x:c r="G32" s="559" t="n">
        <x:f>IF(A32&gt;=1,"",E32*$B$4)</x:f>
        <x:v>117.52433425160685</x:v>
      </x:c>
      <x:c r="H32" s="562" t="n">
        <x:f>IF(A32&gt;=1,"",G32*$B$3)</x:f>
        <x:v>88599.24510560137</x:v>
      </x:c>
      <x:c r="I32" s="559" t="n">
        <x:f>IF(A32&gt;=1,"",C32-C31)</x:f>
        <x:v>0.5703386809269162</x:v>
      </x:c>
      <x:c r="J32" s="559" t="n">
        <x:f>IF(A32&gt;=1,"",I32*(1+$B$8))</x:f>
        <x:v>0.5717645276292335</x:v>
      </x:c>
      <x:c r="K32" s="560" t="n">
        <x:f>IF(A32&gt;=1,"不可达",$B$5+(C32-$D$5)*(1+$B$8))</x:f>
        <x:v>19.56006460314222</x:v>
      </x:c>
    </x:row>
    <x:row r="33">
      <x:c r="A33" s="58" t="n">
        <x:v>0.84</x:v>
      </x:c>
      <x:c r="B33" s="64" t="n">
        <x:f>IF(A33&gt;=1,"",$D$4-(A33-$B$6)*$B$4)</x:f>
        <x:v>160000000.00000006</x:v>
      </x:c>
      <x:c r="C33" s="557" t="n">
        <x:f>IF(A33&gt;=1,"",IF(ABS(A33-$B$6)&lt;0.000001,$D$5,$D$6/B33))</x:f>
        <x:v>19.99749999999999</x:v>
      </x:c>
      <x:c r="D33" s="75" t="n">
        <x:f>IF(A33&gt;=1,"",B33*C33)</x:f>
        <x:v>3199600000</x:v>
      </x:c>
      <x:c r="E33" s="374" t="n">
        <x:f>IF(A33&gt;=1,"",C33/B33)</x:f>
        <x:v>1.249843749999999e-7</x:v>
      </x:c>
      <x:c r="F33" s="374" t="n">
        <x:f>IF(ISNUMBER(E33),E33*$B$3/'币价'!$B$12,"")</x:f>
        <x:v>0.00009430205714477296</x:v>
      </x:c>
      <x:c r="G33" s="559" t="n">
        <x:f>IF(A33&gt;=1,"",E33*$B$4)</x:f>
        <x:v>124.9843749999999</x:v>
      </x:c>
      <x:c r="H33" s="562" t="n">
        <x:f>IF(A33&gt;=1,"",G33*$B$3)</x:f>
        <x:v>94223.22062499993</x:v>
      </x:c>
      <x:c r="I33" s="559" t="n">
        <x:f>IF(A33&gt;=1,"",C33-C32)</x:f>
        <x:v>0.6059848484848516</x:v>
      </x:c>
      <x:c r="J33" s="559" t="n">
        <x:f>IF(A33&gt;=1,"",I33*(1+$B$8))</x:f>
        <x:v>0.6074998106060636</x:v>
      </x:c>
      <x:c r="K33" s="560" t="n">
        <x:f>IF(A33&gt;=1,"不可达",$B$5+(C33-$D$5)*(1+$B$8))</x:f>
        <x:v>20.167564413748284</x:v>
      </x:c>
    </x:row>
    <x:row r="34">
      <x:c r="A34" s="58" t="n">
        <x:v>0.845</x:v>
      </x:c>
      <x:c r="B34" s="64" t="n">
        <x:f>IF(A34&gt;=1,"",$D$4-(A34-$B$6)*$B$4)</x:f>
        <x:v>155000000.00000006</x:v>
      </x:c>
      <x:c r="C34" s="557" t="n">
        <x:f>IF(A34&gt;=1,"",IF(ABS(A34-$B$6)&lt;0.000001,$D$5,$D$6/B34))</x:f>
        <x:v>20.64258064516128</x:v>
      </x:c>
      <x:c r="D34" s="75" t="n">
        <x:f>IF(A34&gt;=1,"",B34*C34)</x:f>
        <x:v>3199600000</x:v>
      </x:c>
      <x:c r="E34" s="374" t="n">
        <x:f>IF(A34&gt;=1,"",C34/B34)</x:f>
        <x:v>1.3317793964620177e-7</x:v>
      </x:c>
      <x:c r="F34" s="374" t="n">
        <x:f>IF(ISNUMBER(E34),E34*$B$3/'币价'!$B$12,"")</x:f>
        <x:v>0.00010048418992325443</x:v>
      </x:c>
      <x:c r="G34" s="559" t="n">
        <x:f>IF(A34&gt;=1,"",E34*$B$4)</x:f>
        <x:v>133.17793964620176</x:v>
      </x:c>
      <x:c r="H34" s="562" t="n">
        <x:f>IF(A34&gt;=1,"",G34*$B$3)</x:f>
        <x:v>100400.18514047858</x:v>
      </x:c>
      <x:c r="I34" s="559" t="n">
        <x:f>IF(A34&gt;=1,"",C34-C33)</x:f>
        <x:v>0.6450806451612898</x:v>
      </x:c>
      <x:c r="J34" s="559" t="n">
        <x:f>IF(A34&gt;=1,"",I34*(1+$B$8))</x:f>
        <x:v>0.646693346774193</x:v>
      </x:c>
      <x:c r="K34" s="560" t="n">
        <x:f>IF(A34&gt;=1,"不可达",$B$5+(C34-$D$5)*(1+$B$8))</x:f>
        <x:v>20.814257760522477</x:v>
      </x:c>
    </x:row>
    <x:row r="35">
      <x:c r="A35" s="58" t="n">
        <x:v>0.85</x:v>
      </x:c>
      <x:c r="B35" s="64" t="n">
        <x:f>IF(A35&gt;=1,"",$D$4-(A35-$B$6)*$B$4)</x:f>
        <x:v>150000000.00000006</x:v>
      </x:c>
      <x:c r="C35" s="557" t="n">
        <x:f>IF(A35&gt;=1,"",IF(ABS(A35-$B$6)&lt;0.000001,$D$5,$D$6/B35))</x:f>
        <x:v>21.33066666666666</x:v>
      </x:c>
      <x:c r="D35" s="75" t="n">
        <x:f>IF(A35&gt;=1,"",B35*C35)</x:f>
        <x:v>3199600000</x:v>
      </x:c>
      <x:c r="E35" s="374" t="n">
        <x:f>IF(A35&gt;=1,"",C35/B35)</x:f>
        <x:v>1.4220444444444434e-7</x:v>
      </x:c>
      <x:c r="F35" s="374" t="n">
        <x:f>IF(ISNUMBER(E35),E35*$B$3/'币价'!$B$12,"")</x:f>
        <x:v>0.0001072947850180528</x:v>
      </x:c>
      <x:c r="G35" s="559" t="n">
        <x:f>IF(A35&gt;=1,"",E35*$B$4)</x:f>
        <x:v>142.20444444444433</x:v>
      </x:c>
      <x:c r="H35" s="562" t="n">
        <x:f>IF(A35&gt;=1,"",G35*$B$3)</x:f>
        <x:v>107205.08657777769</x:v>
      </x:c>
      <x:c r="I35" s="559" t="n">
        <x:f>IF(A35&gt;=1,"",C35-C34)</x:f>
        <x:v>0.6880860215053772</x:v>
      </x:c>
      <x:c r="J35" s="559" t="n">
        <x:f>IF(A35&gt;=1,"",I35*(1+$B$8))</x:f>
        <x:v>0.6898062365591406</x:v>
      </x:c>
      <x:c r="K35" s="560" t="n">
        <x:f>IF(A35&gt;=1,"不可达",$B$5+(C35-$D$5)*(1+$B$8))</x:f>
        <x:v>21.50406399708162</x:v>
      </x:c>
    </x:row>
    <x:row r="36">
      <x:c r="A36" s="58" t="n">
        <x:v>0.855</x:v>
      </x:c>
      <x:c r="B36" s="64" t="n">
        <x:f>IF(A36&gt;=1,"",$D$4-(A36-$B$6)*$B$4)</x:f>
        <x:v>145000000.00000006</x:v>
      </x:c>
      <x:c r="C36" s="557" t="n">
        <x:f>IF(A36&gt;=1,"",IF(ABS(A36-$B$6)&lt;0.000001,$D$5,$D$6/B36))</x:f>
        <x:v>22.066206896551716</x:v>
      </x:c>
      <x:c r="D36" s="75" t="n">
        <x:f>IF(A36&gt;=1,"",B36*C36)</x:f>
        <x:v>3199600000</x:v>
      </x:c>
      <x:c r="E36" s="374" t="n">
        <x:f>IF(A36&gt;=1,"",C36/B36)</x:f>
        <x:v>1.5218073721759798e-7</x:v>
      </x:c>
      <x:c r="F36" s="374" t="n">
        <x:f>IF(ISNUMBER(E36),E36*$B$3/'币价'!$B$12,"")</x:f>
        <x:v>0.00011482200537009215</x:v>
      </x:c>
      <x:c r="G36" s="559" t="n">
        <x:f>IF(A36&gt;=1,"",E36*$B$4)</x:f>
        <x:v>152.18073721759797</x:v>
      </x:c>
      <x:c r="H36" s="562" t="n">
        <x:f>IF(A36&gt;=1,"",G36*$B$3)</x:f>
        <x:v>114726.01417360276</x:v>
      </x:c>
      <x:c r="I36" s="559" t="n">
        <x:f>IF(A36&gt;=1,"",C36-C35)</x:f>
        <x:v>0.7355402298850571</x:v>
      </x:c>
      <x:c r="J36" s="559" t="n">
        <x:f>IF(A36&gt;=1,"",I36*(1+$B$8))</x:f>
        <x:v>0.7373790804597696</x:v>
      </x:c>
      <x:c r="K36" s="560" t="n">
        <x:f>IF(A36&gt;=1,"不可达",$B$5+(C36-$D$5)*(1+$B$8))</x:f>
        <x:v>22.241443077541387</x:v>
      </x:c>
    </x:row>
    <x:row r="37">
      <x:c r="A37" s="58" t="n">
        <x:v>0.86</x:v>
      </x:c>
      <x:c r="B37" s="64" t="n">
        <x:f>IF(A37&gt;=1,"",$D$4-(A37-$B$6)*$B$4)</x:f>
        <x:v>140000000.00000006</x:v>
      </x:c>
      <x:c r="C37" s="557" t="n">
        <x:f>IF(A37&gt;=1,"",IF(ABS(A37-$B$6)&lt;0.000001,$D$5,$D$6/B37))</x:f>
        <x:v>22.854285714285705</x:v>
      </x:c>
      <x:c r="D37" s="75" t="n">
        <x:f>IF(A37&gt;=1,"",B37*C37)</x:f>
        <x:v>3199600000</x:v>
      </x:c>
      <x:c r="E37" s="374" t="n">
        <x:f>IF(A37&gt;=1,"",C37/B37)</x:f>
        <x:v>1.6324489795918355e-7</x:v>
      </x:c>
      <x:c r="F37" s="374" t="n">
        <x:f>IF(ISNUMBER(E37),E37*$B$3/'币价'!$B$12,"")</x:f>
        <x:v>0.0001231700338217443</x:v>
      </x:c>
      <x:c r="G37" s="559" t="n">
        <x:f>IF(A37&gt;=1,"",E37*$B$4)</x:f>
        <x:v>163.24489795918356</x:v>
      </x:c>
      <x:c r="H37" s="562" t="n">
        <x:f>IF(A37&gt;=1,"",G37*$B$3)</x:f>
        <x:v>123067.0636734693</x:v>
      </x:c>
      <x:c r="I37" s="559" t="n">
        <x:f>IF(A37&gt;=1,"",C37-C36)</x:f>
        <x:v>0.7880788177339895</x:v>
      </x:c>
      <x:c r="J37" s="559" t="n">
        <x:f>IF(A37&gt;=1,"",I37*(1+$B$8))</x:f>
        <x:v>0.7900490147783245</x:v>
      </x:c>
      <x:c r="K37" s="560" t="n">
        <x:f>IF(A37&gt;=1,"不可达",$B$5+(C37-$D$5)*(1+$B$8))</x:f>
        <x:v>23.031492092319713</x:v>
      </x:c>
    </x:row>
    <x:row r="38">
      <x:c r="A38" s="58" t="n">
        <x:v>0.865</x:v>
      </x:c>
      <x:c r="B38" s="64" t="n">
        <x:f>IF(A38&gt;=1,"",$D$4-(A38-$B$6)*$B$4)</x:f>
        <x:v>135000000.00000006</x:v>
      </x:c>
      <x:c r="C38" s="557" t="n">
        <x:f>IF(A38&gt;=1,"",IF(ABS(A38-$B$6)&lt;0.000001,$D$5,$D$6/B38))</x:f>
        <x:v>23.70074074074073</x:v>
      </x:c>
      <x:c r="D38" s="75" t="n">
        <x:f>IF(A38&gt;=1,"",B38*C38)</x:f>
        <x:v>3199600000</x:v>
      </x:c>
      <x:c r="E38" s="374" t="n">
        <x:f>IF(A38&gt;=1,"",C38/B38)</x:f>
        <x:v>1.7556104252400533e-7</x:v>
      </x:c>
      <x:c r="F38" s="374" t="n">
        <x:f>IF(ISNUMBER(E38),E38*$B$3/'币价'!$B$12,"")</x:f>
        <x:v>0.00013246269755315155</x:v>
      </x:c>
      <x:c r="G38" s="559" t="n">
        <x:f>IF(A38&gt;=1,"",E38*$B$4)</x:f>
        <x:v>175.56104252400533</x:v>
      </x:c>
      <x:c r="H38" s="562" t="n">
        <x:f>IF(A38&gt;=1,"",G38*$B$3)</x:f>
        <x:v>132351.95873799713</x:v>
      </x:c>
      <x:c r="I38" s="559" t="n">
        <x:f>IF(A38&gt;=1,"",C38-C37)</x:f>
        <x:v>0.8464550264550255</x:v>
      </x:c>
      <x:c r="J38" s="559" t="n">
        <x:f>IF(A38&gt;=1,"",I38*(1+$B$8))</x:f>
        <x:v>0.848571164021163</x:v>
      </x:c>
      <x:c r="K38" s="560" t="n">
        <x:f>IF(A38&gt;=1,"不可达",$B$5+(C38-$D$5)*(1+$B$8))</x:f>
        <x:v>23.880063256340875</x:v>
      </x:c>
    </x:row>
    <x:row r="39">
      <x:c r="A39" s="58" t="n">
        <x:v>0.87</x:v>
      </x:c>
      <x:c r="B39" s="64" t="n">
        <x:f>IF(A39&gt;=1,"",$D$4-(A39-$B$6)*$B$4)</x:f>
        <x:v>130000000.00000004</x:v>
      </x:c>
      <x:c r="C39" s="557" t="n">
        <x:f>IF(A39&gt;=1,"",IF(ABS(A39-$B$6)&lt;0.000001,$D$5,$D$6/B39))</x:f>
        <x:v>24.612307692307684</x:v>
      </x:c>
      <x:c r="D39" s="75" t="n">
        <x:f>IF(A39&gt;=1,"",B39*C39)</x:f>
        <x:v>3199600000</x:v>
      </x:c>
      <x:c r="E39" s="374" t="n">
        <x:f>IF(A39&gt;=1,"",C39/B39)</x:f>
        <x:v>1.8932544378698212e-7</x:v>
      </x:c>
      <x:c r="F39" s="374" t="n">
        <x:f>IF(ISNUMBER(E39),E39*$B$3/'币价'!$B$12,"")</x:f>
        <x:v>0.00014284808656249632</x:v>
      </x:c>
      <x:c r="G39" s="559" t="n">
        <x:f>IF(A39&gt;=1,"",E39*$B$4)</x:f>
        <x:v>189.32544378698213</x:v>
      </x:c>
      <x:c r="H39" s="562" t="n">
        <x:f>IF(A39&gt;=1,"",G39*$B$3)</x:f>
        <x:v>142728.6655621301</x:v>
      </x:c>
      <x:c r="I39" s="559" t="n">
        <x:f>IF(A39&gt;=1,"",C39-C38)</x:f>
        <x:v>0.9115669515669538</x:v>
      </x:c>
      <x:c r="J39" s="559" t="n">
        <x:f>IF(A39&gt;=1,"",I39*(1+$B$8))</x:f>
        <x:v>0.9138458689458712</x:v>
      </x:c>
      <x:c r="K39" s="560" t="n">
        <x:f>IF(A39&gt;=1,"不可达",$B$5+(C39-$D$5)*(1+$B$8))</x:f>
        <x:v>24.793909125286746</x:v>
      </x:c>
    </x:row>
    <x:row r="40">
      <x:c r="A40" s="58" t="n">
        <x:v>0.875</x:v>
      </x:c>
      <x:c r="B40" s="64" t="n">
        <x:f>IF(A40&gt;=1,"",$D$4-(A40-$B$6)*$B$4)</x:f>
        <x:v>125000000.00000004</x:v>
      </x:c>
      <x:c r="C40" s="557" t="n">
        <x:f>IF(A40&gt;=1,"",IF(ABS(A40-$B$6)&lt;0.000001,$D$5,$D$6/B40))</x:f>
        <x:v>25.59679999999999</x:v>
      </x:c>
      <x:c r="D40" s="75" t="n">
        <x:f>IF(A40&gt;=1,"",B40*C40)</x:f>
        <x:v>3199600000</x:v>
      </x:c>
      <x:c r="E40" s="374" t="n">
        <x:f>IF(A40&gt;=1,"",C40/B40)</x:f>
        <x:v>2.0477439999999987e-7</x:v>
      </x:c>
      <x:c r="F40" s="374" t="n">
        <x:f>IF(ISNUMBER(E40),E40*$B$3/'币价'!$B$12,"")</x:f>
        <x:v>0.000154504490425996</x:v>
      </x:c>
      <x:c r="G40" s="559" t="n">
        <x:f>IF(A40&gt;=1,"",E40*$B$4)</x:f>
        <x:v>204.77439999999987</x:v>
      </x:c>
      <x:c r="H40" s="562" t="n">
        <x:f>IF(A40&gt;=1,"",G40*$B$3)</x:f>
        <x:v>154375.3246719999</x:v>
      </x:c>
      <x:c r="I40" s="559" t="n">
        <x:f>IF(A40&gt;=1,"",C40-C39)</x:f>
        <x:v>0.9844923076923067</x:v>
      </x:c>
      <x:c r="J40" s="559" t="n">
        <x:f>IF(A40&gt;=1,"",I40*(1+$B$8))</x:f>
        <x:v>0.9869535384615373</x:v>
      </x:c>
      <x:c r="K40" s="560" t="n">
        <x:f>IF(A40&gt;=1,"不可达",$B$5+(C40-$D$5)*(1+$B$8))</x:f>
        <x:v>25.780862663748284</x:v>
      </x:c>
    </x:row>
    <x:row r="41">
      <x:c r="A41" s="58" t="n">
        <x:v>0.88</x:v>
      </x:c>
      <x:c r="B41" s="64" t="n">
        <x:f>IF(A41&gt;=1,"",$D$4-(A41-$B$6)*$B$4)</x:f>
        <x:v>120000000.00000004</x:v>
      </x:c>
      <x:c r="C41" s="557" t="n">
        <x:f>IF(A41&gt;=1,"",IF(ABS(A41-$B$6)&lt;0.000001,$D$5,$D$6/B41))</x:f>
        <x:v>26.663333333333323</x:v>
      </x:c>
      <x:c r="D41" s="75" t="n">
        <x:f>IF(A41&gt;=1,"",B41*C41)</x:f>
        <x:v>3199600000</x:v>
      </x:c>
      <x:c r="E41" s="374" t="n">
        <x:f>IF(A41&gt;=1,"",C41/B41)</x:f>
        <x:v>2.2219444444444428e-7</x:v>
      </x:c>
      <x:c r="F41" s="374" t="n">
        <x:f>IF(ISNUMBER(E41),E41*$B$3/'币价'!$B$12,"")</x:f>
        <x:v>0.00016764810159070748</x:v>
      </x:c>
      <x:c r="G41" s="559" t="n">
        <x:f>IF(A41&gt;=1,"",E41*$B$4)</x:f>
        <x:v>222.1944444444443</x:v>
      </x:c>
      <x:c r="H41" s="562" t="n">
        <x:f>IF(A41&gt;=1,"",G41*$B$3)</x:f>
        <x:v>167507.94777777765</x:v>
      </x:c>
      <x:c r="I41" s="559" t="n">
        <x:f>IF(A41&gt;=1,"",C41-C40)</x:f>
        <x:v>1.0665333333333322</x:v>
      </x:c>
      <x:c r="J41" s="559" t="n">
        <x:f>IF(A41&gt;=1,"",I41*(1+$B$8))</x:f>
        <x:v>1.0691996666666654</x:v>
      </x:c>
      <x:c r="K41" s="560" t="n">
        <x:f>IF(A41&gt;=1,"不可达",$B$5+(C41-$D$5)*(1+$B$8))</x:f>
        <x:v>26.85006233041495</x:v>
      </x:c>
    </x:row>
    <x:row r="42">
      <x:c r="A42" s="58" t="n">
        <x:v>0.885</x:v>
      </x:c>
      <x:c r="B42" s="64" t="n">
        <x:f>IF(A42&gt;=1,"",$D$4-(A42-$B$6)*$B$4)</x:f>
        <x:v>115000000.00000003</x:v>
      </x:c>
      <x:c r="C42" s="557" t="n">
        <x:f>IF(A42&gt;=1,"",IF(ABS(A42-$B$6)&lt;0.000001,$D$5,$D$6/B42))</x:f>
        <x:v>27.822608695652168</x:v>
      </x:c>
      <x:c r="D42" s="75" t="n">
        <x:f>IF(A42&gt;=1,"",B42*C42)</x:f>
        <x:v>3199600000</x:v>
      </x:c>
      <x:c r="E42" s="374" t="n">
        <x:f>IF(A42&gt;=1,"",C42/B42)</x:f>
        <x:v>2.4193572778827964e-7</x:v>
      </x:c>
      <x:c r="F42" s="374" t="n">
        <x:f>IF(ISNUMBER(E42),E42*$B$3/'币价'!$B$12,"")</x:f>
        <x:v>0.00018254311250708415</x:v>
      </x:c>
      <x:c r="G42" s="559" t="n">
        <x:f>IF(A42&gt;=1,"",E42*$B$4)</x:f>
        <x:v>241.93572778827965</x:v>
      </x:c>
      <x:c r="H42" s="562" t="n">
        <x:f>IF(A42&gt;=1,"",G42*$B$3)</x:f>
        <x:v>182390.50646502827</x:v>
      </x:c>
      <x:c r="I42" s="559" t="n">
        <x:f>IF(A42&gt;=1,"",C42-C41)</x:f>
        <x:v>1.1592753623188443</x:v>
      </x:c>
      <x:c r="J42" s="559" t="n">
        <x:f>IF(A42&gt;=1,"",I42*(1+$B$8))</x:f>
        <x:v>1.1621735507246413</x:v>
      </x:c>
      <x:c r="K42" s="560" t="n">
        <x:f>IF(A42&gt;=1,"不可达",$B$5+(C42-$D$5)*(1+$B$8))</x:f>
        <x:v>28.01223588113959</x:v>
      </x:c>
    </x:row>
    <x:row r="43">
      <x:c r="A43" s="58" t="n">
        <x:v>0.89</x:v>
      </x:c>
      <x:c r="B43" s="64" t="n">
        <x:f>IF(A43&gt;=1,"",$D$4-(A43-$B$6)*$B$4)</x:f>
        <x:v>110000000.00000003</x:v>
      </x:c>
      <x:c r="C43" s="557" t="n">
        <x:f>IF(A43&gt;=1,"",IF(ABS(A43-$B$6)&lt;0.000001,$D$5,$D$6/B43))</x:f>
        <x:v>29.08727272727272</x:v>
      </x:c>
      <x:c r="D43" s="75" t="n">
        <x:f>IF(A43&gt;=1,"",B43*C43)</x:f>
        <x:v>3199600000</x:v>
      </x:c>
      <x:c r="E43" s="374" t="n">
        <x:f>IF(A43&gt;=1,"",C43/B43)</x:f>
        <x:v>2.6442975206611557e-7</x:v>
      </x:c>
      <x:c r="F43" s="374" t="n">
        <x:f>IF(ISNUMBER(E43),E43*$B$3/'币价'!$B$12,"")</x:f>
        <x:v>0.00019951509610794944</x:v>
      </x:c>
      <x:c r="G43" s="559" t="n">
        <x:f>IF(A43&gt;=1,"",E43*$B$4)</x:f>
        <x:v>264.42975206611555</x:v>
      </x:c>
      <x:c r="H43" s="562" t="n">
        <x:f>IF(A43&gt;=1,"",G43*$B$3)</x:f>
        <x:v>199348.3014876032</x:v>
      </x:c>
      <x:c r="I43" s="559" t="n">
        <x:f>IF(A43&gt;=1,"",C43-C42)</x:f>
        <x:v>1.2646640316205513</x:v>
      </x:c>
      <x:c r="J43" s="559" t="n">
        <x:f>IF(A43&gt;=1,"",I43*(1+$B$8))</x:f>
        <x:v>1.2678256916996027</x:v>
      </x:c>
      <x:c r="K43" s="560" t="n">
        <x:f>IF(A43&gt;=1,"不可达",$B$5+(C43-$D$5)*(1+$B$8))</x:f>
        <x:v>29.280061572839195</x:v>
      </x:c>
    </x:row>
    <x:row r="44">
      <x:c r="A44" s="58" t="n">
        <x:v>0.895</x:v>
      </x:c>
      <x:c r="B44" s="64" t="n">
        <x:f>IF(A44&gt;=1,"",$D$4-(A44-$B$6)*$B$4)</x:f>
        <x:v>105000000.00000003</x:v>
      </x:c>
      <x:c r="C44" s="557" t="n">
        <x:f>IF(A44&gt;=1,"",IF(ABS(A44-$B$6)&lt;0.000001,$D$5,$D$6/B44))</x:f>
        <x:v>30.472380952380945</x:v>
      </x:c>
      <x:c r="D44" s="75" t="n">
        <x:f>IF(A44&gt;=1,"",B44*C44)</x:f>
        <x:v>3199600000</x:v>
      </x:c>
      <x:c r="E44" s="374" t="n">
        <x:f>IF(A44&gt;=1,"",C44/B44)</x:f>
        <x:v>2.902131519274375e-7</x:v>
      </x:c>
      <x:c r="F44" s="374" t="n">
        <x:f>IF(ISNUMBER(E44),E44*$B$3/'币价'!$B$12,"")</x:f>
        <x:v>0.0002189689490164343</x:v>
      </x:c>
      <x:c r="G44" s="559" t="n">
        <x:f>IF(A44&gt;=1,"",E44*$B$4)</x:f>
        <x:v>290.2131519274375</x:v>
      </x:c>
      <x:c r="H44" s="562" t="n">
        <x:f>IF(A44&gt;=1,"",G44*$B$3)</x:f>
        <x:v>218785.89097505657</x:v>
      </x:c>
      <x:c r="I44" s="559" t="n">
        <x:f>IF(A44&gt;=1,"",C44-C43)</x:f>
        <x:v>1.385108225108226</x:v>
      </x:c>
      <x:c r="J44" s="559" t="n">
        <x:f>IF(A44&gt;=1,"",I44*(1+$B$8))</x:f>
        <x:v>1.3885709956709966</x:v>
      </x:c>
      <x:c r="K44" s="560" t="n">
        <x:f>IF(A44&gt;=1,"不可达",$B$5+(C44-$D$5)*(1+$B$8))</x:f>
        <x:v>30.66863256851019</x:v>
      </x:c>
    </x:row>
    <x:row r="45">
      <x:c r="A45" s="58" t="n">
        <x:v>0.9</x:v>
      </x:c>
      <x:c r="B45" s="64" t="n">
        <x:f>IF(A45&gt;=1,"",$D$4-(A45-$B$6)*$B$4)</x:f>
        <x:v>100000000.00000001</x:v>
      </x:c>
      <x:c r="C45" s="557" t="n">
        <x:f>IF(A45&gt;=1,"",IF(ABS(A45-$B$6)&lt;0.000001,$D$5,$D$6/B45))</x:f>
        <x:v>31.995999999999995</x:v>
      </x:c>
      <x:c r="D45" s="75" t="n">
        <x:f>IF(A45&gt;=1,"",B45*C45)</x:f>
        <x:v>3199600000</x:v>
      </x:c>
      <x:c r="E45" s="374" t="n">
        <x:f>IF(A45&gt;=1,"",C45/B45)</x:f>
        <x:v>3.199599999999999e-7</x:v>
      </x:c>
      <x:c r="F45" s="374" t="n">
        <x:f>IF(ISNUMBER(E45),E45*$B$3/'币价'!$B$12,"")</x:f>
        <x:v>0.00024141326629061887</x:v>
      </x:c>
      <x:c r="G45" s="559" t="n">
        <x:f>IF(A45&gt;=1,"",E45*$B$4)</x:f>
        <x:v>319.9599999999999</x:v>
      </x:c>
      <x:c r="H45" s="562" t="n">
        <x:f>IF(A45&gt;=1,"",G45*$B$3)</x:f>
        <x:v>241211.44479999994</x:v>
      </x:c>
      <x:c r="I45" s="559" t="n">
        <x:f>IF(A45&gt;=1,"",C45-C44)</x:f>
        <x:v>1.52361904761905</x:v>
      </x:c>
      <x:c r="J45" s="559" t="n">
        <x:f>IF(A45&gt;=1,"",I45*(1+$B$8))</x:f>
        <x:v>1.5274280952380976</x:v>
      </x:c>
      <x:c r="K45" s="560" t="n">
        <x:f>IF(A45&gt;=1,"不可达",$B$5+(C45-$D$5)*(1+$B$8))</x:f>
        <x:v>32.196060663748284</x:v>
      </x:c>
    </x:row>
    <x:row r="46">
      <x:c r="A46" s="58" t="n">
        <x:v>0.905</x:v>
      </x:c>
      <x:c r="B46" s="64" t="n">
        <x:f>IF(A46&gt;=1,"",$D$4-(A46-$B$6)*$B$4)</x:f>
        <x:v>95000000.00000001</x:v>
      </x:c>
      <x:c r="C46" s="557" t="n">
        <x:f>IF(A46&gt;=1,"",IF(ABS(A46-$B$6)&lt;0.000001,$D$5,$D$6/B46))</x:f>
        <x:v>33.67999999999999</x:v>
      </x:c>
      <x:c r="D46" s="75" t="n">
        <x:f>IF(A46&gt;=1,"",B46*C46)</x:f>
        <x:v>3199600000</x:v>
      </x:c>
      <x:c r="E46" s="374" t="n">
        <x:f>IF(A46&gt;=1,"",C46/B46)</x:f>
        <x:v>3.545263157894736e-7</x:v>
      </x:c>
      <x:c r="F46" s="374" t="n">
        <x:f>IF(ISNUMBER(E46),E46*$B$3/'币价'!$B$12,"")</x:f>
        <x:v>0.00026749392386772174</x:v>
      </x:c>
      <x:c r="G46" s="559" t="n">
        <x:f>IF(A46&gt;=1,"",E46*$B$4)</x:f>
        <x:v>354.5263157894736</x:v>
      </x:c>
      <x:c r="H46" s="562" t="n">
        <x:f>IF(A46&gt;=1,"",G46*$B$3)</x:f>
        <x:v>267270.29894736834</x:v>
      </x:c>
      <x:c r="I46" s="559" t="n">
        <x:f>IF(A46&gt;=1,"",C46-C45)</x:f>
        <x:v>1.6839999999999975</x:v>
      </x:c>
      <x:c r="J46" s="559" t="n">
        <x:f>IF(A46&gt;=1,"",I46*(1+$B$8))</x:f>
        <x:v>1.6882099999999973</x:v>
      </x:c>
      <x:c r="K46" s="560" t="n">
        <x:f>IF(A46&gt;=1,"不可达",$B$5+(C46-$D$5)*(1+$B$8))</x:f>
        <x:v>33.88427066374828</x:v>
      </x:c>
    </x:row>
    <x:row r="47">
      <x:c r="A47" s="58" t="n">
        <x:v>0.91</x:v>
      </x:c>
      <x:c r="B47" s="64" t="n">
        <x:f>IF(A47&gt;=1,"",$D$4-(A47-$B$6)*$B$4)</x:f>
        <x:v>90000000.00000001</x:v>
      </x:c>
      <x:c r="C47" s="557" t="n">
        <x:f>IF(A47&gt;=1,"",IF(ABS(A47-$B$6)&lt;0.000001,$D$5,$D$6/B47))</x:f>
        <x:v>35.551111111111105</x:v>
      </x:c>
      <x:c r="D47" s="75" t="n">
        <x:f>IF(A47&gt;=1,"",B47*C47)</x:f>
        <x:v>3199600000</x:v>
      </x:c>
      <x:c r="E47" s="374" t="n">
        <x:f>IF(A47&gt;=1,"",C47/B47)</x:f>
        <x:v>3.9501234567901223e-7</x:v>
      </x:c>
      <x:c r="F47" s="374" t="n">
        <x:f>IF(ISNUMBER(E47),E47*$B$3/'币价'!$B$12,"")</x:f>
        <x:v>0.0002980410694945912</x:v>
      </x:c>
      <x:c r="G47" s="559" t="n">
        <x:f>IF(A47&gt;=1,"",E47*$B$4)</x:f>
        <x:v>395.01234567901224</x:v>
      </x:c>
      <x:c r="H47" s="562" t="n">
        <x:f>IF(A47&gt;=1,"",G47*$B$3)</x:f>
        <x:v>297791.9071604937</x:v>
      </x:c>
      <x:c r="I47" s="559" t="n">
        <x:f>IF(A47&gt;=1,"",C47-C46)</x:f>
        <x:v>1.8711111111111123</x:v>
      </x:c>
      <x:c r="J47" s="559" t="n">
        <x:f>IF(A47&gt;=1,"",I47*(1+$B$8))</x:f>
        <x:v>1.87578888888889</x:v>
      </x:c>
      <x:c r="K47" s="560" t="n">
        <x:f>IF(A47&gt;=1,"不可达",$B$5+(C47-$D$5)*(1+$B$8))</x:f>
        <x:v>35.76005955263717</x:v>
      </x:c>
    </x:row>
    <x:row r="48">
      <x:c r="A48" s="58" t="n">
        <x:v>0.915</x:v>
      </x:c>
      <x:c r="B48" s="64" t="n">
        <x:f>IF(A48&gt;=1,"",$D$4-(A48-$B$6)*$B$4)</x:f>
        <x:v>85000000.00000001</x:v>
      </x:c>
      <x:c r="C48" s="557" t="n">
        <x:f>IF(A48&gt;=1,"",IF(ABS(A48-$B$6)&lt;0.000001,$D$5,$D$6/B48))</x:f>
        <x:v>37.64235294117646</x:v>
      </x:c>
      <x:c r="D48" s="75" t="n">
        <x:f>IF(A48&gt;=1,"",B48*C48)</x:f>
        <x:v>3199600000</x:v>
      </x:c>
      <x:c r="E48" s="374" t="n">
        <x:f>IF(A48&gt;=1,"",C48/B48)</x:f>
        <x:v>4.428512110726642e-7</x:v>
      </x:c>
      <x:c r="F48" s="374" t="n">
        <x:f>IF(ISNUMBER(E48),E48*$B$3/'币价'!$B$12,"")</x:f>
        <x:v>0.00033413600870673885</x:v>
      </x:c>
      <x:c r="G48" s="559" t="n">
        <x:f>IF(A48&gt;=1,"",E48*$B$4)</x:f>
        <x:v>442.85121107266417</x:v>
      </x:c>
      <x:c r="H48" s="562" t="n">
        <x:f>IF(A48&gt;=1,"",G48*$B$3)</x:f>
        <x:v>333856.67100346007</x:v>
      </x:c>
      <x:c r="I48" s="559" t="n">
        <x:f>IF(A48&gt;=1,"",C48-C47)</x:f>
        <x:v>2.091241830065357</x:v>
      </x:c>
      <x:c r="J48" s="559" t="n">
        <x:f>IF(A48&gt;=1,"",I48*(1+$B$8))</x:f>
        <x:v>2.0964699346405204</x:v>
      </x:c>
      <x:c r="K48" s="560" t="n">
        <x:f>IF(A48&gt;=1,"不可达",$B$5+(C48-$D$5)*(1+$B$8))</x:f>
        <x:v>37.8565294872777</x:v>
      </x:c>
    </x:row>
    <x:row r="49">
      <x:c r="A49" s="58" t="n">
        <x:v>0.92</x:v>
      </x:c>
      <x:c r="B49" s="64" t="n">
        <x:f>IF(A49&gt;=1,"",$D$4-(A49-$B$6)*$B$4)</x:f>
        <x:v>80000000</x:v>
      </x:c>
      <x:c r="C49" s="557" t="n">
        <x:f>IF(A49&gt;=1,"",IF(ABS(A49-$B$6)&lt;0.000001,$D$5,$D$6/B49))</x:f>
        <x:v>39.995</x:v>
      </x:c>
      <x:c r="D49" s="75" t="n">
        <x:f>IF(A49&gt;=1,"",B49*C49)</x:f>
        <x:v>3199600000</x:v>
      </x:c>
      <x:c r="E49" s="374" t="n">
        <x:f>IF(A49&gt;=1,"",C49/B49)</x:f>
        <x:v>4.999374999999999e-7</x:v>
      </x:c>
      <x:c r="F49" s="374" t="n">
        <x:f>IF(ISNUMBER(E49),E49*$B$3/'币价'!$B$12,"")</x:f>
        <x:v>0.0003772082285790921</x:v>
      </x:c>
      <x:c r="G49" s="559" t="n">
        <x:f>IF(A49&gt;=1,"",E49*$B$4)</x:f>
        <x:v>499.93749999999994</x:v>
      </x:c>
      <x:c r="H49" s="562" t="n">
        <x:f>IF(A49&gt;=1,"",G49*$B$3)</x:f>
        <x:v>376892.88249999995</x:v>
      </x:c>
      <x:c r="I49" s="559" t="n">
        <x:f>IF(A49&gt;=1,"",C49-C48)</x:f>
        <x:v>2.3526470588235355</x:v>
      </x:c>
      <x:c r="J49" s="559" t="n">
        <x:f>IF(A49&gt;=1,"",I49*(1+$B$8))</x:f>
        <x:v>2.3585286764705944</x:v>
      </x:c>
      <x:c r="K49" s="560" t="n">
        <x:f>IF(A49&gt;=1,"不可达",$B$5+(C49-$D$5)*(1+$B$8))</x:f>
        <x:v>40.215058163748296</x:v>
      </x:c>
    </x:row>
    <x:row r="50">
      <x:c r="A50" s="58" t="n">
        <x:v>0.925</x:v>
      </x:c>
      <x:c r="B50" s="64" t="n">
        <x:f>IF(A50&gt;=1,"",$D$4-(A50-$B$6)*$B$4)</x:f>
        <x:v>75000000</x:v>
      </x:c>
      <x:c r="C50" s="557" t="n">
        <x:f>IF(A50&gt;=1,"",IF(ABS(A50-$B$6)&lt;0.000001,$D$5,$D$6/B50))</x:f>
        <x:v>42.66133333333333</x:v>
      </x:c>
      <x:c r="D50" s="75" t="n">
        <x:f>IF(A50&gt;=1,"",B50*C50)</x:f>
        <x:v>3199600000</x:v>
      </x:c>
      <x:c r="E50" s="374" t="n">
        <x:f>IF(A50&gt;=1,"",C50/B50)</x:f>
        <x:v>5.688177777777778e-7</x:v>
      </x:c>
      <x:c r="F50" s="374" t="n">
        <x:f>IF(ISNUMBER(E50),E50*$B$3/'币价'!$B$12,"")</x:f>
        <x:v>0.0004291791400722115</x:v>
      </x:c>
      <x:c r="G50" s="559" t="n">
        <x:f>IF(A50&gt;=1,"",E50*$B$4)</x:f>
        <x:v>568.8177777777778</x:v>
      </x:c>
      <x:c r="H50" s="562" t="n">
        <x:f>IF(A50&gt;=1,"",G50*$B$3)</x:f>
        <x:v>428820.3463111111</x:v>
      </x:c>
      <x:c r="I50" s="559" t="n">
        <x:f>IF(A50&gt;=1,"",C50-C49)</x:f>
        <x:v>2.666333333333334</x:v>
      </x:c>
      <x:c r="J50" s="559" t="n">
        <x:f>IF(A50&gt;=1,"",I50*(1+$B$8))</x:f>
        <x:v>2.6729991666666675</x:v>
      </x:c>
      <x:c r="K50" s="560" t="n">
        <x:f>IF(A50&gt;=1,"不可达",$B$5+(C50-$D$5)*(1+$B$8))</x:f>
        <x:v>42.88805733041496</x:v>
      </x:c>
    </x:row>
    <x:row r="51">
      <x:c r="A51" s="58" t="n">
        <x:v>0.93</x:v>
      </x:c>
      <x:c r="B51" s="64" t="n">
        <x:f>IF(A51&gt;=1,"",$D$4-(A51-$B$6)*$B$4)</x:f>
        <x:v>70000000</x:v>
      </x:c>
      <x:c r="C51" s="557" t="n">
        <x:f>IF(A51&gt;=1,"",IF(ABS(A51-$B$6)&lt;0.000001,$D$5,$D$6/B51))</x:f>
        <x:v>45.70857142857143</x:v>
      </x:c>
      <x:c r="D51" s="75" t="n">
        <x:f>IF(A51&gt;=1,"",B51*C51)</x:f>
        <x:v>3199600000</x:v>
      </x:c>
      <x:c r="E51" s="374" t="n">
        <x:f>IF(A51&gt;=1,"",C51/B51)</x:f>
        <x:v>6.529795918367347e-7</x:v>
      </x:c>
      <x:c r="F51" s="374" t="n">
        <x:f>IF(ISNUMBER(E51),E51*$B$3/'币价'!$B$12,"")</x:f>
        <x:v>0.0004926801352869775</x:v>
      </x:c>
      <x:c r="G51" s="559" t="n">
        <x:f>IF(A51&gt;=1,"",E51*$B$4)</x:f>
        <x:v>652.9795918367347</x:v>
      </x:c>
      <x:c r="H51" s="562" t="n">
        <x:f>IF(A51&gt;=1,"",G51*$B$3)</x:f>
        <x:v>492268.25469387753</x:v>
      </x:c>
      <x:c r="I51" s="559" t="n">
        <x:f>IF(A51&gt;=1,"",C51-C50)</x:f>
        <x:v>3.0472380952381</x:v>
      </x:c>
      <x:c r="J51" s="559" t="n">
        <x:f>IF(A51&gt;=1,"",I51*(1+$B$8))</x:f>
        <x:v>3.0548561904761953</x:v>
      </x:c>
      <x:c r="K51" s="560" t="n">
        <x:f>IF(A51&gt;=1,"不可达",$B$5+(C51-$D$5)*(1+$B$8))</x:f>
        <x:v>45.94291352089115</x:v>
      </x:c>
    </x:row>
    <x:row r="52">
      <x:c r="A52" s="58" t="n">
        <x:v>0.935</x:v>
      </x:c>
      <x:c r="B52" s="64" t="n">
        <x:f>IF(A52&gt;=1,"",$D$4-(A52-$B$6)*$B$4)</x:f>
        <x:v>65000000</x:v>
      </x:c>
      <x:c r="C52" s="557" t="n">
        <x:f>IF(A52&gt;=1,"",IF(ABS(A52-$B$6)&lt;0.000001,$D$5,$D$6/B52))</x:f>
        <x:v>49.22461538461538</x:v>
      </x:c>
      <x:c r="D52" s="75" t="n">
        <x:f>IF(A52&gt;=1,"",B52*C52)</x:f>
        <x:v>3199600000</x:v>
      </x:c>
      <x:c r="E52" s="374" t="n">
        <x:f>IF(A52&gt;=1,"",C52/B52)</x:f>
        <x:v>7.573017751479289e-7</x:v>
      </x:c>
      <x:c r="F52" s="374" t="n">
        <x:f>IF(ISNUMBER(E52),E52*$B$3/'币价'!$B$12,"")</x:f>
        <x:v>0.0005713923462499856</x:v>
      </x:c>
      <x:c r="G52" s="559" t="n">
        <x:f>IF(A52&gt;=1,"",E52*$B$4)</x:f>
        <x:v>757.3017751479289</x:v>
      </x:c>
      <x:c r="H52" s="562" t="n">
        <x:f>IF(A52&gt;=1,"",G52*$B$3)</x:f>
        <x:v>570914.6622485206</x:v>
      </x:c>
      <x:c r="I52" s="559" t="n">
        <x:f>IF(A52&gt;=1,"",C52-C51)</x:f>
        <x:v>3.5160439560439514</x:v>
      </x:c>
      <x:c r="J52" s="559" t="n">
        <x:f>IF(A52&gt;=1,"",I52*(1+$B$8))</x:f>
        <x:v>3.524834065934061</x:v>
      </x:c>
      <x:c r="K52" s="560" t="n">
        <x:f>IF(A52&gt;=1,"不可达",$B$5+(C52-$D$5)*(1+$B$8))</x:f>
        <x:v>49.46774758682521</x:v>
      </x:c>
    </x:row>
    <x:row r="53">
      <x:c r="A53" s="58" t="n">
        <x:v>0.94</x:v>
      </x:c>
      <x:c r="B53" s="64" t="n">
        <x:f>IF(A53&gt;=1,"",$D$4-(A53-$B$6)*$B$4)</x:f>
        <x:v>60000000.00000009</x:v>
      </x:c>
      <x:c r="C53" s="557" t="n">
        <x:f>IF(A53&gt;=1,"",IF(ABS(A53-$B$6)&lt;0.000001,$D$5,$D$6/B53))</x:f>
        <x:v>53.32666666666659</x:v>
      </x:c>
      <x:c r="D53" s="75" t="n">
        <x:f>IF(A53&gt;=1,"",B53*C53)</x:f>
        <x:v>3199600000</x:v>
      </x:c>
      <x:c r="E53" s="374" t="n">
        <x:f>IF(A53&gt;=1,"",C53/B53)</x:f>
        <x:v>8.887777777777752e-7</x:v>
      </x:c>
      <x:c r="F53" s="374" t="n">
        <x:f>IF(ISNUMBER(E53),E53*$B$3/'币价'!$B$12,"")</x:f>
        <x:v>0.0006705924063628285</x:v>
      </x:c>
      <x:c r="G53" s="559" t="n">
        <x:f>IF(A53&gt;=1,"",E53*$B$4)</x:f>
        <x:v>888.7777777777752</x:v>
      </x:c>
      <x:c r="H53" s="562" t="n">
        <x:f>IF(A53&gt;=1,"",G53*$B$3)</x:f>
        <x:v>670031.7911111092</x:v>
      </x:c>
      <x:c r="I53" s="559" t="n">
        <x:f>IF(A53&gt;=1,"",C53-C52)</x:f>
        <x:v>4.102051282051207</x:v>
      </x:c>
      <x:c r="J53" s="559" t="n">
        <x:f>IF(A53&gt;=1,"",I53*(1+$B$8))</x:f>
        <x:v>4.112306410256335</x:v>
      </x:c>
      <x:c r="K53" s="560" t="n">
        <x:f>IF(A53&gt;=1,"不可达",$B$5+(C53-$D$5)*(1+$B$8))</x:f>
        <x:v>53.58005399708155</x:v>
      </x:c>
    </x:row>
    <x:row r="54">
      <x:c r="A54" s="58" t="n">
        <x:v>0.945</x:v>
      </x:c>
      <x:c r="B54" s="64" t="n">
        <x:f>IF(A54&gt;=1,"",$D$4-(A54-$B$6)*$B$4)</x:f>
        <x:v>55000000.00000009</x:v>
      </x:c>
      <x:c r="C54" s="557" t="n">
        <x:f>IF(A54&gt;=1,"",IF(ABS(A54-$B$6)&lt;0.000001,$D$5,$D$6/B54))</x:f>
        <x:v>58.17454545454536</x:v>
      </x:c>
      <x:c r="D54" s="75" t="n">
        <x:f>IF(A54&gt;=1,"",B54*C54)</x:f>
        <x:v>3199600000</x:v>
      </x:c>
      <x:c r="E54" s="374" t="n">
        <x:f>IF(A54&gt;=1,"",C54/B54)</x:f>
        <x:v>0.0000010577190082644593</x:v>
      </x:c>
      <x:c r="F54" s="374" t="n">
        <x:f>IF(ISNUMBER(E54),E54*$B$3/'币价'!$B$12,"")</x:f>
        <x:v>0.0007980603844317955</x:v>
      </x:c>
      <x:c r="G54" s="559" t="n">
        <x:f>IF(A54&gt;=1,"",E54*$B$4)</x:f>
        <x:v>1057.7190082644593</x:v>
      </x:c>
      <x:c r="H54" s="562" t="n">
        <x:f>IF(A54&gt;=1,"",G54*$B$3)</x:f>
        <x:v>797393.2059504106</x:v>
      </x:c>
      <x:c r="I54" s="559" t="n">
        <x:f>IF(A54&gt;=1,"",C54-C53)</x:f>
        <x:v>4.84787878787877</x:v>
      </x:c>
      <x:c r="J54" s="559" t="n">
        <x:f>IF(A54&gt;=1,"",I54*(1+$B$8))</x:f>
        <x:v>4.859998484848466</x:v>
      </x:c>
      <x:c r="K54" s="560" t="n">
        <x:f>IF(A54&gt;=1,"不可达",$B$5+(C54-$D$5)*(1+$B$8))</x:f>
        <x:v>58.44005248193001</x:v>
      </x:c>
    </x:row>
    <x:row r="55">
      <x:c r="A55" s="58" t="n">
        <x:v>0.95</x:v>
      </x:c>
      <x:c r="B55" s="64" t="n">
        <x:f>IF(A55&gt;=1,"",$D$4-(A55-$B$6)*$B$4)</x:f>
        <x:v>50000000.00000009</x:v>
      </x:c>
      <x:c r="C55" s="557" t="n">
        <x:f>IF(A55&gt;=1,"",IF(ABS(A55-$B$6)&lt;0.000001,$D$5,$D$6/B55))</x:f>
        <x:v>63.991999999999884</x:v>
      </x:c>
      <x:c r="D55" s="75" t="n">
        <x:f>IF(A55&gt;=1,"",B55*C55)</x:f>
        <x:v>3199600000</x:v>
      </x:c>
      <x:c r="E55" s="374" t="n">
        <x:f>IF(A55&gt;=1,"",C55/B55)</x:f>
        <x:v>0.0000012798399999999954</x:v>
      </x:c>
      <x:c r="F55" s="374" t="n">
        <x:f>IF(ISNUMBER(E55),E55*$B$3/'币价'!$B$12,"")</x:f>
        <x:v>0.0009656530651624722</x:v>
      </x:c>
      <x:c r="G55" s="559" t="n">
        <x:f>IF(A55&gt;=1,"",E55*$B$4)</x:f>
        <x:v>1279.8399999999954</x:v>
      </x:c>
      <x:c r="H55" s="562" t="n">
        <x:f>IF(A55&gt;=1,"",G55*$B$3)</x:f>
        <x:v>964845.7791999965</x:v>
      </x:c>
      <x:c r="I55" s="559" t="n">
        <x:f>IF(A55&gt;=1,"",C55-C54)</x:f>
        <x:v>5.817454545454524</x:v>
      </x:c>
      <x:c r="J55" s="559" t="n">
        <x:f>IF(A55&gt;=1,"",I55*(1+$B$8))</x:f>
        <x:v>5.83199818181816</x:v>
      </x:c>
      <x:c r="K55" s="560" t="n">
        <x:f>IF(A55&gt;=1,"不可达",$B$5+(C55-$D$5)*(1+$B$8))</x:f>
        <x:v>64.27205066374817</x:v>
      </x:c>
    </x:row>
    <x:row r="56">
      <x:c r="A56" s="58" t="n">
        <x:v>0.955</x:v>
      </x:c>
      <x:c r="B56" s="64" t="n">
        <x:f>IF(A56&gt;=1,"",$D$4-(A56-$B$6)*$B$4)</x:f>
        <x:v>45000000.00000009</x:v>
      </x:c>
      <x:c r="C56" s="557" t="n">
        <x:f>IF(A56&gt;=1,"",IF(ABS(A56-$B$6)&lt;0.000001,$D$5,$D$6/B56))</x:f>
        <x:v>71.10222222222208</x:v>
      </x:c>
      <x:c r="D56" s="75" t="n">
        <x:f>IF(A56&gt;=1,"",B56*C56)</x:f>
        <x:v>3199600000</x:v>
      </x:c>
      <x:c r="E56" s="374" t="n">
        <x:f>IF(A56&gt;=1,"",C56/B56)</x:f>
        <x:v>0.0000015800493827160432</x:v>
      </x:c>
      <x:c r="F56" s="374" t="n">
        <x:f>IF(ISNUMBER(E56),E56*$B$3/'币价'!$B$12,"")</x:f>
        <x:v>0.0011921642779783605</x:v>
      </x:c>
      <x:c r="G56" s="559" t="n">
        <x:f>IF(A56&gt;=1,"",E56*$B$4)</x:f>
        <x:v>1580.0493827160433</x:v>
      </x:c>
      <x:c r="H56" s="562" t="n">
        <x:f>IF(A56&gt;=1,"",G56*$B$3)</x:f>
        <x:v>1191167.6286419707</x:v>
      </x:c>
      <x:c r="I56" s="559" t="n">
        <x:f>IF(A56&gt;=1,"",C56-C55)</x:f>
        <x:v>7.110222222222198</x:v>
      </x:c>
      <x:c r="J56" s="559" t="n">
        <x:f>IF(A56&gt;=1,"",I56*(1+$B$8))</x:f>
        <x:v>7.127997777777753</x:v>
      </x:c>
      <x:c r="K56" s="560" t="n">
        <x:f>IF(A56&gt;=1,"不可达",$B$5+(C56-$D$5)*(1+$B$8))</x:f>
        <x:v>71.40004844152593</x:v>
      </x:c>
    </x:row>
    <x:row r="57">
      <x:c r="A57" s="58" t="n">
        <x:v>0.96</x:v>
      </x:c>
      <x:c r="B57" s="64" t="n">
        <x:f>IF(A57&gt;=1,"",$D$4-(A57-$B$6)*$B$4)</x:f>
        <x:v>40000000.00000009</x:v>
      </x:c>
      <x:c r="C57" s="557" t="n">
        <x:f>IF(A57&gt;=1,"",IF(ABS(A57-$B$6)&lt;0.000001,$D$5,$D$6/B57))</x:f>
        <x:v>79.98999999999982</x:v>
      </x:c>
      <x:c r="D57" s="75" t="n">
        <x:f>IF(A57&gt;=1,"",B57*C57)</x:f>
        <x:v>3199600000</x:v>
      </x:c>
      <x:c r="E57" s="374" t="n">
        <x:f>IF(A57&gt;=1,"",C57/B57)</x:f>
        <x:v>0.0000019997499999999913</x:v>
      </x:c>
      <x:c r="F57" s="374" t="n">
        <x:f>IF(ISNUMBER(E57),E57*$B$3/'币价'!$B$12,"")</x:f>
        <x:v>0.0015088329143163619</x:v>
      </x:c>
      <x:c r="G57" s="559" t="n">
        <x:f>IF(A57&gt;=1,"",E57*$B$4)</x:f>
        <x:v>1999.7499999999914</x:v>
      </x:c>
      <x:c r="H57" s="562" t="n">
        <x:f>IF(A57&gt;=1,"",G57*$B$3)</x:f>
        <x:v>1507571.5299999935</x:v>
      </x:c>
      <x:c r="I57" s="559" t="n">
        <x:f>IF(A57&gt;=1,"",C57-C56)</x:f>
        <x:v>8.887777777777742</x:v>
      </x:c>
      <x:c r="J57" s="559" t="n">
        <x:f>IF(A57&gt;=1,"",I57*(1+$B$8))</x:f>
        <x:v>8.909997222222186</x:v>
      </x:c>
      <x:c r="K57" s="560" t="n">
        <x:f>IF(A57&gt;=1,"不可达",$B$5+(C57-$D$5)*(1+$B$8))</x:f>
        <x:v>80.31004566374811</x:v>
      </x:c>
    </x:row>
    <x:row r="58">
      <x:c r="A58" s="58" t="n">
        <x:v>0.965</x:v>
      </x:c>
      <x:c r="B58" s="64" t="n">
        <x:f>IF(A58&gt;=1,"",$D$4-(A58-$B$6)*$B$4)</x:f>
        <x:v>35000000.00000009</x:v>
      </x:c>
      <x:c r="C58" s="557" t="n">
        <x:f>IF(A58&gt;=1,"",IF(ABS(A58-$B$6)&lt;0.000001,$D$5,$D$6/B58))</x:f>
        <x:v>91.41714285714262</x:v>
      </x:c>
      <x:c r="D58" s="75" t="n">
        <x:f>IF(A58&gt;=1,"",B58*C58)</x:f>
        <x:v>3199600000</x:v>
      </x:c>
      <x:c r="E58" s="374" t="n">
        <x:f>IF(A58&gt;=1,"",C58/B58)</x:f>
        <x:v>0.0000026119183673469254</x:v>
      </x:c>
      <x:c r="F58" s="374" t="n">
        <x:f>IF(ISNUMBER(E58),E58*$B$3/'币价'!$B$12,"")</x:f>
        <x:v>0.0019707205411479</x:v>
      </x:c>
      <x:c r="G58" s="559" t="n">
        <x:f>IF(A58&gt;=1,"",E58*$B$4)</x:f>
        <x:v>2611.9183673469256</x:v>
      </x:c>
      <x:c r="H58" s="562" t="n">
        <x:f>IF(A58&gt;=1,"",G58*$B$3)</x:f>
        <x:v>1969073.0187755004</x:v>
      </x:c>
      <x:c r="I58" s="559" t="n">
        <x:f>IF(A58&gt;=1,"",C58-C57)</x:f>
        <x:v>11.427142857142798</x:v>
      </x:c>
      <x:c r="J58" s="559" t="n">
        <x:f>IF(A58&gt;=1,"",I58*(1+$B$8))</x:f>
        <x:v>11.455710714285654</x:v>
      </x:c>
      <x:c r="K58" s="560" t="n">
        <x:f>IF(A58&gt;=1,"不可达",$B$5+(C58-$D$5)*(1+$B$8))</x:f>
        <x:v>91.76575637803376</x:v>
      </x:c>
    </x:row>
    <x:row r="59">
      <x:c r="A59" s="58" t="n">
        <x:v>0.97</x:v>
      </x:c>
      <x:c r="B59" s="64" t="n">
        <x:f>IF(A59&gt;=1,"",$D$4-(A59-$B$6)*$B$4)</x:f>
        <x:v>30000000.00000006</x:v>
      </x:c>
      <x:c r="C59" s="557" t="n">
        <x:f>IF(A59&gt;=1,"",IF(ABS(A59-$B$6)&lt;0.000001,$D$5,$D$6/B59))</x:f>
        <x:v>106.65333333333312</x:v>
      </x:c>
      <x:c r="D59" s="75" t="n">
        <x:f>IF(A59&gt;=1,"",B59*C59)</x:f>
        <x:v>3199600000</x:v>
      </x:c>
      <x:c r="E59" s="374" t="n">
        <x:f>IF(A59&gt;=1,"",C59/B59)</x:f>
        <x:v>0.000003555111111111097</x:v>
      </x:c>
      <x:c r="F59" s="374" t="n">
        <x:f>IF(ISNUMBER(E59),E59*$B$3/'币价'!$B$12,"")</x:f>
        <x:v>0.002682369625451311</x:v>
      </x:c>
      <x:c r="G59" s="559" t="n">
        <x:f>IF(A59&gt;=1,"",E59*$B$4)</x:f>
        <x:v>3555.111111111097</x:v>
      </x:c>
      <x:c r="H59" s="562" t="n">
        <x:f>IF(A59&gt;=1,"",G59*$B$3)</x:f>
        <x:v>2680127.164444434</x:v>
      </x:c>
      <x:c r="I59" s="559" t="n">
        <x:f>IF(A59&gt;=1,"",C59-C58)</x:f>
        <x:v>15.236190476190501</x:v>
      </x:c>
      <x:c r="J59" s="559" t="n">
        <x:f>IF(A59&gt;=1,"",I59*(1+$B$8))</x:f>
        <x:v>15.274280952380977</x:v>
      </x:c>
      <x:c r="K59" s="560" t="n">
        <x:f>IF(A59&gt;=1,"不可达",$B$5+(C59-$D$5)*(1+$B$8))</x:f>
        <x:v>107.04003733041473</x:v>
      </x:c>
    </x:row>
    <x:row r="60">
      <x:c r="A60" s="58" t="n">
        <x:v>0.975</x:v>
      </x:c>
      <x:c r="B60" s="64" t="n">
        <x:f>IF(A60&gt;=1,"",$D$4-(A60-$B$6)*$B$4)</x:f>
        <x:v>25000000.00000006</x:v>
      </x:c>
      <x:c r="C60" s="557" t="n">
        <x:f>IF(A60&gt;=1,"",IF(ABS(A60-$B$6)&lt;0.000001,$D$5,$D$6/B60))</x:f>
        <x:v>127.9839999999997</x:v>
      </x:c>
      <x:c r="D60" s="75" t="n">
        <x:f>IF(A60&gt;=1,"",B60*C60)</x:f>
        <x:v>3199600000</x:v>
      </x:c>
      <x:c r="E60" s="374" t="n">
        <x:f>IF(A60&gt;=1,"",C60/B60)</x:f>
        <x:v>0.000005119359999999976</x:v>
      </x:c>
      <x:c r="F60" s="374" t="n">
        <x:f>IF(ISNUMBER(E60),E60*$B$3/'币价'!$B$12,"")</x:f>
        <x:v>0.0038626122606498846</x:v>
      </x:c>
      <x:c r="G60" s="559" t="n">
        <x:f>IF(A60&gt;=1,"",E60*$B$4)</x:f>
        <x:v>5119.359999999976</x:v>
      </x:c>
      <x:c r="H60" s="562" t="n">
        <x:f>IF(A60&gt;=1,"",G60*$B$3)</x:f>
        <x:v>3859383.116799982</x:v>
      </x:c>
      <x:c r="I60" s="559" t="n">
        <x:f>IF(A60&gt;=1,"",C60-C59)</x:f>
        <x:v>21.330666666666573</x:v>
      </x:c>
      <x:c r="J60" s="559" t="n">
        <x:f>IF(A60&gt;=1,"",I60*(1+$B$8))</x:f>
        <x:v>21.38399333333324</x:v>
      </x:c>
      <x:c r="K60" s="560" t="n">
        <x:f>IF(A60&gt;=1,"不可达",$B$5+(C60-$D$5)*(1+$B$8))</x:f>
        <x:v>128.42403066374797</x:v>
      </x:c>
    </x:row>
    <x:row r="61">
      <x:c r="A61" s="58" t="n">
        <x:v>0.98</x:v>
      </x:c>
      <x:c r="B61" s="64" t="n">
        <x:f>IF(A61&gt;=1,"",$D$4-(A61-$B$6)*$B$4)</x:f>
        <x:v>20000000.00000006</x:v>
      </x:c>
      <x:c r="C61" s="557" t="n">
        <x:f>IF(A61&gt;=1,"",IF(ABS(A61-$B$6)&lt;0.000001,$D$5,$D$6/B61))</x:f>
        <x:v>159.97999999999954</x:v>
      </x:c>
      <x:c r="D61" s="75" t="n">
        <x:f>IF(A61&gt;=1,"",B61*C61)</x:f>
        <x:v>3199600000</x:v>
      </x:c>
      <x:c r="E61" s="374" t="n">
        <x:f>IF(A61&gt;=1,"",C61/B61)</x:f>
        <x:v>0.000007998999999999953</x:v>
      </x:c>
      <x:c r="F61" s="374" t="n">
        <x:f>IF(ISNUMBER(E61),E61*$B$3/'币价'!$B$12,"")</x:f>
        <x:v>0.006035331657265439</x:v>
      </x:c>
      <x:c r="G61" s="559" t="n">
        <x:f>IF(A61&gt;=1,"",E61*$B$4)</x:f>
        <x:v>7998.999999999954</x:v>
      </x:c>
      <x:c r="H61" s="562" t="n">
        <x:f>IF(A61&gt;=1,"",G61*$B$3)</x:f>
        <x:v>6030286.119999965</x:v>
      </x:c>
      <x:c r="I61" s="559" t="n">
        <x:f>IF(A61&gt;=1,"",C61-C60)</x:f>
        <x:v>31.99599999999984</x:v>
      </x:c>
      <x:c r="J61" s="559" t="n">
        <x:f>IF(A61&gt;=1,"",I61*(1+$B$8))</x:f>
        <x:v>32.075989999999834</x:v>
      </x:c>
      <x:c r="K61" s="560" t="n">
        <x:f>IF(A61&gt;=1,"不可达",$B$5+(C61-$D$5)*(1+$B$8))</x:f>
        <x:v>160.50002066374782</x:v>
      </x:c>
    </x:row>
    <x:row r="62">
      <x:c r="A62" s="58" t="n">
        <x:v>0.985</x:v>
      </x:c>
      <x:c r="B62" s="64" t="n">
        <x:f>IF(A62&gt;=1,"",$D$4-(A62-$B$6)*$B$4)</x:f>
        <x:v>15000000.00000006</x:v>
      </x:c>
      <x:c r="C62" s="557" t="n">
        <x:f>IF(A62&gt;=1,"",IF(ABS(A62-$B$6)&lt;0.000001,$D$5,$D$6/B62))</x:f>
        <x:v>213.30666666666582</x:v>
      </x:c>
      <x:c r="D62" s="75" t="n">
        <x:f>IF(A62&gt;=1,"",B62*C62)</x:f>
        <x:v>3199600000</x:v>
      </x:c>
      <x:c r="E62" s="374" t="n">
        <x:f>IF(A62&gt;=1,"",C62/B62)</x:f>
        <x:v>0.00001422044444444433</x:v>
      </x:c>
      <x:c r="F62" s="374" t="n">
        <x:f>IF(ISNUMBER(E62),E62*$B$3/'币价'!$B$12,"")</x:f>
        <x:v>0.0107294785018052</x:v>
      </x:c>
      <x:c r="G62" s="559" t="n">
        <x:f>IF(A62&gt;=1,"",E62*$B$4)</x:f>
        <x:v>14220.44444444433</x:v>
      </x:c>
      <x:c r="H62" s="562" t="n">
        <x:f>IF(A62&gt;=1,"",G62*$B$3)</x:f>
        <x:v>10720508.657777691</x:v>
      </x:c>
      <x:c r="I62" s="559" t="n">
        <x:f>IF(A62&gt;=1,"",C62-C61)</x:f>
        <x:v>53.326666666666284</x:v>
      </x:c>
      <x:c r="J62" s="559" t="n">
        <x:f>IF(A62&gt;=1,"",I62*(1+$B$8))</x:f>
        <x:v>53.45998333333295</x:v>
      </x:c>
      <x:c r="K62" s="560" t="n">
        <x:f>IF(A62&gt;=1,"不可达",$B$5+(C62-$D$5)*(1+$B$8))</x:f>
        <x:v>213.96000399708078</x:v>
      </x:c>
    </x:row>
    <x:row r="63">
      <x:c r="A63" s="58" t="n">
        <x:v>0.99</x:v>
      </x:c>
      <x:c r="B63" s="64" t="n">
        <x:f>IF(A63&gt;=1,"",$D$4-(A63-$B$6)*$B$4)</x:f>
        <x:v>10000000.00000006</x:v>
      </x:c>
      <x:c r="C63" s="557" t="n">
        <x:f>IF(A63&gt;=1,"",IF(ABS(A63-$B$6)&lt;0.000001,$D$5,$D$6/B63))</x:f>
        <x:v>319.9599999999981</x:v>
      </x:c>
      <x:c r="D63" s="75" t="n">
        <x:f>IF(A63&gt;=1,"",B63*C63)</x:f>
        <x:v>3199600000</x:v>
      </x:c>
      <x:c r="E63" s="374" t="n">
        <x:f>IF(A63&gt;=1,"",C63/B63)</x:f>
        <x:v>0.00003199599999999962</x:v>
      </x:c>
      <x:c r="F63" s="374" t="n">
        <x:f>IF(ISNUMBER(E63),E63*$B$3/'币价'!$B$12,"")</x:f>
        <x:v>0.024141326629061606</x:v>
      </x:c>
      <x:c r="G63" s="559" t="n">
        <x:f>IF(A63&gt;=1,"",E63*$B$4)</x:f>
        <x:v>31995.999999999618</x:v>
      </x:c>
      <x:c r="H63" s="562" t="n">
        <x:f>IF(A63&gt;=1,"",G63*$B$3)</x:f>
        <x:v>24121144.479999714</x:v>
      </x:c>
      <x:c r="I63" s="559" t="n">
        <x:f>IF(A63&gt;=1,"",C63-C62)</x:f>
        <x:v>106.65333333333228</x:v>
      </x:c>
      <x:c r="J63" s="559" t="n">
        <x:f>IF(A63&gt;=1,"",I63*(1+$B$8))</x:f>
        <x:v>106.91996666666562</x:v>
      </x:c>
      <x:c r="K63" s="560" t="n">
        <x:f>IF(A63&gt;=1,"不可达",$B$5+(C63-$D$5)*(1+$B$8))</x:f>
        <x:v>320.8799706637464</x:v>
      </x:c>
    </x:row>
    <x:row r="64">
      <x:c r="A64" s="58" t="n">
        <x:v>0.995</x:v>
      </x:c>
      <x:c r="B64" s="64" t="n">
        <x:f>IF(A64&gt;=1,"",$D$4-(A64-$B$6)*$B$4)</x:f>
        <x:v>5000000.00000006</x:v>
      </x:c>
      <x:c r="C64" s="557" t="n">
        <x:f>IF(A64&gt;=1,"",IF(ABS(A64-$B$6)&lt;0.000001,$D$5,$D$6/B64))</x:f>
        <x:v>639.9199999999923</x:v>
      </x:c>
      <x:c r="D64" s="75" t="n">
        <x:f>IF(A64&gt;=1,"",B64*C64)</x:f>
        <x:v>3199600000</x:v>
      </x:c>
      <x:c r="E64" s="374" t="n">
        <x:f>IF(A64&gt;=1,"",C64/B64)</x:f>
        <x:v>0.00012798399999999695</x:v>
      </x:c>
      <x:c r="F64" s="374" t="n">
        <x:f>IF(ISNUMBER(E64),E64*$B$3/'币价'!$B$12,"")</x:f>
        <x:v>0.09656530651624529</x:v>
      </x:c>
      <x:c r="G64" s="559" t="n">
        <x:f>IF(A64&gt;=1,"",E64*$B$4)</x:f>
        <x:v>127983.99999999694</x:v>
      </x:c>
      <x:c r="H64" s="562" t="n">
        <x:f>IF(A64&gt;=1,"",G64*$B$3)</x:f>
        <x:v>96484577.91999769</x:v>
      </x:c>
      <x:c r="I64" s="559" t="n">
        <x:f>IF(A64&gt;=1,"",C64-C63)</x:f>
        <x:v>319.95999999999424</x:v>
      </x:c>
      <x:c r="J64" s="559" t="n">
        <x:f>IF(A64&gt;=1,"",I64*(1+$B$8))</x:f>
        <x:v>320.7598999999942</x:v>
      </x:c>
      <x:c r="K64" s="560" t="n">
        <x:f>IF(A64&gt;=1,"不可达",$B$5+(C64-$D$5)*(1+$B$8))</x:f>
        <x:v>641.6398706637406</x:v>
      </x:c>
    </x:row>
    <x:row r="65">
      <x:c r="A65" s="58" t="n">
        <x:v>1</x:v>
      </x:c>
      <x:c r="B65" s="64" t="str">
        <x:f>IF(A65&gt;=1,"",$D$4-(A65-$B$6)*$B$4)</x:f>
      </x:c>
      <x:c r="C65" s="557" t="str">
        <x:f>IF(A65&gt;=1,"",IF(ABS(A65-$B$6)&lt;0.000001,$D$5,$D$6/B65))</x:f>
      </x:c>
      <x:c r="D65" s="75" t="str">
        <x:f>IF(A65&gt;=1,"",B65*C65)</x:f>
      </x:c>
      <x:c r="E65" s="374" t="str">
        <x:f>IF(A65&gt;=1,"",C65/B65)</x:f>
      </x:c>
      <x:c r="F65" s="374" t="str">
        <x:f>IF(ISNUMBER(E65),E65*$B$3/'币价'!$B$12,"")</x:f>
      </x:c>
      <x:c r="G65" s="559" t="str">
        <x:f>IF(A65&gt;=1,"",E65*$B$4)</x:f>
      </x:c>
      <x:c r="H65" s="562" t="str">
        <x:f>IF(A65&gt;=1,"",G65*$B$3)</x:f>
      </x:c>
      <x:c r="I65" s="559" t="str">
        <x:f>IF(A65&gt;=1,"",C65-C64)</x:f>
      </x:c>
      <x:c r="J65" s="559" t="str">
        <x:f>IF(A65&gt;=1,"",I65*(1+$B$8))</x:f>
      </x:c>
      <x:c r="K65" s="560" t="str">
        <x:f>IF(A65&gt;=1,"不可达",$B$5+(C65-$D$5)*(1+$B$8))</x:f>
        <x:v>不可达</x:v>
      </x:c>
    </x:row>
    <x:row r="66">
      <x:c r="A66" s="59"/>
      <x:c r="B66" s="65"/>
      <x:c r="C66" s="555"/>
      <x:c r="D66" s="76"/>
      <x:c r="E66" s="82"/>
      <x:c r="F66" s="88"/>
      <x:c r="G66" s="555"/>
      <x:c r="H66" s="65"/>
      <x:c r="I66" s="555"/>
      <x:c r="J66" s="555"/>
      <x:c r="K66" s="555"/>
    </x:row>
    <x:row r="67">
      <x:c r="A67" s="59"/>
      <x:c r="B67" s="65"/>
      <x:c r="C67" s="17"/>
      <x:c r="D67" s="76"/>
      <x:c r="E67" s="82"/>
      <x:c r="F67" s="88"/>
      <x:c r="G67" s="88"/>
    </x:row>
    <x:row r="68">
      <x:c r="A68" s="59"/>
      <x:c r="B68" s="65"/>
      <x:c r="C68" s="17"/>
      <x:c r="D68" s="76"/>
      <x:c r="E68" s="82"/>
      <x:c r="F68" s="88"/>
      <x:c r="G68" s="88"/>
    </x:row>
    <x:row r="69">
      <x:c r="A69" s="59"/>
      <x:c r="B69" s="65"/>
      <x:c r="C69" s="17"/>
      <x:c r="D69" s="76"/>
      <x:c r="E69" s="82"/>
      <x:c r="F69" s="88"/>
      <x:c r="G69" s="88"/>
    </x:row>
    <x:row r="70">
      <x:c r="A70" s="59"/>
      <x:c r="B70" s="65"/>
      <x:c r="C70" s="17"/>
      <x:c r="D70" s="76"/>
      <x:c r="E70" s="82"/>
      <x:c r="F70" s="88"/>
      <x:c r="G70" s="88"/>
    </x:row>
    <x:row r="71" ht="28" customHeight="1">
      <x:c r="A71" s="61" t="str">
        <x:v>外盘回落参考 · 从 80% 控筹回落至 0%（每 10%）</x:v>
      </x:c>
      <x:c r="B71" s="67"/>
      <x:c r="C71" s="72"/>
      <x:c r="D71" s="78"/>
      <x:c r="E71" s="84"/>
      <x:c r="F71" s="90"/>
      <x:c r="G71" s="90"/>
      <x:c r="H71" s="26"/>
      <x:c r="I71" s="26"/>
      <x:c r="J71" s="26"/>
    </x:row>
    <x:row r="72" ht="28" customHeight="1">
      <x:c r="A72" s="60" t="str">
        <x:v>控筹率</x:v>
      </x:c>
      <x:c r="B72" s="66" t="str">
        <x:v>pooled token</x:v>
      </x:c>
      <x:c r="C72" s="71" t="str">
        <x:v>pooled BNB</x:v>
      </x:c>
      <x:c r="D72" s="77" t="str">
        <x:v>k</x:v>
      </x:c>
      <x:c r="E72" s="391" t="str">
        <x:v>价格 / BNB</x:v>
      </x:c>
      <x:c r="F72" s="391" t="str">
        <x:v>价格 / USDT</x:v>
      </x:c>
      <x:c r="G72" s="393" t="str">
        <x:v>市值 / BNB</x:v>
      </x:c>
      <x:c r="H72" s="393" t="str">
        <x:v>市值 / USD</x:v>
      </x:c>
      <x:c r="I72" s="331" t="str">
        <x:v>较 80% 回撤</x:v>
      </x:c>
      <x:c r="J72"/>
      <x:c r="K72"/>
    </x:row>
    <x:row r="73">
      <x:c r="A73" s="58" t="n">
        <x:v>0.8</x:v>
      </x:c>
      <x:c r="B73" s="64" t="n">
        <x:f>IF(ABS(A73-$B$6)&lt;0.000001,$D$4,$B$4*(1-A73))</x:f>
        <x:v>200000000</x:v>
      </x:c>
      <x:c r="C73" s="70" t="n">
        <x:f>IF(ABS(A73-$B$6)&lt;0.000001,$D$5,$D$6/B73)</x:f>
        <x:v>15.998</x:v>
      </x:c>
      <x:c r="D73" s="75" t="n">
        <x:f>B73*C73</x:f>
        <x:v>3199600000</x:v>
      </x:c>
      <x:c r="E73" s="374" t="n">
        <x:f>C73/B73</x:f>
        <x:v>7.998999999999999e-8</x:v>
      </x:c>
      <x:c r="F73" s="374" t="n">
        <x:f>IF(ISNUMBER(E73),E73*$B$3/'币价'!$B$12,"")</x:f>
        <x:v>0.000060353316572654724</x:v>
      </x:c>
      <x:c r="G73" s="379" t="n">
        <x:f>E73*$B$4</x:f>
        <x:v>79.99</x:v>
      </x:c>
      <x:c r="H73" s="379" t="n">
        <x:f>G73*$B$3</x:f>
        <x:v>60302.8612</x:v>
      </x:c>
      <x:c r="I73" s="408" t="n">
        <x:f>1-G73/$G$73</x:f>
        <x:v>0</x:v>
      </x:c>
      <x:c r="J73"/>
      <x:c r="K73"/>
    </x:row>
    <x:row r="74">
      <x:c r="A74" s="58" t="n">
        <x:v>0.7</x:v>
      </x:c>
      <x:c r="B74" s="64" t="n">
        <x:f>IF(ABS(A74-$B$6)&lt;0.000001,$D$4,$B$4*(1-A74))</x:f>
        <x:v>300000000.00000006</x:v>
      </x:c>
      <x:c r="C74" s="557" t="n">
        <x:f>IF(ABS(A74-$B$6)&lt;0.000001,$D$5,$D$6/B74)</x:f>
        <x:v>10.665333333333331</x:v>
      </x:c>
      <x:c r="D74" s="75" t="n">
        <x:f>B74*C74</x:f>
        <x:v>3199600000</x:v>
      </x:c>
      <x:c r="E74" s="374" t="n">
        <x:f>C74/B74</x:f>
        <x:v>3.55511111111111e-8</x:v>
      </x:c>
      <x:c r="F74" s="374" t="n">
        <x:f>IF(ISNUMBER(E74),E74*$B$3/'币价'!$B$12,"")</x:f>
        <x:v>0.00002682369625451321</x:v>
      </x:c>
      <x:c r="G74" s="559" t="n">
        <x:f>E74*$B$4</x:f>
        <x:v>35.5511111111111</x:v>
      </x:c>
      <x:c r="H74" s="562" t="n">
        <x:f>G74*$B$3</x:f>
        <x:v>26801.271644444434</x:v>
      </x:c>
      <x:c r="I74" s="559" t="n">
        <x:f>1-G74/$G$73</x:f>
        <x:v>0.5555555555555557</x:v>
      </x:c>
      <x:c r="J74" s="555"/>
      <x:c r="K74" s="555"/>
    </x:row>
    <x:row r="75">
      <x:c r="A75" s="58" t="n">
        <x:v>0.6</x:v>
      </x:c>
      <x:c r="B75" s="64" t="n">
        <x:f>IF(ABS(A75-$B$6)&lt;0.000001,$D$4,$B$4*(1-A75))</x:f>
        <x:v>400000000</x:v>
      </x:c>
      <x:c r="C75" s="557" t="n">
        <x:f>IF(ABS(A75-$B$6)&lt;0.000001,$D$5,$D$6/B75)</x:f>
        <x:v>7.999</x:v>
      </x:c>
      <x:c r="D75" s="75" t="n">
        <x:f>B75*C75</x:f>
        <x:v>3199600000</x:v>
      </x:c>
      <x:c r="E75" s="374" t="n">
        <x:f>C75/B75</x:f>
        <x:v>1.9997499999999998e-8</x:v>
      </x:c>
      <x:c r="F75" s="374" t="n">
        <x:f>IF(ISNUMBER(E75),E75*$B$3/'币价'!$B$12,"")</x:f>
        <x:v>0.000015088329143163681</x:v>
      </x:c>
      <x:c r="G75" s="559" t="n">
        <x:f>E75*$B$4</x:f>
        <x:v>19.9975</x:v>
      </x:c>
      <x:c r="H75" s="562" t="n">
        <x:f>G75*$B$3</x:f>
        <x:v>15075.7153</x:v>
      </x:c>
      <x:c r="I75" s="559" t="n">
        <x:f>1-G75/$G$73</x:f>
        <x:v>0.75</x:v>
      </x:c>
      <x:c r="J75" s="555"/>
      <x:c r="K75" s="555"/>
    </x:row>
    <x:row r="76">
      <x:c r="A76" s="58" t="n">
        <x:v>0.5</x:v>
      </x:c>
      <x:c r="B76" s="64" t="n">
        <x:f>IF(ABS(A76-$B$6)&lt;0.000001,$D$4,$B$4*(1-A76))</x:f>
        <x:v>500000000</x:v>
      </x:c>
      <x:c r="C76" s="557" t="n">
        <x:f>IF(ABS(A76-$B$6)&lt;0.000001,$D$5,$D$6/B76)</x:f>
        <x:v>6.3992</x:v>
      </x:c>
      <x:c r="D76" s="75" t="n">
        <x:f>B76*C76</x:f>
        <x:v>3199600000</x:v>
      </x:c>
      <x:c r="E76" s="374" t="n">
        <x:f>C76/B76</x:f>
        <x:v>1.2798400000000002e-8</x:v>
      </x:c>
      <x:c r="F76" s="374" t="n">
        <x:f>IF(ISNUMBER(E76),E76*$B$3/'币价'!$B$12,"")</x:f>
        <x:v>0.000009656530651624759</x:v>
      </x:c>
      <x:c r="G76" s="559" t="n">
        <x:f>E76*$B$4</x:f>
        <x:v>12.7984</x:v>
      </x:c>
      <x:c r="H76" s="562" t="n">
        <x:f>G76*$B$3</x:f>
        <x:v>9648.457792000001</x:v>
      </x:c>
      <x:c r="I76" s="559" t="n">
        <x:f>1-G76/$G$73</x:f>
        <x:v>0.84</x:v>
      </x:c>
      <x:c r="J76" s="555"/>
      <x:c r="K76" s="555"/>
    </x:row>
    <x:row r="77">
      <x:c r="A77" s="58" t="n">
        <x:v>0.4</x:v>
      </x:c>
      <x:c r="B77" s="64" t="n">
        <x:f>IF(ABS(A77-$B$6)&lt;0.000001,$D$4,$B$4*(1-A77))</x:f>
        <x:v>600000000</x:v>
      </x:c>
      <x:c r="C77" s="557" t="n">
        <x:f>IF(ABS(A77-$B$6)&lt;0.000001,$D$5,$D$6/B77)</x:f>
        <x:v>5.332666666666666</x:v>
      </x:c>
      <x:c r="D77" s="75" t="n">
        <x:f>B77*C77</x:f>
        <x:v>3199600000</x:v>
      </x:c>
      <x:c r="E77" s="374" t="n">
        <x:f>C77/B77</x:f>
        <x:v>8.887777777777778e-9</x:v>
      </x:c>
      <x:c r="F77" s="374" t="n">
        <x:f>IF(ISNUMBER(E77),E77*$B$3/'币价'!$B$12,"")</x:f>
        <x:v>0.000006705924063628305</x:v>
      </x:c>
      <x:c r="G77" s="559" t="n">
        <x:f>E77*$B$4</x:f>
        <x:v>8.887777777777778</x:v>
      </x:c>
      <x:c r="H77" s="562" t="n">
        <x:f>G77*$B$3</x:f>
        <x:v>6700.317911111111</x:v>
      </x:c>
      <x:c r="I77" s="559" t="n">
        <x:f>1-G77/$G$73</x:f>
        <x:v>0.8888888888888888</x:v>
      </x:c>
      <x:c r="J77" s="555"/>
      <x:c r="K77" s="555"/>
    </x:row>
    <x:row r="78">
      <x:c r="A78" s="58" t="n">
        <x:v>0.3</x:v>
      </x:c>
      <x:c r="B78" s="64" t="n">
        <x:f>IF(ABS(A78-$B$6)&lt;0.000001,$D$4,$B$4*(1-A78))</x:f>
        <x:v>700000000</x:v>
      </x:c>
      <x:c r="C78" s="557" t="n">
        <x:f>IF(ABS(A78-$B$6)&lt;0.000001,$D$5,$D$6/B78)</x:f>
        <x:v>4.570857142857143</x:v>
      </x:c>
      <x:c r="D78" s="75" t="n">
        <x:f>B78*C78</x:f>
        <x:v>3199600000</x:v>
      </x:c>
      <x:c r="E78" s="374" t="n">
        <x:f>C78/B78</x:f>
        <x:v>6.529795918367348e-9</x:v>
      </x:c>
      <x:c r="F78" s="374" t="n">
        <x:f>IF(ISNUMBER(E78),E78*$B$3/'币价'!$B$12,"")</x:f>
        <x:v>0.000004926801352869775</x:v>
      </x:c>
      <x:c r="G78" s="559" t="n">
        <x:f>E78*$B$4</x:f>
        <x:v>6.5297959183673475</x:v>
      </x:c>
      <x:c r="H78" s="562" t="n">
        <x:f>G78*$B$3</x:f>
        <x:v>4922.682546938776</x:v>
      </x:c>
      <x:c r="I78" s="559" t="n">
        <x:f>1-G78/$G$73</x:f>
        <x:v>0.9183673469387755</x:v>
      </x:c>
      <x:c r="J78" s="555"/>
      <x:c r="K78" s="555"/>
    </x:row>
    <x:row r="79">
      <x:c r="A79" s="58" t="n">
        <x:v>0.2</x:v>
      </x:c>
      <x:c r="B79" s="64" t="n">
        <x:f>IF(ABS(A79-$B$6)&lt;0.000001,$D$4,$B$4*(1-A79))</x:f>
        <x:v>800000000</x:v>
      </x:c>
      <x:c r="C79" s="557" t="n">
        <x:f>IF(ABS(A79-$B$6)&lt;0.000001,$D$5,$D$6/B79)</x:f>
        <x:v>3.9995</x:v>
      </x:c>
      <x:c r="D79" s="75" t="n">
        <x:f>B79*C79</x:f>
        <x:v>3199600000</x:v>
      </x:c>
      <x:c r="E79" s="374" t="n">
        <x:f>C79/B79</x:f>
        <x:v>4.999374999999999e-9</x:v>
      </x:c>
      <x:c r="F79" s="374" t="n">
        <x:f>IF(ISNUMBER(E79),E79*$B$3/'币价'!$B$12,"")</x:f>
        <x:v>0.0000037720822857909203</x:v>
      </x:c>
      <x:c r="G79" s="559" t="n">
        <x:f>E79*$B$4</x:f>
        <x:v>4.999375</x:v>
      </x:c>
      <x:c r="H79" s="562" t="n">
        <x:f>G79*$B$3</x:f>
        <x:v>3768.928825</x:v>
      </x:c>
      <x:c r="I79" s="559" t="n">
        <x:f>1-G79/$G$73</x:f>
        <x:v>0.9375</x:v>
      </x:c>
      <x:c r="J79" s="555"/>
      <x:c r="K79" s="555"/>
    </x:row>
    <x:row r="80">
      <x:c r="A80" s="58" t="n">
        <x:v>0.1</x:v>
      </x:c>
      <x:c r="B80" s="64" t="n">
        <x:f>IF(ABS(A80-$B$6)&lt;0.000001,$D$4,$B$4*(1-A80))</x:f>
        <x:v>900000000</x:v>
      </x:c>
      <x:c r="C80" s="557" t="n">
        <x:f>IF(ABS(A80-$B$6)&lt;0.000001,$D$5,$D$6/B80)</x:f>
        <x:v>3.555111111111111</x:v>
      </x:c>
      <x:c r="D80" s="75" t="n">
        <x:f>B80*C80</x:f>
        <x:v>3199600000</x:v>
      </x:c>
      <x:c r="E80" s="374" t="n">
        <x:f>C80/B80</x:f>
        <x:v>3.950123456790123e-9</x:v>
      </x:c>
      <x:c r="F80" s="374" t="n">
        <x:f>IF(ISNUMBER(E80),E80*$B$3/'币价'!$B$12,"")</x:f>
        <x:v>0.0000029804106949459125</x:v>
      </x:c>
      <x:c r="G80" s="559" t="n">
        <x:f>E80*$B$4</x:f>
        <x:v>3.950123456790123</x:v>
      </x:c>
      <x:c r="H80" s="562" t="n">
        <x:f>G80*$B$3</x:f>
        <x:v>2977.919071604938</x:v>
      </x:c>
      <x:c r="I80" s="559" t="n">
        <x:f>1-G80/$G$73</x:f>
        <x:v>0.9506172839506173</x:v>
      </x:c>
      <x:c r="J80" s="555"/>
      <x:c r="K80" s="555"/>
    </x:row>
    <x:row r="81">
      <x:c r="A81" s="62" t="n">
        <x:v>0</x:v>
      </x:c>
      <x:c r="B81" s="68" t="n">
        <x:f>IF(ABS(A81-$B$6)&lt;0.000001,$D$4,$B$4*(1-A81))</x:f>
        <x:v>1000000000</x:v>
      </x:c>
      <x:c r="C81" s="563" t="n">
        <x:f>IF(ABS(A81-$B$6)&lt;0.000001,$D$5,$D$6/B81)</x:f>
        <x:v>3.1996</x:v>
      </x:c>
      <x:c r="D81" s="79" t="n">
        <x:f>B81*C81</x:f>
        <x:v>3199600000</x:v>
      </x:c>
      <x:c r="E81" s="412" t="n">
        <x:f>C81/B81</x:f>
        <x:v>3.1996000000000004e-9</x:v>
      </x:c>
      <x:c r="F81" s="412" t="n">
        <x:f>IF(ISNUMBER(E81),E81*$B$3/'币价'!$B$12,"")</x:f>
        <x:v>0.0000024141326629061897</x:v>
      </x:c>
      <x:c r="G81" s="564" t="n">
        <x:f>E81*$B$4</x:f>
        <x:v>3.1996</x:v>
      </x:c>
      <x:c r="H81" s="565" t="n">
        <x:f>G81*$B$3</x:f>
        <x:v>2412.1144480000003</x:v>
      </x:c>
      <x:c r="I81" s="564" t="n">
        <x:f>1-G81/$G$73</x:f>
        <x:v>0.96</x:v>
      </x:c>
      <x:c r="J81" s="564" t="str">
        <x:v>沉没成本</x:v>
      </x:c>
      <x:c r="K81" s="564" t="n">
        <x:f>C81</x:f>
        <x:v>3.1996</x:v>
      </x:c>
    </x:row>
    <x:row r="82">
      <x:c r="B82" s="65" t="n">
        <x:f>IF(ABS(A82-$B$6)&lt;0.000001,$D$4,$B$4*(1-A82))</x:f>
        <x:v>1000000000</x:v>
      </x:c>
      <x:c r="C82" s="555"/>
      <x:c r="G82" s="555"/>
      <x:c r="H82" s="65"/>
      <x:c r="I82" s="555"/>
      <x:c r="J82" s="555"/>
      <x:c r="K82" s="555"/>
    </x:row>
  </x:sheetData>
  <x:mergeCells>
    <x:mergeCell ref="A1:J1"/>
    <x:mergeCell ref="A71:J7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20" hidden="0" customWidth="1"/>
    <x:col min="7" max="7" width="16" hidden="0" customWidth="1"/>
    <x:col min="8" max="8" width="16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0" customHeight="1">
      <x:c r="A1" s="4" t="str">
        <x:v>Flap / USD1 · 发射控筹模型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3">
      <x:c r="A3" s="55" t="str">
        <x:v>Quote USD 价格</x:v>
      </x:c>
      <x:c r="B3" s="50" t="n">
        <x:f>1</x:f>
        <x:v>1</x:v>
      </x:c>
      <x:c r="C3" s="56" t="str">
        <x:v>内盘 k</x:v>
      </x:c>
      <x:c r="D3" s="51" t="n">
        <x:v>4247700017424</x:v>
      </x:c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s="55" t="str">
        <x:v>total supply</x:v>
      </x:c>
      <x:c r="B4" s="51" t="n">
        <x:v>1000000000</x:v>
      </x:c>
      <x:c r="C4" s="56" t="str">
        <x:v>外盘初始 token</x:v>
      </x:c>
      <x:c r="D4" s="51" t="n">
        <x:v>199600000</x:v>
      </x:c>
      <x:c r="G4" t="str">
        <x:v>单地址 Gas / BNB</x:v>
      </x:c>
      <x:c r="H4" s="99" t="n">
        <x:v>0.01</x:v>
      </x:c>
      <x:c r="I4" t="str">
        <x:v>Holder 地址</x:v>
      </x:c>
      <x:c r="J4" s="100" t="n">
        <x:v>150</x:v>
      </x:c>
    </x:row>
    <x:row r="5">
      <x:c r="A5" s="55" t="str">
        <x:v>内盘毕业所需</x:v>
      </x:c>
      <x:c r="B5" s="51" t="n">
        <x:f>K21</x:f>
        <x:v>10097.475236449869</x:v>
      </x:c>
      <x:c r="C5" s="56" t="str">
        <x:v>外盘初始 Quote</x:v>
      </x:c>
      <x:c r="D5" s="51" t="n">
        <x:v>9997.5</x:v>
      </x:c>
      <x:c r="G5" t="str">
        <x:v>资金预留 / USD1</x:v>
      </x:c>
      <x:c r="H5" s="553" t="n">
        <x:f>IF($B$3&gt;0,ROUNDUP('币价'!$B$15/($B$3/'币价'!$B$12),0),"")</x:f>
        <x:v>9992</x:v>
      </x:c>
      <x:c r="I5" t="str">
        <x:v>默认目标控筹率</x:v>
      </x:c>
      <x:c r="J5" s="102" t="n">
        <x:v>0.94</x:v>
      </x:c>
    </x:row>
    <x:row r="6">
      <x:c r="A6" s="55" t="str">
        <x:v>毕业控筹率</x:v>
      </x:c>
      <x:c r="B6" s="52" t="n">
        <x:v>0.8</x:v>
      </x:c>
      <x:c r="C6" s="56" t="str">
        <x:v>外盘 k</x:v>
      </x:c>
      <x:c r="D6" s="51" t="n">
        <x:v>1995501000000</x:v>
      </x:c>
      <x:c r="G6" t="str">
        <x:v>洗筹口径</x:v>
      </x:c>
      <x:c r="H6" s="95" t="str">
        <x:v>FDV × 外盘费率 × 2</x:v>
      </x:c>
      <x:c r="I6" t="str">
        <x:v>目标 +1% 理论资金</x:v>
      </x:c>
      <x:c r="J6" s="566" t="n">
        <x:f>INDEX($K$25:$K$65,ROUND(($J$5+1%-80%)/0.5%,0)+1)</x:f>
        <x:v>40407.4361739498</x:v>
      </x:c>
    </x:row>
    <x:row r="7">
      <x:c r="A7" s="55" t="str">
        <x:v>内盘交易手续费</x:v>
      </x:c>
      <x:c r="B7" s="52" t="n">
        <x:v>0.01</x:v>
      </x:c>
      <x:c r="C7"/>
      <x:c r="D7"/>
      <x:c r="G7" t="str">
        <x:v>内盘地址 / 套</x:v>
      </x:c>
      <x:c r="H7" s="100" t="n">
        <x:v>20</x:v>
      </x:c>
      <x:c r="I7" t="str">
        <x:v>额外内盘资金</x:v>
      </x:c>
      <x:c r="J7" s="566" t="n">
        <x:f>$B$5*($H$8-1)</x:f>
        <x:v>10097.475236449869</x:v>
      </x:c>
    </x:row>
    <x:row r="8">
      <x:c r="A8" s="55" t="str">
        <x:v>外盘交易手续费</x:v>
      </x:c>
      <x:c r="B8" s="52" t="n">
        <x:v>0.0025</x:v>
      </x:c>
      <x:c r="C8"/>
      <x:c r="D8"/>
      <x:c r="G8" t="str">
        <x:v>内盘套数</x:v>
      </x:c>
      <x:c r="H8" s="100" t="n">
        <x:v>2</x:v>
      </x:c>
      <x:c r="I8" t="str">
        <x:v>动态洗筹手续费</x:v>
      </x:c>
      <x:c r="J8" s="566" t="n">
        <x:f>INDEX($G$25:$G$65,ROUND(($J$5+1%-80%)/0.5%,0)+1)*$H$9*2</x:f>
        <x:v>4055.6325604838567</x:v>
      </x:c>
    </x:row>
    <x:row r="9">
      <x:c r="A9" s="55" t="str">
        <x:v>内盘初始 token</x:v>
      </x:c>
      <x:c r="B9" s="51" t="n">
        <x:v>1107036752</x:v>
      </x:c>
      <x:c r="C9"/>
      <x:c r="D9"/>
      <x:c r="G9" t="str">
        <x:v>外盘费率</x:v>
      </x:c>
      <x:c r="H9" s="101" t="n">
        <x:f>$B$8</x:f>
        <x:v>0.0025</x:v>
      </x:c>
      <x:c r="I9" t="str">
        <x:v>建议 Quote 资金</x:v>
      </x:c>
      <x:c r="J9" s="566" t="n">
        <x:f>IF(AND(ISNUMBER($J$6),ISNUMBER($H$5)),SUM(J6:J8)+$H$5+$J$11,"")</x:f>
        <x:v>67003.14962574796</x:v>
      </x:c>
    </x:row>
    <x:row r="10">
      <x:c r="A10" s="55" t="str">
        <x:v>内盘初始 Quote</x:v>
      </x:c>
      <x:c r="B10" s="51" t="n">
        <x:v>3837</x:v>
      </x:c>
      <x:c r="C10"/>
      <x:c r="D10"/>
      <x:c r="G10" t="str">
        <x:v>滑点预留</x:v>
      </x:c>
      <x:c r="H10" s="102" t="n">
        <x:v>0</x:v>
      </x:c>
      <x:c r="I10" t="str">
        <x:v>Gas 储备 / BNB</x:v>
      </x:c>
      <x:c r="J10" s="554" t="n">
        <x:f>($H$7*$H$8+$J$3+$J$4)*$H$4</x:f>
        <x:v>2.2</x:v>
      </x:c>
    </x:row>
    <x:row r="11">
      <x:c r="I11" t="str">
        <x:v>恢复目标控筹资金</x:v>
      </x:c>
      <x:c r="J11" s="65" t="n">
        <x:f>MAX(0,($D$6/($D$4-($J$5-$B$6)*$B$4)-$D$6/($D$4-($J$5*(1-$B$8)^2-$B$6)*$B$4))*(1+$B$8))</x:f>
        <x:v>2450.60565486443</x:v>
      </x:c>
    </x:row>
    <x:row r="12" ht="34" customHeight="1">
      <x:c r="A12" s="10" t="str">
        <x:v>控筹率</x:v>
      </x:c>
      <x:c r="B12" s="10" t="str">
        <x:v>pooled token</x:v>
      </x:c>
      <x:c r="C12" s="10" t="str">
        <x:v>pooled USD1</x:v>
      </x:c>
      <x:c r="D12" s="10" t="str">
        <x:v>k</x:v>
      </x:c>
      <x:c r="E12" s="331" t="str">
        <x:v>价格 / USD1</x:v>
      </x:c>
      <x:c r="F12" s="331" t="str">
        <x:v>价格 / USDT</x:v>
      </x:c>
      <x:c r="G12" s="331" t="str">
        <x:v>市值 / USD1</x:v>
      </x:c>
      <x:c r="H12" s="331" t="str">
        <x:v>市值 / USD</x:v>
      </x:c>
      <x:c r="I12" s="331" t="str">
        <x:v>所需 USD1</x:v>
      </x:c>
      <x:c r="J12" s="331" t="str">
        <x:v>加手续费</x:v>
      </x:c>
      <x:c r="K12" s="344" t="str">
        <x:v>理论累计所需</x:v>
      </x:c>
    </x:row>
    <x:row r="13">
      <x:c r="A13" s="57" t="n">
        <x:v>0</x:v>
      </x:c>
      <x:c r="B13" s="63" t="n">
        <x:f>$B$9-A13*$B$4</x:f>
        <x:v>1107036752</x:v>
      </x:c>
      <x:c r="C13" s="63" t="n">
        <x:f>$D$3/B13</x:f>
        <x:v>3837</x:v>
      </x:c>
      <x:c r="D13" s="74" t="n">
        <x:f>B13*C13</x:f>
        <x:v>4247700017424</x:v>
      </x:c>
      <x:c r="E13" s="348" t="n">
        <x:f>C13/B13</x:f>
        <x:v>0.000003466009590980589</x:v>
      </x:c>
      <x:c r="F13" s="348" t="n">
        <x:f>IF(ISNUMBER(E13),E13*$B$3/'币价'!$B$12,"")</x:f>
        <x:v>0.000003468909599405692</x:v>
      </x:c>
      <x:c r="G13" s="561" t="n">
        <x:f>E13*$B$4</x:f>
        <x:v>3466.009590980589</x:v>
      </x:c>
      <x:c r="H13" s="561" t="n">
        <x:f>G13*$B$3</x:f>
        <x:v>3466.009590980589</x:v>
      </x:c>
      <x:c r="I13" s="561" t="n">
        <x:f>0</x:f>
        <x:v>0</x:v>
      </x:c>
      <x:c r="J13" s="561" t="n">
        <x:f>I13*(1+$B$7)</x:f>
        <x:v>0</x:v>
      </x:c>
      <x:c r="K13" s="567" t="n">
        <x:f>0</x:f>
        <x:v>0</x:v>
      </x:c>
    </x:row>
    <x:row r="14">
      <x:c r="A14" s="58" t="n">
        <x:v>0.1</x:v>
      </x:c>
      <x:c r="B14" s="64" t="n">
        <x:f>$B$9-A14*$B$4</x:f>
        <x:v>1007036752</x:v>
      </x:c>
      <x:c r="C14" s="64" t="n">
        <x:f>$D$3/B14</x:f>
        <x:v>4218.0188647414925</x:v>
      </x:c>
      <x:c r="D14" s="75" t="n">
        <x:f>B14*C14</x:f>
        <x:v>4247700017424</x:v>
      </x:c>
      <x:c r="E14" s="374" t="n">
        <x:f>C14/B14</x:f>
        <x:v>0.000004188545111550698</x:v>
      </x:c>
      <x:c r="F14" s="374" t="n">
        <x:f>IF(ISNUMBER(E14),E14*$B$3/'币价'!$B$12,"")</x:f>
        <x:v>0.000004192049665070697</x:v>
      </x:c>
      <x:c r="G14" s="562" t="n">
        <x:f>E14*$B$4</x:f>
        <x:v>4188.5451115506985</x:v>
      </x:c>
      <x:c r="H14" s="562" t="n">
        <x:f>G14*$B$3</x:f>
        <x:v>4188.5451115506985</x:v>
      </x:c>
      <x:c r="I14" s="562" t="n">
        <x:f>C14-C13</x:f>
        <x:v>381.0188647414925</x:v>
      </x:c>
      <x:c r="J14" s="562" t="n">
        <x:f>I14*(1+$B$7)</x:f>
        <x:v>384.8290533889074</x:v>
      </x:c>
      <x:c r="K14" s="567" t="n">
        <x:f>K13+J14</x:f>
        <x:v>384.8290533889074</x:v>
      </x:c>
    </x:row>
    <x:row r="15">
      <x:c r="A15" s="58" t="n">
        <x:v>0.2</x:v>
      </x:c>
      <x:c r="B15" s="64" t="n">
        <x:f>$B$9-A15*$B$4</x:f>
        <x:v>907036752</x:v>
      </x:c>
      <x:c r="C15" s="64" t="n">
        <x:f>$D$3/B15</x:f>
        <x:v>4683.051715443609</x:v>
      </x:c>
      <x:c r="D15" s="75" t="n">
        <x:f>B15*C15</x:f>
        <x:v>4247700017423.9995</x:v>
      </x:c>
      <x:c r="E15" s="374" t="n">
        <x:f>C15/B15</x:f>
        <x:v>0.00000516302311358119</x:v>
      </x:c>
      <x:c r="F15" s="374" t="n">
        <x:f>IF(ISNUMBER(E15),E15*$B$3/'币价'!$B$12,"")</x:f>
        <x:v>0.0000051673430123395054</x:v>
      </x:c>
      <x:c r="G15" s="562" t="n">
        <x:f>E15*$B$4</x:f>
        <x:v>5163.02311358119</x:v>
      </x:c>
      <x:c r="H15" s="562" t="n">
        <x:f>G15*$B$3</x:f>
        <x:v>5163.02311358119</x:v>
      </x:c>
      <x:c r="I15" s="562" t="n">
        <x:f>C15-C14</x:f>
        <x:v>465.0328507021168</x:v>
      </x:c>
      <x:c r="J15" s="562" t="n">
        <x:f>I15*(1+$B$7)</x:f>
        <x:v>469.68317920913796</x:v>
      </x:c>
      <x:c r="K15" s="567" t="n">
        <x:f>K14+J15</x:f>
        <x:v>854.5122325980453</x:v>
      </x:c>
    </x:row>
    <x:row r="16">
      <x:c r="A16" s="58" t="n">
        <x:v>0.3</x:v>
      </x:c>
      <x:c r="B16" s="64" t="n">
        <x:f>$B$9-A16*$B$4</x:f>
        <x:v>807036752</x:v>
      </x:c>
      <x:c r="C16" s="64" t="n">
        <x:f>$D$3/B16</x:f>
        <x:v>5263.329094861345</x:v>
      </x:c>
      <x:c r="D16" s="75" t="n">
        <x:f>B16*C16</x:f>
        <x:v>4247700017423.9995</x:v>
      </x:c>
      <x:c r="E16" s="374" t="n">
        <x:f>C16/B16</x:f>
        <x:v>0.000006521796041899892</x:v>
      </x:c>
      <x:c r="F16" s="374" t="n">
        <x:f>IF(ISNUMBER(E16),E16*$B$3/'币价'!$B$12,"")</x:f>
        <x:v>0.000006527252825261811</x:v>
      </x:c>
      <x:c r="G16" s="562" t="n">
        <x:f>E16*$B$4</x:f>
        <x:v>6521.796041899893</x:v>
      </x:c>
      <x:c r="H16" s="562" t="n">
        <x:f>G16*$B$3</x:f>
        <x:v>6521.796041899893</x:v>
      </x:c>
      <x:c r="I16" s="562" t="n">
        <x:f>C16-C15</x:f>
        <x:v>580.2773794177356</x:v>
      </x:c>
      <x:c r="J16" s="562" t="n">
        <x:f>I16*(1+$B$7)</x:f>
        <x:v>586.080153211913</x:v>
      </x:c>
      <x:c r="K16" s="567" t="n">
        <x:f>K15+J16</x:f>
        <x:v>1440.5923858099582</x:v>
      </x:c>
    </x:row>
    <x:row r="17">
      <x:c r="A17" s="58" t="n">
        <x:v>0.4</x:v>
      </x:c>
      <x:c r="B17" s="64" t="n">
        <x:f>$B$9-A17*$B$4</x:f>
        <x:v>707036752</x:v>
      </x:c>
      <x:c r="C17" s="64" t="n">
        <x:f>$D$3/B17</x:f>
        <x:v>6007.749958412346</x:v>
      </x:c>
      <x:c r="D17" s="75" t="n">
        <x:f>B17*C17</x:f>
        <x:v>4247700017424.0005</x:v>
      </x:c>
      <x:c r="E17" s="374" t="n">
        <x:f>C17/B17</x:f>
        <x:v>0.000008497082989559142</x:v>
      </x:c>
      <x:c r="F17" s="374" t="n">
        <x:f>IF(ISNUMBER(E17),E17*$B$3/'币价'!$B$12,"")</x:f>
        <x:v>0.00000850419249448453</x:v>
      </x:c>
      <x:c r="G17" s="562" t="n">
        <x:f>E17*$B$4</x:f>
        <x:v>8497.082989559141</x:v>
      </x:c>
      <x:c r="H17" s="562" t="n">
        <x:f>G17*$B$3</x:f>
        <x:v>8497.082989559141</x:v>
      </x:c>
      <x:c r="I17" s="562" t="n">
        <x:f>C17-C16</x:f>
        <x:v>744.4208635510013</x:v>
      </x:c>
      <x:c r="J17" s="562" t="n">
        <x:f>I17*(1+$B$7)</x:f>
        <x:v>751.8650721865113</x:v>
      </x:c>
      <x:c r="K17" s="567" t="n">
        <x:f>K16+J17</x:f>
        <x:v>2192.457457996469</x:v>
      </x:c>
    </x:row>
    <x:row r="18">
      <x:c r="A18" s="58" t="n">
        <x:v>0.5</x:v>
      </x:c>
      <x:c r="B18" s="64" t="n">
        <x:f>$B$9-A18*$B$4</x:f>
        <x:v>607036752</x:v>
      </x:c>
      <x:c r="C18" s="64" t="n">
        <x:f>$D$3/B18</x:f>
        <x:v>6997.434674966764</x:v>
      </x:c>
      <x:c r="D18" s="75" t="n">
        <x:f>B18*C18</x:f>
        <x:v>4247700017424</x:v>
      </x:c>
      <x:c r="E18" s="374" t="n">
        <x:f>C18/B18</x:f>
        <x:v>0.000011527201033400962</x:v>
      </x:c>
      <x:c r="F18" s="374" t="n">
        <x:f>IF(ISNUMBER(E18),E18*$B$3/'币价'!$B$12,"")</x:f>
        <x:v>0.000011536845836520292</x:v>
      </x:c>
      <x:c r="G18" s="562" t="n">
        <x:f>E18*$B$4</x:f>
        <x:v>11527.201033400961</x:v>
      </x:c>
      <x:c r="H18" s="562" t="n">
        <x:f>G18*$B$3</x:f>
        <x:v>11527.201033400961</x:v>
      </x:c>
      <x:c r="I18" s="562" t="n">
        <x:f>C18-C17</x:f>
        <x:v>989.6847165544177</x:v>
      </x:c>
      <x:c r="J18" s="562" t="n">
        <x:f>I18*(1+$B$7)</x:f>
        <x:v>999.5815637199619</x:v>
      </x:c>
      <x:c r="K18" s="567" t="n">
        <x:f>K17+J18</x:f>
        <x:v>3192.0390217164313</x:v>
      </x:c>
    </x:row>
    <x:row r="19">
      <x:c r="A19" s="58" t="n">
        <x:v>0.6</x:v>
      </x:c>
      <x:c r="B19" s="64" t="n">
        <x:f>$B$9-A19*$B$4</x:f>
        <x:v>507036752</x:v>
      </x:c>
      <x:c r="C19" s="64" t="n">
        <x:f>$D$3/B19</x:f>
        <x:v>8377.49926542603</x:v>
      </x:c>
      <x:c r="D19" s="75" t="n">
        <x:f>B19*C19</x:f>
        <x:v>4247700017424</x:v>
      </x:c>
      <x:c r="E19" s="374" t="n">
        <x:f>C19/B19</x:f>
        <x:v>0.000016522469490389188</x:v>
      </x:c>
      <x:c r="F19" s="374" t="n">
        <x:f>IF(ISNUMBER(E19),E19*$B$3/'币价'!$B$12,"")</x:f>
        <x:v>0.000016536293832032767</x:v>
      </x:c>
      <x:c r="G19" s="562" t="n">
        <x:f>E19*$B$4</x:f>
        <x:v>16522.469490389187</x:v>
      </x:c>
      <x:c r="H19" s="562" t="n">
        <x:f>G19*$B$3</x:f>
        <x:v>16522.469490389187</x:v>
      </x:c>
      <x:c r="I19" s="562" t="n">
        <x:f>C19-C18</x:f>
        <x:v>1380.0645904592657</x:v>
      </x:c>
      <x:c r="J19" s="562" t="n">
        <x:f>I19*(1+$B$7)</x:f>
        <x:v>1393.8652363638582</x:v>
      </x:c>
      <x:c r="K19" s="567" t="n">
        <x:f>K18+J19</x:f>
        <x:v>4585.90425808029</x:v>
      </x:c>
    </x:row>
    <x:row r="20">
      <x:c r="A20" s="58" t="n">
        <x:v>0.7</x:v>
      </x:c>
      <x:c r="B20" s="64" t="n">
        <x:f>$B$9-A20*$B$4</x:f>
        <x:v>407036752</x:v>
      </x:c>
      <x:c r="C20" s="64" t="n">
        <x:f>$D$3/B20</x:f>
        <x:v>10435.667041250368</x:v>
      </x:c>
      <x:c r="D20" s="75" t="n">
        <x:f>B20*C20</x:f>
        <x:v>4247700017424</x:v>
      </x:c>
      <x:c r="E20" s="374" t="n">
        <x:f>C20/B20</x:f>
        <x:v>0.00002563814444266784</x:v>
      </x:c>
      <x:c r="F20" s="374" t="n">
        <x:f>IF(ISNUMBER(E20),E20*$B$3/'币价'!$B$12,"")</x:f>
        <x:v>0.00002565959586481082</x:v>
      </x:c>
      <x:c r="G20" s="562" t="n">
        <x:f>E20*$B$4</x:f>
        <x:v>25638.14444266784</x:v>
      </x:c>
      <x:c r="H20" s="562" t="n">
        <x:f>G20*$B$3</x:f>
        <x:v>25638.14444266784</x:v>
      </x:c>
      <x:c r="I20" s="562" t="n">
        <x:f>C20-C19</x:f>
        <x:v>2058.1677758243386</x:v>
      </x:c>
      <x:c r="J20" s="562" t="n">
        <x:f>I20*(1+$B$7)</x:f>
        <x:v>2078.749453582582</x:v>
      </x:c>
      <x:c r="K20" s="567" t="n">
        <x:f>K19+J20</x:f>
        <x:v>6664.6537116628715</x:v>
      </x:c>
    </x:row>
    <x:row r="21">
      <x:c r="A21" s="57" t="n">
        <x:v>0.8</x:v>
      </x:c>
      <x:c r="B21" s="63" t="n">
        <x:f>$B$9-A21*$B$4</x:f>
        <x:v>307036752</x:v>
      </x:c>
      <x:c r="C21" s="63" t="n">
        <x:f>$D$3/B21</x:f>
        <x:v>13834.500234108782</x:v>
      </x:c>
      <x:c r="D21" s="74" t="n">
        <x:f>B21*C21</x:f>
        <x:v>4247700017424</x:v>
      </x:c>
      <x:c r="E21" s="348" t="n">
        <x:f>C21/B21</x:f>
        <x:v>0.000045058124618608464</x:v>
      </x:c>
      <x:c r="F21" s="348" t="n">
        <x:f>IF(ISNUMBER(E21),E21*$B$3/'币价'!$B$12,"")</x:f>
        <x:v>0.00004509582472808114</x:v>
      </x:c>
      <x:c r="G21" s="561" t="n">
        <x:f>E21*$B$4</x:f>
        <x:v>45058.12461860846</x:v>
      </x:c>
      <x:c r="H21" s="561" t="n">
        <x:f>G21*$B$3</x:f>
        <x:v>45058.12461860846</x:v>
      </x:c>
      <x:c r="I21" s="561" t="n">
        <x:f>C21-C20</x:f>
        <x:v>3398.833192858414</x:v>
      </x:c>
      <x:c r="J21" s="561" t="n">
        <x:f>I21*(1+$B$7)</x:f>
        <x:v>3432.821524786998</x:v>
      </x:c>
      <x:c r="K21" s="567" t="n">
        <x:f>K20+J21</x:f>
        <x:v>10097.475236449869</x:v>
      </x:c>
    </x:row>
    <x:row r="22">
      <x:c r="A22" s="59"/>
      <x:c r="B22" s="65"/>
      <x:c r="C22" s="17"/>
      <x:c r="D22" s="76"/>
      <x:c r="E22" s="82"/>
      <x:c r="F22" s="88"/>
      <x:c r="G22" s="88"/>
    </x:row>
    <x:row r="23">
      <x:c r="A23" s="59"/>
      <x:c r="B23" s="65"/>
      <x:c r="C23" s="17"/>
      <x:c r="D23" s="76"/>
      <x:c r="E23" s="82"/>
      <x:c r="F23" s="88"/>
      <x:c r="G23" s="88"/>
    </x:row>
    <x:row r="24" ht="34" customHeight="1">
      <x:c r="A24" s="60" t="str">
        <x:v>控筹率</x:v>
      </x:c>
      <x:c r="B24" s="66" t="str">
        <x:v>pooled token</x:v>
      </x:c>
      <x:c r="C24" s="71" t="str">
        <x:v>pooled USD1</x:v>
      </x:c>
      <x:c r="D24" s="77" t="str">
        <x:v>k</x:v>
      </x:c>
      <x:c r="E24" s="391" t="str">
        <x:v>价格 / USD1</x:v>
      </x:c>
      <x:c r="F24" s="391" t="str">
        <x:v>价格 / USDT</x:v>
      </x:c>
      <x:c r="G24" s="393" t="str">
        <x:v>市值 / USD1</x:v>
      </x:c>
      <x:c r="H24" s="393" t="str">
        <x:v>市值 / USD</x:v>
      </x:c>
      <x:c r="I24" s="331" t="str">
        <x:v>所需 USD1</x:v>
      </x:c>
      <x:c r="J24" s="331" t="str">
        <x:v>加手续费</x:v>
      </x:c>
      <x:c r="K24" s="344" t="str">
        <x:v>理论累计所需</x:v>
      </x:c>
    </x:row>
    <x:row r="25">
      <x:c r="A25" s="57" t="n">
        <x:v>0.8</x:v>
      </x:c>
      <x:c r="B25" s="63" t="n">
        <x:f>IF(A25&gt;=1,"",$D$4-(A25-$B$6)*$B$4)</x:f>
        <x:v>199600000</x:v>
      </x:c>
      <x:c r="C25" s="63" t="n">
        <x:f>IF(A25&gt;=1,"",IF(ABS(A25-$B$6)&lt;0.000001,$D$5,$D$6/B25))</x:f>
        <x:v>9997.5</x:v>
      </x:c>
      <x:c r="D25" s="74" t="n">
        <x:f>IF(A25&gt;=1,"",B25*C25)</x:f>
        <x:v>1995501000000</x:v>
      </x:c>
      <x:c r="E25" s="348" t="n">
        <x:f>IF(A25&gt;=1,"",C25/B25)</x:f>
        <x:v>0.000050087675350701405</x:v>
      </x:c>
      <x:c r="F25" s="348" t="n">
        <x:f>IF(ISNUMBER(E25),E25*$B$3/'币价'!$B$12,"")</x:f>
        <x:v>0.00005012958368266011</x:v>
      </x:c>
      <x:c r="G25" s="561" t="n">
        <x:f>IF(A25&gt;=1,"",E25*$B$4)</x:f>
        <x:v>50087.67535070141</x:v>
      </x:c>
      <x:c r="H25" s="561" t="n">
        <x:f>IF(A25&gt;=1,"",G25*$B$3)</x:f>
        <x:v>50087.67535070141</x:v>
      </x:c>
      <x:c r="I25" s="561" t="n">
        <x:f>IF(A25&gt;=1,"",0)</x:f>
        <x:v>0</x:v>
      </x:c>
      <x:c r="J25" s="561" t="n">
        <x:f>IF(A25&gt;=1,"",I25*(1+$B$8))</x:f>
        <x:v>0</x:v>
      </x:c>
      <x:c r="K25" s="567" t="n">
        <x:f>IF(A25&gt;=1,"不可达",$B$5+(C25-$D$5)*(1+$B$8))</x:f>
        <x:v>10097.475236449869</x:v>
      </x:c>
    </x:row>
    <x:row r="26">
      <x:c r="A26" s="58" t="n">
        <x:v>0.805</x:v>
      </x:c>
      <x:c r="B26" s="64" t="n">
        <x:f>IF(A26&gt;=1,"",$D$4-(A26-$B$6)*$B$4)</x:f>
        <x:v>194600000</x:v>
      </x:c>
      <x:c r="C26" s="64" t="n">
        <x:f>IF(A26&gt;=1,"",IF(ABS(A26-$B$6)&lt;0.000001,$D$5,$D$6/B26))</x:f>
        <x:v>10254.373072970195</x:v>
      </x:c>
      <x:c r="D26" s="75" t="n">
        <x:f>IF(A26&gt;=1,"",B26*C26)</x:f>
        <x:v>1995501000000</x:v>
      </x:c>
      <x:c r="E26" s="374" t="n">
        <x:f>IF(A26&gt;=1,"",C26/B26)</x:f>
        <x:v>0.000052694620107760504</x:v>
      </x:c>
      <x:c r="F26" s="374" t="n">
        <x:f>IF(ISNUMBER(E26),E26*$B$3/'币价'!$B$12,"")</x:f>
        <x:v>0.00005273870966904382</x:v>
      </x:c>
      <x:c r="G26" s="562" t="n">
        <x:f>IF(A26&gt;=1,"",E26*$B$4)</x:f>
        <x:v>52694.62010776051</x:v>
      </x:c>
      <x:c r="H26" s="562" t="n">
        <x:f>IF(A26&gt;=1,"",G26*$B$3)</x:f>
        <x:v>52694.62010776051</x:v>
      </x:c>
      <x:c r="I26" s="562" t="n">
        <x:f>IF(A26&gt;=1,"",C26-C25)</x:f>
        <x:v>256.8730729701947</x:v>
      </x:c>
      <x:c r="J26" s="562" t="n">
        <x:f>IF(A26&gt;=1,"",I26*(1+$B$8))</x:f>
        <x:v>257.51525565262017</x:v>
      </x:c>
      <x:c r="K26" s="567" t="n">
        <x:f>IF(A26&gt;=1,"不可达",$B$5+(C26-$D$5)*(1+$B$8))</x:f>
        <x:v>10354.99049210249</x:v>
      </x:c>
    </x:row>
    <x:row r="27">
      <x:c r="A27" s="58" t="n">
        <x:v>0.81</x:v>
      </x:c>
      <x:c r="B27" s="64" t="n">
        <x:f>IF(A27&gt;=1,"",$D$4-(A27-$B$6)*$B$4)</x:f>
        <x:v>189600000</x:v>
      </x:c>
      <x:c r="C27" s="64" t="n">
        <x:f>IF(A27&gt;=1,"",IF(ABS(A27-$B$6)&lt;0.000001,$D$5,$D$6/B27))</x:f>
        <x:v>10524.79430379747</x:v>
      </x:c>
      <x:c r="D27" s="75" t="n">
        <x:f>IF(A27&gt;=1,"",B27*C27)</x:f>
        <x:v>1995501000000.0002</x:v>
      </x:c>
      <x:c r="E27" s="374" t="n">
        <x:f>IF(A27&gt;=1,"",C27/B27)</x:f>
        <x:v>0.00005551051847994446</x:v>
      </x:c>
      <x:c r="F27" s="374" t="n">
        <x:f>IF(ISNUMBER(E27),E27*$B$3/'币价'!$B$12,"")</x:f>
        <x:v>0.00005555696410193367</x:v>
      </x:c>
      <x:c r="G27" s="562" t="n">
        <x:f>IF(A27&gt;=1,"",E27*$B$4)</x:f>
        <x:v>55510.51847994446</x:v>
      </x:c>
      <x:c r="H27" s="562" t="n">
        <x:f>IF(A27&gt;=1,"",G27*$B$3)</x:f>
        <x:v>55510.51847994446</x:v>
      </x:c>
      <x:c r="I27" s="562" t="n">
        <x:f>IF(A27&gt;=1,"",C27-C26)</x:f>
        <x:v>270.4212308272745</x:v>
      </x:c>
      <x:c r="J27" s="562" t="n">
        <x:f>IF(A27&gt;=1,"",I27*(1+$B$8))</x:f>
        <x:v>271.09728390434265</x:v>
      </x:c>
      <x:c r="K27" s="567" t="n">
        <x:f>IF(A27&gt;=1,"不可达",$B$5+(C27-$D$5)*(1+$B$8))</x:f>
        <x:v>10626.087776006832</x:v>
      </x:c>
    </x:row>
    <x:row r="28">
      <x:c r="A28" s="58" t="n">
        <x:v>0.815</x:v>
      </x:c>
      <x:c r="B28" s="64" t="n">
        <x:f>IF(A28&gt;=1,"",$D$4-(A28-$B$6)*$B$4)</x:f>
        <x:v>184600000.0000001</x:v>
      </x:c>
      <x:c r="C28" s="64" t="n">
        <x:f>IF(A28&gt;=1,"",IF(ABS(A28-$B$6)&lt;0.000001,$D$5,$D$6/B28))</x:f>
        <x:v>10809.864572047665</x:v>
      </x:c>
      <x:c r="D28" s="75" t="n">
        <x:f>IF(A28&gt;=1,"",B28*C28)</x:f>
        <x:v>1995501000000</x:v>
      </x:c>
      <x:c r="E28" s="374" t="n">
        <x:f>IF(A28&gt;=1,"",C28/B28)</x:f>
        <x:v>0.000058558312958004656</x:v>
      </x:c>
      <x:c r="F28" s="374" t="n">
        <x:f>IF(ISNUMBER(E28),E28*$B$3/'币价'!$B$12,"")</x:f>
        <x:v>0.000058607308668051144</x:v>
      </x:c>
      <x:c r="G28" s="562" t="n">
        <x:f>IF(A28&gt;=1,"",E28*$B$4)</x:f>
        <x:v>58558.31295800466</x:v>
      </x:c>
      <x:c r="H28" s="562" t="n">
        <x:f>IF(A28&gt;=1,"",G28*$B$3)</x:f>
        <x:v>58558.31295800466</x:v>
      </x:c>
      <x:c r="I28" s="562" t="n">
        <x:f>IF(A28&gt;=1,"",C28-C27)</x:f>
        <x:v>285.070268250196</x:v>
      </x:c>
      <x:c r="J28" s="562" t="n">
        <x:f>IF(A28&gt;=1,"",I28*(1+$B$8))</x:f>
        <x:v>285.7829439208215</x:v>
      </x:c>
      <x:c r="K28" s="567" t="n">
        <x:f>IF(A28&gt;=1,"不可达",$B$5+(C28-$D$5)*(1+$B$8))</x:f>
        <x:v>10911.870719927654</x:v>
      </x:c>
    </x:row>
    <x:row r="29">
      <x:c r="A29" s="58" t="n">
        <x:v>0.82</x:v>
      </x:c>
      <x:c r="B29" s="64" t="n">
        <x:f>IF(A29&gt;=1,"",$D$4-(A29-$B$6)*$B$4)</x:f>
        <x:v>179600000.0000001</x:v>
      </x:c>
      <x:c r="C29" s="64" t="n">
        <x:f>IF(A29&gt;=1,"",IF(ABS(A29-$B$6)&lt;0.000001,$D$5,$D$6/B29))</x:f>
        <x:v>11110.807349665918</x:v>
      </x:c>
      <x:c r="D29" s="75" t="n">
        <x:f>IF(A29&gt;=1,"",B29*C29)</x:f>
        <x:v>1995501000000</x:v>
      </x:c>
      <x:c r="E29" s="374" t="n">
        <x:f>IF(A29&gt;=1,"",C29/B29)</x:f>
        <x:v>0.0000618641834613915</x:v>
      </x:c>
      <x:c r="F29" s="374" t="n">
        <x:f>IF(ISNUMBER(E29),E29*$B$3/'币价'!$B$12,"")</x:f>
        <x:v>0.00006191594519157165</x:v>
      </x:c>
      <x:c r="G29" s="562" t="n">
        <x:f>IF(A29&gt;=1,"",E29*$B$4)</x:f>
        <x:v>61864.18346139149</x:v>
      </x:c>
      <x:c r="H29" s="562" t="n">
        <x:f>IF(A29&gt;=1,"",G29*$B$3)</x:f>
        <x:v>61864.18346139149</x:v>
      </x:c>
      <x:c r="I29" s="562" t="n">
        <x:f>IF(A29&gt;=1,"",C29-C28)</x:f>
        <x:v>300.9427776182529</x:v>
      </x:c>
      <x:c r="J29" s="562" t="n">
        <x:f>IF(A29&gt;=1,"",I29*(1+$B$8))</x:f>
        <x:v>301.6951345622985</x:v>
      </x:c>
      <x:c r="K29" s="567" t="n">
        <x:f>IF(A29&gt;=1,"不可达",$B$5+(C29-$D$5)*(1+$B$8))</x:f>
        <x:v>11213.565854489952</x:v>
      </x:c>
    </x:row>
    <x:row r="30">
      <x:c r="A30" s="58" t="n">
        <x:v>0.825</x:v>
      </x:c>
      <x:c r="B30" s="64" t="n">
        <x:f>IF(A30&gt;=1,"",$D$4-(A30-$B$6)*$B$4)</x:f>
        <x:v>174600000.0000001</x:v>
      </x:c>
      <x:c r="C30" s="64" t="n">
        <x:f>IF(A30&gt;=1,"",IF(ABS(A30-$B$6)&lt;0.000001,$D$5,$D$6/B30))</x:f>
        <x:v>11428.986254295527</x:v>
      </x:c>
      <x:c r="D30" s="75" t="n">
        <x:f>IF(A30&gt;=1,"",B30*C30)</x:f>
        <x:v>1995501000000</x:v>
      </x:c>
      <x:c r="E30" s="374" t="n">
        <x:f>IF(A30&gt;=1,"",C30/B30)</x:f>
        <x:v>0.00006545811142208202</x:v>
      </x:c>
      <x:c r="F30" s="374" t="n">
        <x:f>IF(ISNUMBER(E30),E30*$B$3/'币价'!$B$12,"")</x:f>
        <x:v>0.00006551288018992079</x:v>
      </x:c>
      <x:c r="G30" s="562" t="n">
        <x:f>IF(A30&gt;=1,"",E30*$B$4)</x:f>
        <x:v>65458.111422082016</x:v>
      </x:c>
      <x:c r="H30" s="562" t="n">
        <x:f>IF(A30&gt;=1,"",G30*$B$3)</x:f>
        <x:v>65458.111422082016</x:v>
      </x:c>
      <x:c r="I30" s="562" t="n">
        <x:f>IF(A30&gt;=1,"",C30-C29)</x:f>
        <x:v>318.17890462960895</x:v>
      </x:c>
      <x:c r="J30" s="562" t="n">
        <x:f>IF(A30&gt;=1,"",I30*(1+$B$8))</x:f>
        <x:v>318.97435189118295</x:v>
      </x:c>
      <x:c r="K30" s="567" t="n">
        <x:f>IF(A30&gt;=1,"不可达",$B$5+(C30-$D$5)*(1+$B$8))</x:f>
        <x:v>11532.540206381134</x:v>
      </x:c>
    </x:row>
    <x:row r="31">
      <x:c r="A31" s="58" t="n">
        <x:v>0.83</x:v>
      </x:c>
      <x:c r="B31" s="64" t="n">
        <x:f>IF(A31&gt;=1,"",$D$4-(A31-$B$6)*$B$4)</x:f>
        <x:v>169600000.0000001</x:v>
      </x:c>
      <x:c r="C31" s="64" t="n">
        <x:f>IF(A31&gt;=1,"",IF(ABS(A31-$B$6)&lt;0.000001,$D$5,$D$6/B31))</x:f>
        <x:v>11765.925707547163</x:v>
      </x:c>
      <x:c r="D31" s="75" t="n">
        <x:f>IF(A31&gt;=1,"",B31*C31)</x:f>
        <x:v>1995501000000</x:v>
      </x:c>
      <x:c r="E31" s="374" t="n">
        <x:f>IF(A31&gt;=1,"",C31/B31)</x:f>
        <x:v>0.0000693745619548771</x:v>
      </x:c>
      <x:c r="F31" s="374" t="n">
        <x:f>IF(ISNUMBER(E31),E31*$B$3/'币价'!$B$12,"")</x:f>
        <x:v>0.0000694326076148431</x:v>
      </x:c>
      <x:c r="G31" s="562" t="n">
        <x:f>IF(A31&gt;=1,"",E31*$B$4)</x:f>
        <x:v>69374.56195487709</x:v>
      </x:c>
      <x:c r="H31" s="562" t="n">
        <x:f>IF(A31&gt;=1,"",G31*$B$3)</x:f>
        <x:v>69374.56195487709</x:v>
      </x:c>
      <x:c r="I31" s="562" t="n">
        <x:f>IF(A31&gt;=1,"",C31-C30)</x:f>
        <x:v>336.9394532516362</x:v>
      </x:c>
      <x:c r="J31" s="562" t="n">
        <x:f>IF(A31&gt;=1,"",I31*(1+$B$8))</x:f>
        <x:v>337.7818018847653</x:v>
      </x:c>
      <x:c r="K31" s="567" t="n">
        <x:f>IF(A31&gt;=1,"不可达",$B$5+(C31-$D$5)*(1+$B$8))</x:f>
        <x:v>11870.3220082659</x:v>
      </x:c>
    </x:row>
    <x:row r="32">
      <x:c r="A32" s="58" t="n">
        <x:v>0.835</x:v>
      </x:c>
      <x:c r="B32" s="64" t="n">
        <x:f>IF(A32&gt;=1,"",$D$4-(A32-$B$6)*$B$4)</x:f>
        <x:v>164600000.0000001</x:v>
      </x:c>
      <x:c r="C32" s="64" t="n">
        <x:f>IF(A32&gt;=1,"",IF(ABS(A32-$B$6)&lt;0.000001,$D$5,$D$6/B32))</x:f>
        <x:v>12123.335358444709</x:v>
      </x:c>
      <x:c r="D32" s="75" t="n">
        <x:f>IF(A32&gt;=1,"",B32*C32)</x:f>
        <x:v>1995501000000.0002</x:v>
      </x:c>
      <x:c r="E32" s="374" t="n">
        <x:f>IF(A32&gt;=1,"",C32/B32)</x:f>
        <x:v>0.00007365331323477947</x:v>
      </x:c>
      <x:c r="F32" s="374" t="n">
        <x:f>IF(ISNUMBER(E32),E32*$B$3/'币价'!$B$12,"")</x:f>
        <x:v>0.0000737149389237197</x:v>
      </x:c>
      <x:c r="G32" s="562" t="n">
        <x:f>IF(A32&gt;=1,"",E32*$B$4)</x:f>
        <x:v>73653.31323477947</x:v>
      </x:c>
      <x:c r="H32" s="562" t="n">
        <x:f>IF(A32&gt;=1,"",G32*$B$3)</x:f>
        <x:v>73653.31323477947</x:v>
      </x:c>
      <x:c r="I32" s="562" t="n">
        <x:f>IF(A32&gt;=1,"",C32-C31)</x:f>
        <x:v>357.40965089754536</x:v>
      </x:c>
      <x:c r="J32" s="562" t="n">
        <x:f>IF(A32&gt;=1,"",I32*(1+$B$8))</x:f>
        <x:v>358.3031750247892</x:v>
      </x:c>
      <x:c r="K32" s="567" t="n">
        <x:f>IF(A32&gt;=1,"不可达",$B$5+(C32-$D$5)*(1+$B$8))</x:f>
        <x:v>12228.62518329069</x:v>
      </x:c>
    </x:row>
    <x:row r="33">
      <x:c r="A33" s="58" t="n">
        <x:v>0.84</x:v>
      </x:c>
      <x:c r="B33" s="64" t="n">
        <x:f>IF(A33&gt;=1,"",$D$4-(A33-$B$6)*$B$4)</x:f>
        <x:v>159600000.00000006</x:v>
      </x:c>
      <x:c r="C33" s="64" t="n">
        <x:f>IF(A33&gt;=1,"",IF(ABS(A33-$B$6)&lt;0.000001,$D$5,$D$6/B33))</x:f>
        <x:v>12503.139097744357</x:v>
      </x:c>
      <x:c r="D33" s="75" t="n">
        <x:f>IF(A33&gt;=1,"",B33*C33)</x:f>
        <x:v>1995501000000.0002</x:v>
      </x:c>
      <x:c r="E33" s="374" t="n">
        <x:f>IF(A33&gt;=1,"",C33/B33)</x:f>
        <x:v>0.00007834047053724532</x:v>
      </x:c>
      <x:c r="F33" s="374" t="n">
        <x:f>IF(ISNUMBER(E33),E33*$B$3/'币价'!$B$12,"")</x:f>
        <x:v>0.00007840601796826679</x:v>
      </x:c>
      <x:c r="G33" s="562" t="n">
        <x:f>IF(A33&gt;=1,"",E33*$B$4)</x:f>
        <x:v>78340.47053724532</x:v>
      </x:c>
      <x:c r="H33" s="562" t="n">
        <x:f>IF(A33&gt;=1,"",G33*$B$3)</x:f>
        <x:v>78340.47053724532</x:v>
      </x:c>
      <x:c r="I33" s="562" t="n">
        <x:f>IF(A33&gt;=1,"",C33-C32)</x:f>
        <x:v>379.80373929964844</x:v>
      </x:c>
      <x:c r="J33" s="562" t="n">
        <x:f>IF(A33&gt;=1,"",I33*(1+$B$8))</x:f>
        <x:v>380.7532486478975</x:v>
      </x:c>
      <x:c r="K33" s="567" t="n">
        <x:f>IF(A33&gt;=1,"不可达",$B$5+(C33-$D$5)*(1+$B$8))</x:f>
        <x:v>12609.378431938587</x:v>
      </x:c>
    </x:row>
    <x:row r="34">
      <x:c r="A34" s="58" t="n">
        <x:v>0.845</x:v>
      </x:c>
      <x:c r="B34" s="64" t="n">
        <x:f>IF(A34&gt;=1,"",$D$4-(A34-$B$6)*$B$4)</x:f>
        <x:v>154600000.00000006</x:v>
      </x:c>
      <x:c r="C34" s="64" t="n">
        <x:f>IF(A34&gt;=1,"",IF(ABS(A34-$B$6)&lt;0.000001,$D$5,$D$6/B34))</x:f>
        <x:v>12907.509702457952</x:v>
      </x:c>
      <x:c r="D34" s="75" t="n">
        <x:f>IF(A34&gt;=1,"",B34*C34)</x:f>
        <x:v>1995501000000</x:v>
      </x:c>
      <x:c r="E34" s="374" t="n">
        <x:f>IF(A34&gt;=1,"",C34/B34)</x:f>
        <x:v>0.00008348971346997379</x:v>
      </x:c>
      <x:c r="F34" s="374" t="n">
        <x:f>IF(ISNUMBER(E34),E34*$B$3/'币价'!$B$12,"")</x:f>
        <x:v>0.00008355956926988341</x:v>
      </x:c>
      <x:c r="G34" s="562" t="n">
        <x:f>IF(A34&gt;=1,"",E34*$B$4)</x:f>
        <x:v>83489.7134699738</x:v>
      </x:c>
      <x:c r="H34" s="562" t="n">
        <x:f>IF(A34&gt;=1,"",G34*$B$3)</x:f>
        <x:v>83489.7134699738</x:v>
      </x:c>
      <x:c r="I34" s="562" t="n">
        <x:f>IF(A34&gt;=1,"",C34-C33)</x:f>
        <x:v>404.37060471359473</x:v>
      </x:c>
      <x:c r="J34" s="562" t="n">
        <x:f>IF(A34&gt;=1,"",I34*(1+$B$8))</x:f>
        <x:v>405.3815312253787</x:v>
      </x:c>
      <x:c r="K34" s="567" t="n">
        <x:f>IF(A34&gt;=1,"不可达",$B$5+(C34-$D$5)*(1+$B$8))</x:f>
        <x:v>13014.759963163966</x:v>
      </x:c>
    </x:row>
    <x:row r="35">
      <x:c r="A35" s="58" t="n">
        <x:v>0.85</x:v>
      </x:c>
      <x:c r="B35" s="64" t="n">
        <x:f>IF(A35&gt;=1,"",$D$4-(A35-$B$6)*$B$4)</x:f>
        <x:v>149600000.00000006</x:v>
      </x:c>
      <x:c r="C35" s="64" t="n">
        <x:f>IF(A35&gt;=1,"",IF(ABS(A35-$B$6)&lt;0.000001,$D$5,$D$6/B35))</x:f>
        <x:v>13338.910427807481</x:v>
      </x:c>
      <x:c r="D35" s="75" t="n">
        <x:f>IF(A35&gt;=1,"",B35*C35)</x:f>
        <x:v>1995501000000</x:v>
      </x:c>
      <x:c r="E35" s="374" t="n">
        <x:f>IF(A35&gt;=1,"",C35/B35)</x:f>
        <x:v>0.00008916383975807136</x:v>
      </x:c>
      <x:c r="F35" s="374" t="n">
        <x:f>IF(ISNUMBER(E35),E35*$B$3/'币价'!$B$12,"")</x:f>
        <x:v>0.00008923844309650003</x:v>
      </x:c>
      <x:c r="G35" s="562" t="n">
        <x:f>IF(A35&gt;=1,"",E35*$B$4)</x:f>
        <x:v>89163.83975807136</x:v>
      </x:c>
      <x:c r="H35" s="562" t="n">
        <x:f>IF(A35&gt;=1,"",G35*$B$3)</x:f>
        <x:v>89163.83975807136</x:v>
      </x:c>
      <x:c r="I35" s="562" t="n">
        <x:f>IF(A35&gt;=1,"",C35-C34)</x:f>
        <x:v>431.40072534952924</x:v>
      </x:c>
      <x:c r="J35" s="562" t="n">
        <x:f>IF(A35&gt;=1,"",I35*(1+$B$8))</x:f>
        <x:v>432.47922716290304</x:v>
      </x:c>
      <x:c r="K35" s="567" t="n">
        <x:f>IF(A35&gt;=1,"不可达",$B$5+(C35-$D$5)*(1+$B$8))</x:f>
        <x:v>13447.239190326869</x:v>
      </x:c>
    </x:row>
    <x:row r="36">
      <x:c r="A36" s="58" t="n">
        <x:v>0.855</x:v>
      </x:c>
      <x:c r="B36" s="64" t="n">
        <x:f>IF(A36&gt;=1,"",$D$4-(A36-$B$6)*$B$4)</x:f>
        <x:v>144600000.00000006</x:v>
      </x:c>
      <x:c r="C36" s="64" t="n">
        <x:f>IF(A36&gt;=1,"",IF(ABS(A36-$B$6)&lt;0.000001,$D$5,$D$6/B36))</x:f>
        <x:v>13800.145228215762</x:v>
      </x:c>
      <x:c r="D36" s="75" t="n">
        <x:f>IF(A36&gt;=1,"",B36*C36)</x:f>
        <x:v>1995501000000</x:v>
      </x:c>
      <x:c r="E36" s="374" t="n">
        <x:f>IF(A36&gt;=1,"",C36/B36)</x:f>
        <x:v>0.00009543668899181022</x:v>
      </x:c>
      <x:c r="F36" s="374" t="n">
        <x:f>IF(ISNUMBER(E36),E36*$B$3/'币价'!$B$12,"")</x:f>
        <x:v>0.00009551654081993568</x:v>
      </x:c>
      <x:c r="G36" s="562" t="n">
        <x:f>IF(A36&gt;=1,"",E36*$B$4)</x:f>
        <x:v>95436.68899181022</x:v>
      </x:c>
      <x:c r="H36" s="562" t="n">
        <x:f>IF(A36&gt;=1,"",G36*$B$3)</x:f>
        <x:v>95436.68899181022</x:v>
      </x:c>
      <x:c r="I36" s="562" t="n">
        <x:f>IF(A36&gt;=1,"",C36-C35)</x:f>
        <x:v>461.23480040828144</x:v>
      </x:c>
      <x:c r="J36" s="562" t="n">
        <x:f>IF(A36&gt;=1,"",I36*(1+$B$8))</x:f>
        <x:v>462.3878874093021</x:v>
      </x:c>
      <x:c r="K36" s="567" t="n">
        <x:f>IF(A36&gt;=1,"不可达",$B$5+(C36-$D$5)*(1+$B$8))</x:f>
        <x:v>13909.627077736171</x:v>
      </x:c>
    </x:row>
    <x:row r="37">
      <x:c r="A37" s="58" t="n">
        <x:v>0.86</x:v>
      </x:c>
      <x:c r="B37" s="64" t="n">
        <x:f>IF(A37&gt;=1,"",$D$4-(A37-$B$6)*$B$4)</x:f>
        <x:v>139600000.00000006</x:v>
      </x:c>
      <x:c r="C37" s="64" t="n">
        <x:f>IF(A37&gt;=1,"",IF(ABS(A37-$B$6)&lt;0.000001,$D$5,$D$6/B37))</x:f>
        <x:v>14294.419770773633</x:v>
      </x:c>
      <x:c r="D37" s="75" t="n">
        <x:f>IF(A37&gt;=1,"",B37*C37)</x:f>
        <x:v>1995501000000</x:v>
      </x:c>
      <x:c r="E37" s="374" t="n">
        <x:f>IF(A37&gt;=1,"",C37/B37)</x:f>
        <x:v>0.00010239555709723229</x:v>
      </x:c>
      <x:c r="F37" s="374" t="n">
        <x:f>IF(ISNUMBER(E37),E37*$B$3/'币价'!$B$12,"")</x:f>
        <x:v>0.00010248123140668827</x:v>
      </x:c>
      <x:c r="G37" s="562" t="n">
        <x:f>IF(A37&gt;=1,"",E37*$B$4)</x:f>
        <x:v>102395.55709723229</x:v>
      </x:c>
      <x:c r="H37" s="562" t="n">
        <x:f>IF(A37&gt;=1,"",G37*$B$3)</x:f>
        <x:v>102395.55709723229</x:v>
      </x:c>
      <x:c r="I37" s="562" t="n">
        <x:f>IF(A37&gt;=1,"",C37-C36)</x:f>
        <x:v>494.2745425578705</x:v>
      </x:c>
      <x:c r="J37" s="562" t="n">
        <x:f>IF(A37&gt;=1,"",I37*(1+$B$8))</x:f>
        <x:v>495.51022891426516</x:v>
      </x:c>
      <x:c r="K37" s="567" t="n">
        <x:f>IF(A37&gt;=1,"不可达",$B$5+(C37-$D$5)*(1+$B$8))</x:f>
        <x:v>14405.137306650435</x:v>
      </x:c>
    </x:row>
    <x:row r="38">
      <x:c r="A38" s="58" t="n">
        <x:v>0.865</x:v>
      </x:c>
      <x:c r="B38" s="64" t="n">
        <x:f>IF(A38&gt;=1,"",$D$4-(A38-$B$6)*$B$4)</x:f>
        <x:v>134600000.00000006</x:v>
      </x:c>
      <x:c r="C38" s="64" t="n">
        <x:f>IF(A38&gt;=1,"",IF(ABS(A38-$B$6)&lt;0.000001,$D$5,$D$6/B38))</x:f>
        <x:v>14825.416047548284</x:v>
      </x:c>
      <x:c r="D38" s="75" t="n">
        <x:f>IF(A38&gt;=1,"",B38*C38)</x:f>
        <x:v>1995501000000</x:v>
      </x:c>
      <x:c r="E38" s="374" t="n">
        <x:f>IF(A38&gt;=1,"",C38/B38)</x:f>
        <x:v>0.00011014424998178512</x:v>
      </x:c>
      <x:c r="F38" s="374" t="n">
        <x:f>IF(ISNUMBER(E38),E38*$B$3/'币价'!$B$12,"")</x:f>
        <x:v>0.00011023640761855422</x:v>
      </x:c>
      <x:c r="G38" s="562" t="n">
        <x:f>IF(A38&gt;=1,"",E38*$B$4)</x:f>
        <x:v>110144.24998178512</x:v>
      </x:c>
      <x:c r="H38" s="562" t="n">
        <x:f>IF(A38&gt;=1,"",G38*$B$3)</x:f>
        <x:v>110144.24998178512</x:v>
      </x:c>
      <x:c r="I38" s="562" t="n">
        <x:f>IF(A38&gt;=1,"",C38-C37)</x:f>
        <x:v>530.996276774651</x:v>
      </x:c>
      <x:c r="J38" s="562" t="n">
        <x:f>IF(A38&gt;=1,"",I38*(1+$B$8))</x:f>
        <x:v>532.3237674665877</x:v>
      </x:c>
      <x:c r="K38" s="567" t="n">
        <x:f>IF(A38&gt;=1,"不可达",$B$5+(C38-$D$5)*(1+$B$8))</x:f>
        <x:v>14937.461074117024</x:v>
      </x:c>
    </x:row>
    <x:row r="39">
      <x:c r="A39" s="58" t="n">
        <x:v>0.87</x:v>
      </x:c>
      <x:c r="B39" s="64" t="n">
        <x:f>IF(A39&gt;=1,"",$D$4-(A39-$B$6)*$B$4)</x:f>
        <x:v>129600000.00000004</x:v>
      </x:c>
      <x:c r="C39" s="64" t="n">
        <x:f>IF(A39&gt;=1,"",IF(ABS(A39-$B$6)&lt;0.000001,$D$5,$D$6/B39))</x:f>
        <x:v>15397.384259259254</x:v>
      </x:c>
      <x:c r="D39" s="75" t="n">
        <x:f>IF(A39&gt;=1,"",B39*C39)</x:f>
        <x:v>1995501000000</x:v>
      </x:c>
      <x:c r="E39" s="374" t="n">
        <x:f>IF(A39&gt;=1,"",C39/B39)</x:f>
        <x:v>0.00011880697730909914</x:v>
      </x:c>
      <x:c r="F39" s="374" t="n">
        <x:f>IF(ISNUMBER(E39),E39*$B$3/'币价'!$B$12,"")</x:f>
        <x:v>0.00011890638304532502</x:v>
      </x:c>
      <x:c r="G39" s="562" t="n">
        <x:f>IF(A39&gt;=1,"",E39*$B$4)</x:f>
        <x:v>118806.97730909914</x:v>
      </x:c>
      <x:c r="H39" s="562" t="n">
        <x:f>IF(A39&gt;=1,"",G39*$B$3)</x:f>
        <x:v>118806.97730909914</x:v>
      </x:c>
      <x:c r="I39" s="562" t="n">
        <x:f>IF(A39&gt;=1,"",C39-C38)</x:f>
        <x:v>571.9682117109696</x:v>
      </x:c>
      <x:c r="J39" s="562" t="n">
        <x:f>IF(A39&gt;=1,"",I39*(1+$B$8))</x:f>
        <x:v>573.398132240247</x:v>
      </x:c>
      <x:c r="K39" s="567" t="n">
        <x:f>IF(A39&gt;=1,"不可达",$B$5+(C39-$D$5)*(1+$B$8))</x:f>
        <x:v>15510.85920635727</x:v>
      </x:c>
    </x:row>
    <x:row r="40">
      <x:c r="A40" s="58" t="n">
        <x:v>0.875</x:v>
      </x:c>
      <x:c r="B40" s="64" t="n">
        <x:f>IF(A40&gt;=1,"",$D$4-(A40-$B$6)*$B$4)</x:f>
        <x:v>124600000.00000004</x:v>
      </x:c>
      <x:c r="C40" s="64" t="n">
        <x:f>IF(A40&gt;=1,"",IF(ABS(A40-$B$6)&lt;0.000001,$D$5,$D$6/B40))</x:f>
        <x:v>16015.25682182985</x:v>
      </x:c>
      <x:c r="D40" s="75" t="n">
        <x:f>IF(A40&gt;=1,"",B40*C40)</x:f>
        <x:v>1995501000000</x:v>
      </x:c>
      <x:c r="E40" s="374" t="n">
        <x:f>IF(A40&gt;=1,"",C40/B40)</x:f>
        <x:v>0.00012853336133089761</x:v>
      </x:c>
      <x:c r="F40" s="374" t="n">
        <x:f>IF(ISNUMBER(E40),E40*$B$3/'币价'!$B$12,"")</x:f>
        <x:v>0.00012864090512758428</x:v>
      </x:c>
      <x:c r="G40" s="562" t="n">
        <x:f>IF(A40&gt;=1,"",E40*$B$4)</x:f>
        <x:v>128533.36133089762</x:v>
      </x:c>
      <x:c r="H40" s="562" t="n">
        <x:f>IF(A40&gt;=1,"",G40*$B$3)</x:f>
        <x:v>128533.36133089762</x:v>
      </x:c>
      <x:c r="I40" s="562" t="n">
        <x:f>IF(A40&gt;=1,"",C40-C39)</x:f>
        <x:v>617.8725625705956</x:v>
      </x:c>
      <x:c r="J40" s="562" t="n">
        <x:f>IF(A40&gt;=1,"",I40*(1+$B$8))</x:f>
        <x:v>619.417243977022</x:v>
      </x:c>
      <x:c r="K40" s="567" t="n">
        <x:f>IF(A40&gt;=1,"不可达",$B$5+(C40-$D$5)*(1+$B$8))</x:f>
        <x:v>16130.276450334291</x:v>
      </x:c>
    </x:row>
    <x:row r="41">
      <x:c r="A41" s="58" t="n">
        <x:v>0.88</x:v>
      </x:c>
      <x:c r="B41" s="64" t="n">
        <x:f>IF(A41&gt;=1,"",$D$4-(A41-$B$6)*$B$4)</x:f>
        <x:v>119600000.00000004</x:v>
      </x:c>
      <x:c r="C41" s="64" t="n">
        <x:f>IF(A41&gt;=1,"",IF(ABS(A41-$B$6)&lt;0.000001,$D$5,$D$6/B41))</x:f>
        <x:v>16684.79096989966</x:v>
      </x:c>
      <x:c r="D41" s="75" t="n">
        <x:f>IF(A41&gt;=1,"",B41*C41)</x:f>
        <x:v>1995501000000</x:v>
      </x:c>
      <x:c r="E41" s="374" t="n">
        <x:f>IF(A41&gt;=1,"",C41/B41)</x:f>
        <x:v>0.00013950494121989677</x:v>
      </x:c>
      <x:c r="F41" s="374" t="n">
        <x:f>IF(ISNUMBER(E41),E41*$B$3/'币价'!$B$12,"")</x:f>
        <x:v>0.00013962166493177973</x:v>
      </x:c>
      <x:c r="G41" s="562" t="n">
        <x:f>IF(A41&gt;=1,"",E41*$B$4)</x:f>
        <x:v>139504.94121989678</x:v>
      </x:c>
      <x:c r="H41" s="562" t="n">
        <x:f>IF(A41&gt;=1,"",G41*$B$3)</x:f>
        <x:v>139504.94121989678</x:v>
      </x:c>
      <x:c r="I41" s="562" t="n">
        <x:f>IF(A41&gt;=1,"",C41-C40)</x:f>
        <x:v>669.5341480698098</x:v>
      </x:c>
      <x:c r="J41" s="562" t="n">
        <x:f>IF(A41&gt;=1,"",I41*(1+$B$8))</x:f>
        <x:v>671.2079834399843</x:v>
      </x:c>
      <x:c r="K41" s="567" t="n">
        <x:f>IF(A41&gt;=1,"不可达",$B$5+(C41-$D$5)*(1+$B$8))</x:f>
        <x:v>16801.484433774276</x:v>
      </x:c>
    </x:row>
    <x:row r="42">
      <x:c r="A42" s="58" t="n">
        <x:v>0.885</x:v>
      </x:c>
      <x:c r="B42" s="64" t="n">
        <x:f>IF(A42&gt;=1,"",$D$4-(A42-$B$6)*$B$4)</x:f>
        <x:v>114600000.00000003</x:v>
      </x:c>
      <x:c r="C42" s="64" t="n">
        <x:f>IF(A42&gt;=1,"",IF(ABS(A42-$B$6)&lt;0.000001,$D$5,$D$6/B42))</x:f>
        <x:v>17412.74869109947</x:v>
      </x:c>
      <x:c r="D42" s="75" t="n">
        <x:f>IF(A42&gt;=1,"",B42*C42)</x:f>
        <x:v>1995500999999.9998</x:v>
      </x:c>
      <x:c r="E42" s="374" t="n">
        <x:f>IF(A42&gt;=1,"",C42/B42)</x:f>
        <x:v>0.00015194370585601627</x:v>
      </x:c>
      <x:c r="F42" s="374" t="n">
        <x:f>IF(ISNUMBER(E42),E42*$B$3/'币价'!$B$12,"")</x:f>
        <x:v>0.00015207083707581163</x:v>
      </x:c>
      <x:c r="G42" s="562" t="n">
        <x:f>IF(A42&gt;=1,"",E42*$B$4)</x:f>
        <x:v>151943.70585601628</x:v>
      </x:c>
      <x:c r="H42" s="562" t="n">
        <x:f>IF(A42&gt;=1,"",G42*$B$3)</x:f>
        <x:v>151943.70585601628</x:v>
      </x:c>
      <x:c r="I42" s="562" t="n">
        <x:f>IF(A42&gt;=1,"",C42-C41)</x:f>
        <x:v>727.9577211998112</x:v>
      </x:c>
      <x:c r="J42" s="562" t="n">
        <x:f>IF(A42&gt;=1,"",I42*(1+$B$8))</x:f>
        <x:v>729.7776155028107</x:v>
      </x:c>
      <x:c r="K42" s="567" t="n">
        <x:f>IF(A42&gt;=1,"不可达",$B$5+(C42-$D$5)*(1+$B$8))</x:f>
        <x:v>17531.262049277087</x:v>
      </x:c>
    </x:row>
    <x:row r="43">
      <x:c r="A43" s="58" t="n">
        <x:v>0.89</x:v>
      </x:c>
      <x:c r="B43" s="64" t="n">
        <x:f>IF(A43&gt;=1,"",$D$4-(A43-$B$6)*$B$4)</x:f>
        <x:v>109600000.00000003</x:v>
      </x:c>
      <x:c r="C43" s="64" t="n">
        <x:f>IF(A43&gt;=1,"",IF(ABS(A43-$B$6)&lt;0.000001,$D$5,$D$6/B43))</x:f>
        <x:v>18207.125912408756</x:v>
      </x:c>
      <x:c r="D43" s="75" t="n">
        <x:f>IF(A43&gt;=1,"",B43*C43)</x:f>
        <x:v>1995501000000.0002</x:v>
      </x:c>
      <x:c r="E43" s="374" t="n">
        <x:f>IF(A43&gt;=1,"",C43/B43)</x:f>
        <x:v>0.0001661234116095689</x:v>
      </x:c>
      <x:c r="F43" s="374" t="n">
        <x:f>IF(ISNUMBER(E43),E43*$B$3/'币价'!$B$12,"")</x:f>
        <x:v>0.00016626240698180568</x:v>
      </x:c>
      <x:c r="G43" s="562" t="n">
        <x:f>IF(A43&gt;=1,"",E43*$B$4)</x:f>
        <x:v>166123.4116095689</x:v>
      </x:c>
      <x:c r="H43" s="562" t="n">
        <x:f>IF(A43&gt;=1,"",G43*$B$3)</x:f>
        <x:v>166123.4116095689</x:v>
      </x:c>
      <x:c r="I43" s="562" t="n">
        <x:f>IF(A43&gt;=1,"",C43-C42)</x:f>
        <x:v>794.3772213092852</x:v>
      </x:c>
      <x:c r="J43" s="562" t="n">
        <x:f>IF(A43&gt;=1,"",I43*(1+$B$8))</x:f>
        <x:v>796.3631643625585</x:v>
      </x:c>
      <x:c r="K43" s="567" t="n">
        <x:f>IF(A43&gt;=1,"不可达",$B$5+(C43-$D$5)*(1+$B$8))</x:f>
        <x:v>18327.625213639643</x:v>
      </x:c>
    </x:row>
    <x:row r="44">
      <x:c r="A44" s="58" t="n">
        <x:v>0.895</x:v>
      </x:c>
      <x:c r="B44" s="64" t="n">
        <x:f>IF(A44&gt;=1,"",$D$4-(A44-$B$6)*$B$4)</x:f>
        <x:v>104600000.00000003</x:v>
      </x:c>
      <x:c r="C44" s="64" t="n">
        <x:f>IF(A44&gt;=1,"",IF(ABS(A44-$B$6)&lt;0.000001,$D$5,$D$6/B44))</x:f>
        <x:v>19077.447418738044</x:v>
      </x:c>
      <x:c r="D44" s="75" t="n">
        <x:f>IF(A44&gt;=1,"",B44*C44)</x:f>
        <x:v>1995501000000</x:v>
      </x:c>
      <x:c r="E44" s="374" t="n">
        <x:f>IF(A44&gt;=1,"",C44/B44)</x:f>
        <x:v>0.00018238477455772504</x:v>
      </x:c>
      <x:c r="F44" s="374" t="n">
        <x:f>IF(ISNUMBER(E44),E44*$B$3/'币价'!$B$12,"")</x:f>
        <x:v>0.0001825373758038971</x:v>
      </x:c>
      <x:c r="G44" s="562" t="n">
        <x:f>IF(A44&gt;=1,"",E44*$B$4)</x:f>
        <x:v>182384.77455772503</x:v>
      </x:c>
      <x:c r="H44" s="562" t="n">
        <x:f>IF(A44&gt;=1,"",G44*$B$3)</x:f>
        <x:v>182384.77455772503</x:v>
      </x:c>
      <x:c r="I44" s="562" t="n">
        <x:f>IF(A44&gt;=1,"",C44-C43)</x:f>
        <x:v>870.3215063292882</x:v>
      </x:c>
      <x:c r="J44" s="562" t="n">
        <x:f>IF(A44&gt;=1,"",I44*(1+$B$8))</x:f>
        <x:v>872.4973100951114</x:v>
      </x:c>
      <x:c r="K44" s="567" t="n">
        <x:f>IF(A44&gt;=1,"不可达",$B$5+(C44-$D$5)*(1+$B$8))</x:f>
        <x:v>19200.122523734757</x:v>
      </x:c>
    </x:row>
    <x:row r="45">
      <x:c r="A45" s="58" t="n">
        <x:v>0.9</x:v>
      </x:c>
      <x:c r="B45" s="64" t="n">
        <x:f>IF(A45&gt;=1,"",$D$4-(A45-$B$6)*$B$4)</x:f>
        <x:v>99600000.00000001</x:v>
      </x:c>
      <x:c r="C45" s="64" t="n">
        <x:f>IF(A45&gt;=1,"",IF(ABS(A45-$B$6)&lt;0.000001,$D$5,$D$6/B45))</x:f>
        <x:v>20035.150602409634</x:v>
      </x:c>
      <x:c r="D45" s="75" t="n">
        <x:f>IF(A45&gt;=1,"",B45*C45)</x:f>
        <x:v>1995500999999.9998</x:v>
      </x:c>
      <x:c r="E45" s="374" t="n">
        <x:f>IF(A45&gt;=1,"",C45/B45)</x:f>
        <x:v>0.00020115613054628144</x:v>
      </x:c>
      <x:c r="F45" s="374" t="n">
        <x:f>IF(ISNUMBER(E45),E45*$B$3/'币价'!$B$12,"")</x:f>
        <x:v>0.00020132443777626238</x:v>
      </x:c>
      <x:c r="G45" s="562" t="n">
        <x:f>IF(A45&gt;=1,"",E45*$B$4)</x:f>
        <x:v>201156.13054628143</x:v>
      </x:c>
      <x:c r="H45" s="562" t="n">
        <x:f>IF(A45&gt;=1,"",G45*$B$3)</x:f>
        <x:v>201156.13054628143</x:v>
      </x:c>
      <x:c r="I45" s="562" t="n">
        <x:f>IF(A45&gt;=1,"",C45-C44)</x:f>
        <x:v>957.7031836715905</x:v>
      </x:c>
      <x:c r="J45" s="562" t="n">
        <x:f>IF(A45&gt;=1,"",I45*(1+$B$8))</x:f>
        <x:v>960.0974416307695</x:v>
      </x:c>
      <x:c r="K45" s="567" t="n">
        <x:f>IF(A45&gt;=1,"不可达",$B$5+(C45-$D$5)*(1+$B$8))</x:f>
        <x:v>20160.219965365526</x:v>
      </x:c>
    </x:row>
    <x:row r="46">
      <x:c r="A46" s="58" t="n">
        <x:v>0.905</x:v>
      </x:c>
      <x:c r="B46" s="64" t="n">
        <x:f>IF(A46&gt;=1,"",$D$4-(A46-$B$6)*$B$4)</x:f>
        <x:v>94600000.00000001</x:v>
      </x:c>
      <x:c r="C46" s="64" t="n">
        <x:f>IF(A46&gt;=1,"",IF(ABS(A46-$B$6)&lt;0.000001,$D$5,$D$6/B46))</x:f>
        <x:v>21094.090909090904</x:v>
      </x:c>
      <x:c r="D46" s="75" t="n">
        <x:f>IF(A46&gt;=1,"",B46*C46)</x:f>
        <x:v>1995500999999.9998</x:v>
      </x:c>
      <x:c r="E46" s="374" t="n">
        <x:f>IF(A46&gt;=1,"",C46/B46)</x:f>
        <x:v>0.0002229819334999038</x:v>
      </x:c>
      <x:c r="F46" s="374" t="n">
        <x:f>IF(ISNUMBER(E46),E46*$B$3/'币价'!$B$12,"")</x:f>
        <x:v>0.00022316850236788336</x:v>
      </x:c>
      <x:c r="G46" s="562" t="n">
        <x:f>IF(A46&gt;=1,"",E46*$B$4)</x:f>
        <x:v>222981.93349990383</x:v>
      </x:c>
      <x:c r="H46" s="562" t="n">
        <x:f>IF(A46&gt;=1,"",G46*$B$3)</x:f>
        <x:v>222981.93349990383</x:v>
      </x:c>
      <x:c r="I46" s="562" t="n">
        <x:f>IF(A46&gt;=1,"",C46-C45)</x:f>
        <x:v>1058.9403066812702</x:v>
      </x:c>
      <x:c r="J46" s="562" t="n">
        <x:f>IF(A46&gt;=1,"",I46*(1+$B$8))</x:f>
        <x:v>1061.5876574479732</x:v>
      </x:c>
      <x:c r="K46" s="567" t="n">
        <x:f>IF(A46&gt;=1,"不可达",$B$5+(C46-$D$5)*(1+$B$8))</x:f>
        <x:v>21221.8076228135</x:v>
      </x:c>
    </x:row>
    <x:row r="47">
      <x:c r="A47" s="58" t="n">
        <x:v>0.91</x:v>
      </x:c>
      <x:c r="B47" s="64" t="n">
        <x:f>IF(A47&gt;=1,"",$D$4-(A47-$B$6)*$B$4)</x:f>
        <x:v>89600000.00000001</x:v>
      </x:c>
      <x:c r="C47" s="64" t="n">
        <x:f>IF(A47&gt;=1,"",IF(ABS(A47-$B$6)&lt;0.000001,$D$5,$D$6/B47))</x:f>
        <x:v>22271.216517857138</x:v>
      </x:c>
      <x:c r="D47" s="75" t="n">
        <x:f>IF(A47&gt;=1,"",B47*C47)</x:f>
        <x:v>1995500999999.9998</x:v>
      </x:c>
      <x:c r="E47" s="374" t="n">
        <x:f>IF(A47&gt;=1,"",C47/B47)</x:f>
        <x:v>0.00024856268435108407</x:v>
      </x:c>
      <x:c r="F47" s="374" t="n">
        <x:f>IF(ISNUMBER(E47),E47*$B$3/'币价'!$B$12,"")</x:f>
        <x:v>0.0002487706566200184</x:v>
      </x:c>
      <x:c r="G47" s="562" t="n">
        <x:f>IF(A47&gt;=1,"",E47*$B$4)</x:f>
        <x:v>248562.68435108408</x:v>
      </x:c>
      <x:c r="H47" s="562" t="n">
        <x:f>IF(A47&gt;=1,"",G47*$B$3)</x:f>
        <x:v>248562.68435108408</x:v>
      </x:c>
      <x:c r="I47" s="562" t="n">
        <x:f>IF(A47&gt;=1,"",C47-C46)</x:f>
        <x:v>1177.1256087662332</x:v>
      </x:c>
      <x:c r="J47" s="562" t="n">
        <x:f>IF(A47&gt;=1,"",I47*(1+$B$8))</x:f>
        <x:v>1180.0684227881486</x:v>
      </x:c>
      <x:c r="K47" s="567" t="n">
        <x:f>IF(A47&gt;=1,"不可达",$B$5+(C47-$D$5)*(1+$B$8))</x:f>
        <x:v>22401.876045601646</x:v>
      </x:c>
    </x:row>
    <x:row r="48">
      <x:c r="A48" s="58" t="n">
        <x:v>0.915</x:v>
      </x:c>
      <x:c r="B48" s="64" t="n">
        <x:f>IF(A48&gt;=1,"",$D$4-(A48-$B$6)*$B$4)</x:f>
        <x:v>84600000.00000001</x:v>
      </x:c>
      <x:c r="C48" s="64" t="n">
        <x:f>IF(A48&gt;=1,"",IF(ABS(A48-$B$6)&lt;0.000001,$D$5,$D$6/B48))</x:f>
        <x:v>23587.482269503544</x:v>
      </x:c>
      <x:c r="D48" s="75" t="n">
        <x:f>IF(A48&gt;=1,"",B48*C48)</x:f>
        <x:v>1995501000000.0002</x:v>
      </x:c>
      <x:c r="E48" s="374" t="n">
        <x:f>IF(A48&gt;=1,"",C48/B48)</x:f>
        <x:v>0.00027881184715725224</x:v>
      </x:c>
      <x:c r="F48" s="374" t="n">
        <x:f>IF(ISNUMBER(E48),E48*$B$3/'币价'!$B$12,"")</x:f>
        <x:v>0.00027904512888500007</x:v>
      </x:c>
      <x:c r="G48" s="562" t="n">
        <x:f>IF(A48&gt;=1,"",E48*$B$4)</x:f>
        <x:v>278811.84715725225</x:v>
      </x:c>
      <x:c r="H48" s="562" t="n">
        <x:f>IF(A48&gt;=1,"",G48*$B$3)</x:f>
        <x:v>278811.84715725225</x:v>
      </x:c>
      <x:c r="I48" s="562" t="n">
        <x:f>IF(A48&gt;=1,"",C48-C47)</x:f>
        <x:v>1316.265751646406</x:v>
      </x:c>
      <x:c r="J48" s="562" t="n">
        <x:f>IF(A48&gt;=1,"",I48*(1+$B$8))</x:f>
        <x:v>1319.556416025522</x:v>
      </x:c>
      <x:c r="K48" s="567" t="n">
        <x:f>IF(A48&gt;=1,"不可达",$B$5+(C48-$D$5)*(1+$B$8))</x:f>
        <x:v>23721.43246162717</x:v>
      </x:c>
    </x:row>
    <x:row r="49">
      <x:c r="A49" s="58" t="n">
        <x:v>0.92</x:v>
      </x:c>
      <x:c r="B49" s="64" t="n">
        <x:f>IF(A49&gt;=1,"",$D$4-(A49-$B$6)*$B$4)</x:f>
        <x:v>79600000</x:v>
      </x:c>
      <x:c r="C49" s="64" t="n">
        <x:f>IF(A49&gt;=1,"",IF(ABS(A49-$B$6)&lt;0.000001,$D$5,$D$6/B49))</x:f>
        <x:v>25069.108040201005</x:v>
      </x:c>
      <x:c r="D49" s="75" t="n">
        <x:f>IF(A49&gt;=1,"",B49*C49)</x:f>
        <x:v>1995501000000</x:v>
      </x:c>
      <x:c r="E49" s="374" t="n">
        <x:f>IF(A49&gt;=1,"",C49/B49)</x:f>
        <x:v>0.0003149385432186056</x:v>
      </x:c>
      <x:c r="F49" s="374" t="n">
        <x:f>IF(ISNUMBER(E49),E49*$B$3/'币价'!$B$12,"")</x:f>
        <x:v>0.00031520205213418976</x:v>
      </x:c>
      <x:c r="G49" s="562" t="n">
        <x:f>IF(A49&gt;=1,"",E49*$B$4)</x:f>
        <x:v>314938.54321860557</x:v>
      </x:c>
      <x:c r="H49" s="562" t="n">
        <x:f>IF(A49&gt;=1,"",G49*$B$3)</x:f>
        <x:v>314938.54321860557</x:v>
      </x:c>
      <x:c r="I49" s="562" t="n">
        <x:f>IF(A49&gt;=1,"",C49-C48)</x:f>
        <x:v>1481.6257706974611</x:v>
      </x:c>
      <x:c r="J49" s="562" t="n">
        <x:f>IF(A49&gt;=1,"",I49*(1+$B$8))</x:f>
        <x:v>1485.3298351242047</x:v>
      </x:c>
      <x:c r="K49" s="567" t="n">
        <x:f>IF(A49&gt;=1,"不可达",$B$5+(C49-$D$5)*(1+$B$8))</x:f>
        <x:v>25206.762296751374</x:v>
      </x:c>
    </x:row>
    <x:row r="50">
      <x:c r="A50" s="58" t="n">
        <x:v>0.925</x:v>
      </x:c>
      <x:c r="B50" s="64" t="n">
        <x:f>IF(A50&gt;=1,"",$D$4-(A50-$B$6)*$B$4)</x:f>
        <x:v>74600000</x:v>
      </x:c>
      <x:c r="C50" s="64" t="n">
        <x:f>IF(A50&gt;=1,"",IF(ABS(A50-$B$6)&lt;0.000001,$D$5,$D$6/B50))</x:f>
        <x:v>26749.343163538873</x:v>
      </x:c>
      <x:c r="D50" s="75" t="n">
        <x:f>IF(A50&gt;=1,"",B50*C50)</x:f>
        <x:v>1995501000000</x:v>
      </x:c>
      <x:c r="E50" s="374" t="n">
        <x:f>IF(A50&gt;=1,"",C50/B50)</x:f>
        <x:v>0.0003585702836935506</x:v>
      </x:c>
      <x:c r="F50" s="374" t="n">
        <x:f>IF(ISNUMBER(E50),E50*$B$3/'币价'!$B$12,"")</x:f>
        <x:v>0.00035887029926373506</x:v>
      </x:c>
      <x:c r="G50" s="562" t="n">
        <x:f>IF(A50&gt;=1,"",E50*$B$4)</x:f>
        <x:v>358570.28369355056</x:v>
      </x:c>
      <x:c r="H50" s="562" t="n">
        <x:f>IF(A50&gt;=1,"",G50*$B$3)</x:f>
        <x:v>358570.28369355056</x:v>
      </x:c>
      <x:c r="I50" s="562" t="n">
        <x:f>IF(A50&gt;=1,"",C50-C49)</x:f>
        <x:v>1680.2351233378686</x:v>
      </x:c>
      <x:c r="J50" s="562" t="n">
        <x:f>IF(A50&gt;=1,"",I50*(1+$B$8))</x:f>
        <x:v>1684.4357111462132</x:v>
      </x:c>
      <x:c r="K50" s="567" t="n">
        <x:f>IF(A50&gt;=1,"不可达",$B$5+(C50-$D$5)*(1+$B$8))</x:f>
        <x:v>26891.19800789759</x:v>
      </x:c>
    </x:row>
    <x:row r="51">
      <x:c r="A51" s="58" t="n">
        <x:v>0.93</x:v>
      </x:c>
      <x:c r="B51" s="64" t="n">
        <x:f>IF(A51&gt;=1,"",$D$4-(A51-$B$6)*$B$4)</x:f>
        <x:v>69600000</x:v>
      </x:c>
      <x:c r="C51" s="64" t="n">
        <x:f>IF(A51&gt;=1,"",IF(ABS(A51-$B$6)&lt;0.000001,$D$5,$D$6/B51))</x:f>
        <x:v>28670.991379310344</x:v>
      </x:c>
      <x:c r="D51" s="75" t="n">
        <x:f>IF(A51&gt;=1,"",B51*C51)</x:f>
        <x:v>1995501000000</x:v>
      </x:c>
      <x:c r="E51" s="374" t="n">
        <x:f>IF(A51&gt;=1,"",C51/B51)</x:f>
        <x:v>0.0004119395313119302</x:v>
      </x:c>
      <x:c r="F51" s="374" t="n">
        <x:f>IF(ISNUMBER(E51),E51*$B$3/'币价'!$B$12,"")</x:f>
        <x:v>0.0004122842009038858</x:v>
      </x:c>
      <x:c r="G51" s="562" t="n">
        <x:f>IF(A51&gt;=1,"",E51*$B$4)</x:f>
        <x:v>411939.5313119302</x:v>
      </x:c>
      <x:c r="H51" s="562" t="n">
        <x:f>IF(A51&gt;=1,"",G51*$B$3)</x:f>
        <x:v>411939.5313119302</x:v>
      </x:c>
      <x:c r="I51" s="562" t="n">
        <x:f>IF(A51&gt;=1,"",C51-C50)</x:f>
        <x:v>1921.6482157714709</x:v>
      </x:c>
      <x:c r="J51" s="562" t="n">
        <x:f>IF(A51&gt;=1,"",I51*(1+$B$8))</x:f>
        <x:v>1926.4523363108995</x:v>
      </x:c>
      <x:c r="K51" s="567" t="n">
        <x:f>IF(A51&gt;=1,"不可达",$B$5+(C51-$D$5)*(1+$B$8))</x:f>
        <x:v>28817.650344208487</x:v>
      </x:c>
    </x:row>
    <x:row r="52">
      <x:c r="A52" s="58" t="n">
        <x:v>0.935</x:v>
      </x:c>
      <x:c r="B52" s="64" t="n">
        <x:f>IF(A52&gt;=1,"",$D$4-(A52-$B$6)*$B$4)</x:f>
        <x:v>64600000</x:v>
      </x:c>
      <x:c r="C52" s="64" t="n">
        <x:f>IF(A52&gt;=1,"",IF(ABS(A52-$B$6)&lt;0.000001,$D$5,$D$6/B52))</x:f>
        <x:v>30890.108359133126</x:v>
      </x:c>
      <x:c r="D52" s="75" t="n">
        <x:f>IF(A52&gt;=1,"",B52*C52)</x:f>
        <x:v>1995501000000</x:v>
      </x:c>
      <x:c r="E52" s="374" t="n">
        <x:f>IF(A52&gt;=1,"",C52/B52)</x:f>
        <x:v>0.0004781750519989648</x:v>
      </x:c>
      <x:c r="F52" s="374" t="n">
        <x:f>IF(ISNUMBER(E52),E52*$B$3/'币价'!$B$12,"")</x:f>
        <x:v>0.00047857514081668754</x:v>
      </x:c>
      <x:c r="G52" s="562" t="n">
        <x:f>IF(A52&gt;=1,"",E52*$B$4)</x:f>
        <x:v>478175.0519989648</x:v>
      </x:c>
      <x:c r="H52" s="562" t="n">
        <x:f>IF(A52&gt;=1,"",G52*$B$3)</x:f>
        <x:v>478175.0519989648</x:v>
      </x:c>
      <x:c r="I52" s="562" t="n">
        <x:f>IF(A52&gt;=1,"",C52-C51)</x:f>
        <x:v>2219.116979822782</x:v>
      </x:c>
      <x:c r="J52" s="562" t="n">
        <x:f>IF(A52&gt;=1,"",I52*(1+$B$8))</x:f>
        <x:v>2224.6647722723387</x:v>
      </x:c>
      <x:c r="K52" s="567" t="n">
        <x:f>IF(A52&gt;=1,"不可达",$B$5+(C52-$D$5)*(1+$B$8))</x:f>
        <x:v>31042.31511648083</x:v>
      </x:c>
    </x:row>
    <x:row r="53">
      <x:c r="A53" s="58" t="n">
        <x:v>0.94</x:v>
      </x:c>
      <x:c r="B53" s="64" t="n">
        <x:f>IF(A53&gt;=1,"",$D$4-(A53-$B$6)*$B$4)</x:f>
        <x:v>59600000.00000009</x:v>
      </x:c>
      <x:c r="C53" s="64" t="n">
        <x:f>IF(A53&gt;=1,"",IF(ABS(A53-$B$6)&lt;0.000001,$D$5,$D$6/B53))</x:f>
        <x:v>33481.56040268451</x:v>
      </x:c>
      <x:c r="D53" s="75" t="n">
        <x:f>IF(A53&gt;=1,"",B53*C53)</x:f>
        <x:v>1995500999999.9998</x:v>
      </x:c>
      <x:c r="E53" s="374" t="n">
        <x:f>IF(A53&gt;=1,"",C53/B53)</x:f>
        <x:v>0.000561771147696048</x:v>
      </x:c>
      <x:c r="F53" s="374" t="n">
        <x:f>IF(ISNUMBER(E53),E53*$B$3/'币价'!$B$12,"")</x:f>
        <x:v>0.0005622411813236345</x:v>
      </x:c>
      <x:c r="G53" s="562" t="n">
        <x:f>IF(A53&gt;=1,"",E53*$B$4)</x:f>
        <x:v>561771.147696048</x:v>
      </x:c>
      <x:c r="H53" s="562" t="n">
        <x:f>IF(A53&gt;=1,"",G53*$B$3)</x:f>
        <x:v>561771.147696048</x:v>
      </x:c>
      <x:c r="I53" s="562" t="n">
        <x:f>IF(A53&gt;=1,"",C53-C52)</x:f>
        <x:v>2591.452043551384</x:v>
      </x:c>
      <x:c r="J53" s="562" t="n">
        <x:f>IF(A53&gt;=1,"",I53*(1+$B$8))</x:f>
        <x:v>2597.9306736602625</x:v>
      </x:c>
      <x:c r="K53" s="567" t="n">
        <x:f>IF(A53&gt;=1,"不可达",$B$5+(C53-$D$5)*(1+$B$8))</x:f>
        <x:v>33640.24579014109</x:v>
      </x:c>
    </x:row>
    <x:row r="54">
      <x:c r="A54" s="58" t="n">
        <x:v>0.945</x:v>
      </x:c>
      <x:c r="B54" s="64" t="n">
        <x:f>IF(A54&gt;=1,"",$D$4-(A54-$B$6)*$B$4)</x:f>
        <x:v>54600000.00000009</x:v>
      </x:c>
      <x:c r="C54" s="64" t="n">
        <x:f>IF(A54&gt;=1,"",IF(ABS(A54-$B$6)&lt;0.000001,$D$5,$D$6/B54))</x:f>
        <x:v>36547.6373626373</x:v>
      </x:c>
      <x:c r="D54" s="75" t="n">
        <x:f>IF(A54&gt;=1,"",B54*C54)</x:f>
        <x:v>1995501000000</x:v>
      </x:c>
      <x:c r="E54" s="374" t="n">
        <x:f>IF(A54&gt;=1,"",C54/B54)</x:f>
        <x:v>0.0006693706476673488</x:v>
      </x:c>
      <x:c r="F54" s="374" t="n">
        <x:f>IF(ISNUMBER(E54),E54*$B$3/'币价'!$B$12,"")</x:f>
        <x:v>0.0006699307097406919</x:v>
      </x:c>
      <x:c r="G54" s="562" t="n">
        <x:f>IF(A54&gt;=1,"",E54*$B$4)</x:f>
        <x:v>669370.6476673487</x:v>
      </x:c>
      <x:c r="H54" s="562" t="n">
        <x:f>IF(A54&gt;=1,"",G54*$B$3)</x:f>
        <x:v>669370.6476673487</x:v>
      </x:c>
      <x:c r="I54" s="562" t="n">
        <x:f>IF(A54&gt;=1,"",C54-C53)</x:f>
        <x:v>3066.076959952792</x:v>
      </x:c>
      <x:c r="J54" s="562" t="n">
        <x:f>IF(A54&gt;=1,"",I54*(1+$B$8))</x:f>
        <x:v>3073.742152352674</x:v>
      </x:c>
      <x:c r="K54" s="567" t="n">
        <x:f>IF(A54&gt;=1,"不可达",$B$5+(C54-$D$5)*(1+$B$8))</x:f>
        <x:v>36713.98794249376</x:v>
      </x:c>
    </x:row>
    <x:row r="55">
      <x:c r="A55" s="58" t="n">
        <x:v>0.95</x:v>
      </x:c>
      <x:c r="B55" s="64" t="n">
        <x:f>IF(A55&gt;=1,"",$D$4-(A55-$B$6)*$B$4)</x:f>
        <x:v>49600000.00000009</x:v>
      </x:c>
      <x:c r="C55" s="64" t="n">
        <x:f>IF(A55&gt;=1,"",IF(ABS(A55-$B$6)&lt;0.000001,$D$5,$D$6/B55))</x:f>
        <x:v>40231.87499999993</x:v>
      </x:c>
      <x:c r="D55" s="75" t="n">
        <x:f>IF(A55&gt;=1,"",B55*C55)</x:f>
        <x:v>1995501000000</x:v>
      </x:c>
      <x:c r="E55" s="374" t="n">
        <x:f>IF(A55&gt;=1,"",C55/B55)</x:f>
        <x:v>0.0008111265120967713</x:v>
      </x:c>
      <x:c r="F55" s="374" t="n">
        <x:f>IF(ISNUMBER(E55),E55*$B$3/'币价'!$B$12,"")</x:f>
        <x:v>0.000811805181228278</x:v>
      </x:c>
      <x:c r="G55" s="562" t="n">
        <x:f>IF(A55&gt;=1,"",E55*$B$4)</x:f>
        <x:v>811126.5120967713</x:v>
      </x:c>
      <x:c r="H55" s="562" t="n">
        <x:f>IF(A55&gt;=1,"",G55*$B$3)</x:f>
        <x:v>811126.5120967713</x:v>
      </x:c>
      <x:c r="I55" s="562" t="n">
        <x:f>IF(A55&gt;=1,"",C55-C54)</x:f>
        <x:v>3684.237637362625</x:v>
      </x:c>
      <x:c r="J55" s="562" t="n">
        <x:f>IF(A55&gt;=1,"",I55*(1+$B$8))</x:f>
        <x:v>3693.448231456031</x:v>
      </x:c>
      <x:c r="K55" s="567" t="n">
        <x:f>IF(A55&gt;=1,"不可达",$B$5+(C55-$D$5)*(1+$B$8))</x:f>
        <x:v>40407.4361739498</x:v>
      </x:c>
    </x:row>
    <x:row r="56">
      <x:c r="A56" s="58" t="n">
        <x:v>0.955</x:v>
      </x:c>
      <x:c r="B56" s="64" t="n">
        <x:f>IF(A56&gt;=1,"",$D$4-(A56-$B$6)*$B$4)</x:f>
        <x:v>44600000.00000009</x:v>
      </x:c>
      <x:c r="C56" s="64" t="n">
        <x:f>IF(A56&gt;=1,"",IF(ABS(A56-$B$6)&lt;0.000001,$D$5,$D$6/B56))</x:f>
        <x:v>44742.17488789229</x:v>
      </x:c>
      <x:c r="D56" s="75" t="n">
        <x:f>IF(A56&gt;=1,"",B56*C56)</x:f>
        <x:v>1995501000000</x:v>
      </x:c>
      <x:c r="E56" s="374" t="n">
        <x:f>IF(A56&gt;=1,"",C56/B56)</x:f>
        <x:v>0.0010031877777554304</x:v>
      </x:c>
      <x:c r="F56" s="374" t="n">
        <x:f>IF(ISNUMBER(E56),E56*$B$3/'币价'!$B$12,"")</x:f>
        <x:v>0.001004027144448189</x:v>
      </x:c>
      <x:c r="G56" s="562" t="n">
        <x:f>IF(A56&gt;=1,"",E56*$B$4)</x:f>
        <x:v>1003187.7777554303</x:v>
      </x:c>
      <x:c r="H56" s="562" t="n">
        <x:f>IF(A56&gt;=1,"",G56*$B$3)</x:f>
        <x:v>1003187.7777554303</x:v>
      </x:c>
      <x:c r="I56" s="562" t="n">
        <x:f>IF(A56&gt;=1,"",C56-C55)</x:f>
        <x:v>4510.299887892361</x:v>
      </x:c>
      <x:c r="J56" s="562" t="n">
        <x:f>IF(A56&gt;=1,"",I56*(1+$B$8))</x:f>
        <x:v>4521.575637612092</x:v>
      </x:c>
      <x:c r="K56" s="567" t="n">
        <x:f>IF(A56&gt;=1,"不可达",$B$5+(C56-$D$5)*(1+$B$8))</x:f>
        <x:v>44929.01181156189</x:v>
      </x:c>
    </x:row>
    <x:row r="57">
      <x:c r="A57" s="58" t="n">
        <x:v>0.96</x:v>
      </x:c>
      <x:c r="B57" s="64" t="n">
        <x:f>IF(A57&gt;=1,"",$D$4-(A57-$B$6)*$B$4)</x:f>
        <x:v>39600000.00000009</x:v>
      </x:c>
      <x:c r="C57" s="64" t="n">
        <x:f>IF(A57&gt;=1,"",IF(ABS(A57-$B$6)&lt;0.000001,$D$5,$D$6/B57))</x:f>
        <x:v>50391.43939393928</x:v>
      </x:c>
      <x:c r="D57" s="75" t="n">
        <x:f>IF(A57&gt;=1,"",B57*C57)</x:f>
        <x:v>1995501000000</x:v>
      </x:c>
      <x:c r="E57" s="374" t="n">
        <x:f>IF(A57&gt;=1,"",C57/B57)</x:f>
        <x:v>0.0012725110958065446</x:v>
      </x:c>
      <x:c r="F57" s="374" t="n">
        <x:f>IF(ISNUMBER(E57),E57*$B$3/'币价'!$B$12,"")</x:f>
        <x:v>0.0012735758051796748</x:v>
      </x:c>
      <x:c r="G57" s="562" t="n">
        <x:f>IF(A57&gt;=1,"",E57*$B$4)</x:f>
        <x:v>1272511.0958065446</x:v>
      </x:c>
      <x:c r="H57" s="562" t="n">
        <x:f>IF(A57&gt;=1,"",G57*$B$3)</x:f>
        <x:v>1272511.0958065446</x:v>
      </x:c>
      <x:c r="I57" s="562" t="n">
        <x:f>IF(A57&gt;=1,"",C57-C56)</x:f>
        <x:v>5649.264506046995</x:v>
      </x:c>
      <x:c r="J57" s="562" t="n">
        <x:f>IF(A57&gt;=1,"",I57*(1+$B$8))</x:f>
        <x:v>5663.387667312112</x:v>
      </x:c>
      <x:c r="K57" s="567" t="n">
        <x:f>IF(A57&gt;=1,"不可达",$B$5+(C57-$D$5)*(1+$B$8))</x:f>
        <x:v>50592.399478874</x:v>
      </x:c>
    </x:row>
    <x:row r="58">
      <x:c r="A58" s="58" t="n">
        <x:v>0.965</x:v>
      </x:c>
      <x:c r="B58" s="64" t="n">
        <x:f>IF(A58&gt;=1,"",$D$4-(A58-$B$6)*$B$4)</x:f>
        <x:v>34600000.00000009</x:v>
      </x:c>
      <x:c r="C58" s="64" t="n">
        <x:f>IF(A58&gt;=1,"",IF(ABS(A58-$B$6)&lt;0.000001,$D$5,$D$6/B58))</x:f>
        <x:v>57673.43930635823</x:v>
      </x:c>
      <x:c r="D58" s="75" t="n">
        <x:f>IF(A58&gt;=1,"",B58*C58)</x:f>
        <x:v>1995501000000</x:v>
      </x:c>
      <x:c r="E58" s="374" t="n">
        <x:f>IF(A58&gt;=1,"",C58/B58)</x:f>
        <x:v>0.0016668624076982106</x:v>
      </x:c>
      <x:c r="F58" s="374" t="n">
        <x:f>IF(ISNUMBER(E58),E58*$B$3/'币价'!$B$12,"")</x:f>
        <x:v>0.0016682570706092398</x:v>
      </x:c>
      <x:c r="G58" s="562" t="n">
        <x:f>IF(A58&gt;=1,"",E58*$B$4)</x:f>
        <x:v>1666862.4076982106</x:v>
      </x:c>
      <x:c r="H58" s="562" t="n">
        <x:f>IF(A58&gt;=1,"",G58*$B$3)</x:f>
        <x:v>1666862.4076982106</x:v>
      </x:c>
      <x:c r="I58" s="562" t="n">
        <x:f>IF(A58&gt;=1,"",C58-C57)</x:f>
        <x:v>7281.999912418949</x:v>
      </x:c>
      <x:c r="J58" s="562" t="n">
        <x:f>IF(A58&gt;=1,"",I58*(1+$B$8))</x:f>
        <x:v>7300.204912199996</x:v>
      </x:c>
      <x:c r="K58" s="567" t="n">
        <x:f>IF(A58&gt;=1,"不可达",$B$5+(C58-$D$5)*(1+$B$8))</x:f>
        <x:v>57892.604391074</x:v>
      </x:c>
    </x:row>
    <x:row r="59">
      <x:c r="A59" s="58" t="n">
        <x:v>0.97</x:v>
      </x:c>
      <x:c r="B59" s="64" t="n">
        <x:f>IF(A59&gt;=1,"",$D$4-(A59-$B$6)*$B$4)</x:f>
        <x:v>29600000.00000006</x:v>
      </x:c>
      <x:c r="C59" s="64" t="n">
        <x:f>IF(A59&gt;=1,"",IF(ABS(A59-$B$6)&lt;0.000001,$D$5,$D$6/B59))</x:f>
        <x:v>67415.57432432419</x:v>
      </x:c>
      <x:c r="D59" s="75" t="n">
        <x:f>IF(A59&gt;=1,"",B59*C59)</x:f>
        <x:v>1995501000000</x:v>
      </x:c>
      <x:c r="E59" s="374" t="n">
        <x:f>IF(A59&gt;=1,"",C59/B59)</x:f>
        <x:v>0.0022775531866325695</x:v>
      </x:c>
      <x:c r="F59" s="374" t="n">
        <x:f>IF(ISNUMBER(E59),E59*$B$3/'币价'!$B$12,"")</x:f>
        <x:v>0.0022794588142012414</x:v>
      </x:c>
      <x:c r="G59" s="562" t="n">
        <x:f>IF(A59&gt;=1,"",E59*$B$4)</x:f>
        <x:v>2277553.1866325694</x:v>
      </x:c>
      <x:c r="H59" s="562" t="n">
        <x:f>IF(A59&gt;=1,"",G59*$B$3)</x:f>
        <x:v>2277553.1866325694</x:v>
      </x:c>
      <x:c r="I59" s="562" t="n">
        <x:f>IF(A59&gt;=1,"",C59-C58)</x:f>
        <x:v>9742.135017965957</x:v>
      </x:c>
      <x:c r="J59" s="562" t="n">
        <x:f>IF(A59&gt;=1,"",I59*(1+$B$8))</x:f>
        <x:v>9766.49035551087</x:v>
      </x:c>
      <x:c r="K59" s="567" t="n">
        <x:f>IF(A59&gt;=1,"不可达",$B$5+(C59-$D$5)*(1+$B$8))</x:f>
        <x:v>67659.09474658486</x:v>
      </x:c>
    </x:row>
    <x:row r="60">
      <x:c r="A60" s="58" t="n">
        <x:v>0.975</x:v>
      </x:c>
      <x:c r="B60" s="64" t="n">
        <x:f>IF(A60&gt;=1,"",$D$4-(A60-$B$6)*$B$4)</x:f>
        <x:v>24600000.00000006</x:v>
      </x:c>
      <x:c r="C60" s="64" t="n">
        <x:f>IF(A60&gt;=1,"",IF(ABS(A60-$B$6)&lt;0.000001,$D$5,$D$6/B60))</x:f>
        <x:v>81117.9268292681</x:v>
      </x:c>
      <x:c r="D60" s="75" t="n">
        <x:f>IF(A60&gt;=1,"",B60*C60)</x:f>
        <x:v>1995501000000</x:v>
      </x:c>
      <x:c r="E60" s="374" t="n">
        <x:f>IF(A60&gt;=1,"",C60/B60)</x:f>
        <x:v>0.0032974767003767437</x:v>
      </x:c>
      <x:c r="F60" s="374" t="n">
        <x:f>IF(ISNUMBER(E60),E60*$B$3/'币价'!$B$12,"")</x:f>
        <x:v>0.0033002356974197863</x:v>
      </x:c>
      <x:c r="G60" s="562" t="n">
        <x:f>IF(A60&gt;=1,"",E60*$B$4)</x:f>
        <x:v>3297476.700376744</x:v>
      </x:c>
      <x:c r="H60" s="562" t="n">
        <x:f>IF(A60&gt;=1,"",G60*$B$3)</x:f>
        <x:v>3297476.700376744</x:v>
      </x:c>
      <x:c r="I60" s="562" t="n">
        <x:f>IF(A60&gt;=1,"",C60-C59)</x:f>
        <x:v>13702.352504943905</x:v>
      </x:c>
      <x:c r="J60" s="562" t="n">
        <x:f>IF(A60&gt;=1,"",I60*(1+$B$8))</x:f>
        <x:v>13736.608386206264</x:v>
      </x:c>
      <x:c r="K60" s="567" t="n">
        <x:f>IF(A60&gt;=1,"不可达",$B$5+(C60-$D$5)*(1+$B$8))</x:f>
        <x:v>81395.70313279112</x:v>
      </x:c>
    </x:row>
    <x:row r="61">
      <x:c r="A61" s="58" t="n">
        <x:v>0.98</x:v>
      </x:c>
      <x:c r="B61" s="64" t="n">
        <x:f>IF(A61&gt;=1,"",$D$4-(A61-$B$6)*$B$4)</x:f>
        <x:v>19600000.00000006</x:v>
      </x:c>
      <x:c r="C61" s="64" t="n">
        <x:f>IF(A61&gt;=1,"",IF(ABS(A61-$B$6)&lt;0.000001,$D$5,$D$6/B61))</x:f>
        <x:v>101811.27551020378</x:v>
      </x:c>
      <x:c r="D61" s="75" t="n">
        <x:f>IF(A61&gt;=1,"",B61*C61)</x:f>
        <x:v>1995501000000</x:v>
      </x:c>
      <x:c r="E61" s="374" t="n">
        <x:f>IF(A61&gt;=1,"",C61/B61)</x:f>
        <x:v>0.005194452832153238</x:v>
      </x:c>
      <x:c r="F61" s="374" t="n">
        <x:f>IF(ISNUMBER(E61),E61*$B$3/'币价'!$B$12,"")</x:f>
        <x:v>0.005198799028140764</x:v>
      </x:c>
      <x:c r="G61" s="562" t="n">
        <x:f>IF(A61&gt;=1,"",E61*$B$4)</x:f>
        <x:v>5194452.832153238</x:v>
      </x:c>
      <x:c r="H61" s="562" t="n">
        <x:f>IF(A61&gt;=1,"",G61*$B$3)</x:f>
        <x:v>5194452.832153238</x:v>
      </x:c>
      <x:c r="I61" s="562" t="n">
        <x:f>IF(A61&gt;=1,"",C61-C60)</x:f>
        <x:v>20693.348680935684</x:v>
      </x:c>
      <x:c r="J61" s="562" t="n">
        <x:f>IF(A61&gt;=1,"",I61*(1+$B$8))</x:f>
        <x:v>20745.082052638023</x:v>
      </x:c>
      <x:c r="K61" s="567" t="n">
        <x:f>IF(A61&gt;=1,"不可达",$B$5+(C61-$D$5)*(1+$B$8))</x:f>
        <x:v>102140.78518542915</x:v>
      </x:c>
    </x:row>
    <x:row r="62">
      <x:c r="A62" s="58" t="n">
        <x:v>0.985</x:v>
      </x:c>
      <x:c r="B62" s="64" t="n">
        <x:f>IF(A62&gt;=1,"",$D$4-(A62-$B$6)*$B$4)</x:f>
        <x:v>14600000.00000006</x:v>
      </x:c>
      <x:c r="C62" s="64" t="n">
        <x:f>IF(A62&gt;=1,"",IF(ABS(A62-$B$6)&lt;0.000001,$D$5,$D$6/B62))</x:f>
        <x:v>136678.15068493094</x:v>
      </x:c>
      <x:c r="D62" s="75" t="n">
        <x:f>IF(A62&gt;=1,"",B62*C62)</x:f>
        <x:v>1995500999999.9998</x:v>
      </x:c>
      <x:c r="E62" s="374" t="n">
        <x:f>IF(A62&gt;=1,"",C62/B62)</x:f>
        <x:v>0.009361517170200711</x:v>
      </x:c>
      <x:c r="F62" s="374" t="n">
        <x:f>IF(ISNUMBER(E62),E62*$B$3/'币价'!$B$12,"")</x:f>
        <x:v>0.009369349946756199</x:v>
      </x:c>
      <x:c r="G62" s="562" t="n">
        <x:f>IF(A62&gt;=1,"",E62*$B$4)</x:f>
        <x:v>9361517.170200711</x:v>
      </x:c>
      <x:c r="H62" s="562" t="n">
        <x:f>IF(A62&gt;=1,"",G62*$B$3)</x:f>
        <x:v>9361517.170200711</x:v>
      </x:c>
      <x:c r="I62" s="562" t="n">
        <x:f>IF(A62&gt;=1,"",C62-C61)</x:f>
        <x:v>34866.87517472716</x:v>
      </x:c>
      <x:c r="J62" s="562" t="n">
        <x:f>IF(A62&gt;=1,"",I62*(1+$B$8))</x:f>
        <x:v>34954.042362663975</x:v>
      </x:c>
      <x:c r="K62" s="567" t="n">
        <x:f>IF(A62&gt;=1,"不可达",$B$5+(C62-$D$5)*(1+$B$8))</x:f>
        <x:v>137094.82754809313</x:v>
      </x:c>
    </x:row>
    <x:row r="63">
      <x:c r="A63" s="58" t="n">
        <x:v>0.99</x:v>
      </x:c>
      <x:c r="B63" s="64" t="n">
        <x:f>IF(A63&gt;=1,"",$D$4-(A63-$B$6)*$B$4)</x:f>
        <x:v>9600000.00000006</x:v>
      </x:c>
      <x:c r="C63" s="64" t="n">
        <x:f>IF(A63&gt;=1,"",IF(ABS(A63-$B$6)&lt;0.000001,$D$5,$D$6/B63))</x:f>
        <x:v>207864.68749999872</x:v>
      </x:c>
      <x:c r="D63" s="75" t="n">
        <x:f>IF(A63&gt;=1,"",B63*C63)</x:f>
        <x:v>1995501000000</x:v>
      </x:c>
      <x:c r="E63" s="374" t="n">
        <x:f>IF(A63&gt;=1,"",C63/B63)</x:f>
        <x:v>0.021652571614583064</x:v>
      </x:c>
      <x:c r="F63" s="374" t="n">
        <x:f>IF(ISNUMBER(E63),E63*$B$3/'币价'!$B$12,"")</x:f>
        <x:v>0.02167068831001023</x:v>
      </x:c>
      <x:c r="G63" s="562" t="n">
        <x:f>IF(A63&gt;=1,"",E63*$B$4)</x:f>
        <x:v>21652571.614583064</x:v>
      </x:c>
      <x:c r="H63" s="562" t="n">
        <x:f>IF(A63&gt;=1,"",G63*$B$3)</x:f>
        <x:v>21652571.614583064</x:v>
      </x:c>
      <x:c r="I63" s="562" t="n">
        <x:f>IF(A63&gt;=1,"",C63-C62)</x:f>
        <x:v>71186.53681506778</x:v>
      </x:c>
      <x:c r="J63" s="562" t="n">
        <x:f>IF(A63&gt;=1,"",I63*(1+$B$8))</x:f>
        <x:v>71364.50315710544</x:v>
      </x:c>
      <x:c r="K63" s="567" t="n">
        <x:f>IF(A63&gt;=1,"不可达",$B$5+(C63-$D$5)*(1+$B$8))</x:f>
        <x:v>208459.33070519858</x:v>
      </x:c>
    </x:row>
    <x:row r="64">
      <x:c r="A64" s="58" t="n">
        <x:v>0.995</x:v>
      </x:c>
      <x:c r="B64" s="64" t="n">
        <x:f>IF(A64&gt;=1,"",$D$4-(A64-$B$6)*$B$4)</x:f>
        <x:v>4600000.00000006</x:v>
      </x:c>
      <x:c r="C64" s="64" t="n">
        <x:f>IF(A64&gt;=1,"",IF(ABS(A64-$B$6)&lt;0.000001,$D$5,$D$6/B64))</x:f>
        <x:v>433804.5652173857</x:v>
      </x:c>
      <x:c r="D64" s="75" t="n">
        <x:f>IF(A64&gt;=1,"",B64*C64)</x:f>
        <x:v>1995501000000</x:v>
      </x:c>
      <x:c r="E64" s="374" t="n">
        <x:f>IF(A64&gt;=1,"",C64/B64)</x:f>
        <x:v>0.09430534026464785</x:v>
      </x:c>
      <x:c r="F64" s="374" t="n">
        <x:f>IF(ISNUMBER(E64),E64*$B$3/'币价'!$B$12,"")</x:f>
        <x:v>0.09438424549388072</x:v>
      </x:c>
      <x:c r="G64" s="562" t="n">
        <x:f>IF(A64&gt;=1,"",E64*$B$4)</x:f>
        <x:v>94305340.26464784</x:v>
      </x:c>
      <x:c r="H64" s="562" t="n">
        <x:f>IF(A64&gt;=1,"",G64*$B$3)</x:f>
        <x:v>94305340.26464784</x:v>
      </x:c>
      <x:c r="I64" s="562" t="n">
        <x:f>IF(A64&gt;=1,"",C64-C63)</x:f>
        <x:v>225939.877717387</x:v>
      </x:c>
      <x:c r="J64" s="562" t="n">
        <x:f>IF(A64&gt;=1,"",I64*(1+$B$8))</x:f>
        <x:v>226504.72741168045</x:v>
      </x:c>
      <x:c r="K64" s="567" t="n">
        <x:f>IF(A64&gt;=1,"不可达",$B$5+(C64-$D$5)*(1+$B$8))</x:f>
        <x:v>434964.058116879</x:v>
      </x:c>
    </x:row>
    <x:row r="65">
      <x:c r="A65" s="58" t="n">
        <x:v>1</x:v>
      </x:c>
      <x:c r="B65" s="64" t="str">
        <x:f>IF(A65&gt;=1,"",$D$4-(A65-$B$6)*$B$4)</x:f>
      </x:c>
      <x:c r="C65" s="64" t="str">
        <x:f>IF(A65&gt;=1,"",IF(ABS(A65-$B$6)&lt;0.000001,$D$5,$D$6/B65))</x:f>
      </x:c>
      <x:c r="D65" s="75" t="str">
        <x:f>IF(A65&gt;=1,"",B65*C65)</x:f>
      </x:c>
      <x:c r="E65" s="374" t="str">
        <x:f>IF(A65&gt;=1,"",C65/B65)</x:f>
      </x:c>
      <x:c r="F65" s="374" t="str">
        <x:f>IF(ISNUMBER(E65),E65*$B$3/'币价'!$B$12,"")</x:f>
      </x:c>
      <x:c r="G65" s="562" t="str">
        <x:f>IF(A65&gt;=1,"",E65*$B$4)</x:f>
      </x:c>
      <x:c r="H65" s="562" t="str">
        <x:f>IF(A65&gt;=1,"",G65*$B$3)</x:f>
      </x:c>
      <x:c r="I65" s="562" t="str">
        <x:f>IF(A65&gt;=1,"",C65-C64)</x:f>
      </x:c>
      <x:c r="J65" s="562" t="str">
        <x:f>IF(A65&gt;=1,"",I65*(1+$B$8))</x:f>
      </x:c>
      <x:c r="K65" s="567" t="str">
        <x:f>IF(A65&gt;=1,"不可达",$B$5+(C65-$D$5)*(1+$B$8))</x:f>
        <x:v>不可达</x:v>
      </x:c>
    </x:row>
    <x:row r="66">
      <x:c r="A66" s="59"/>
      <x:c r="B66" s="65"/>
      <x:c r="C66" s="65"/>
      <x:c r="D66" s="76"/>
      <x:c r="E66" s="82"/>
      <x:c r="F66" s="88"/>
      <x:c r="G66" s="65"/>
      <x:c r="H66" s="65"/>
      <x:c r="I66" s="65"/>
      <x:c r="J66" s="65"/>
      <x:c r="K66" s="65"/>
    </x:row>
    <x:row r="67">
      <x:c r="A67" s="59"/>
      <x:c r="B67" s="65"/>
      <x:c r="C67" s="17"/>
      <x:c r="D67" s="76"/>
      <x:c r="E67" s="82"/>
      <x:c r="F67" s="88"/>
      <x:c r="G67" s="88"/>
    </x:row>
    <x:row r="68">
      <x:c r="A68" s="59"/>
      <x:c r="B68" s="65"/>
      <x:c r="C68" s="17"/>
      <x:c r="D68" s="76"/>
      <x:c r="E68" s="82"/>
      <x:c r="F68" s="88"/>
      <x:c r="G68" s="88"/>
    </x:row>
    <x:row r="69">
      <x:c r="A69" s="59"/>
      <x:c r="B69" s="65"/>
      <x:c r="C69" s="17"/>
      <x:c r="D69" s="76"/>
      <x:c r="E69" s="82"/>
      <x:c r="F69" s="88"/>
      <x:c r="G69" s="88"/>
    </x:row>
    <x:row r="70">
      <x:c r="A70" s="59"/>
      <x:c r="B70" s="65"/>
      <x:c r="C70" s="17"/>
      <x:c r="D70" s="76"/>
      <x:c r="E70" s="82"/>
      <x:c r="F70" s="88"/>
      <x:c r="G70" s="88"/>
    </x:row>
    <x:row r="71" ht="28" customHeight="1">
      <x:c r="A71" s="61" t="str">
        <x:v>外盘回落参考 · 从 80% 控筹回落至 0%（每 10%）</x:v>
      </x:c>
      <x:c r="B71" s="67"/>
      <x:c r="C71" s="72"/>
      <x:c r="D71" s="78"/>
      <x:c r="E71" s="84"/>
      <x:c r="F71" s="90"/>
      <x:c r="G71" s="90"/>
      <x:c r="H71" s="26"/>
      <x:c r="I71" s="26"/>
      <x:c r="J71" s="26"/>
    </x:row>
    <x:row r="72" ht="28" customHeight="1">
      <x:c r="A72" s="60" t="str">
        <x:v>控筹率</x:v>
      </x:c>
      <x:c r="B72" s="66" t="str">
        <x:v>pooled token</x:v>
      </x:c>
      <x:c r="C72" s="71" t="str">
        <x:v>pooled USD1</x:v>
      </x:c>
      <x:c r="D72" s="77" t="str">
        <x:v>k</x:v>
      </x:c>
      <x:c r="E72" s="391" t="str">
        <x:v>价格 / USD1</x:v>
      </x:c>
      <x:c r="F72" s="391" t="str">
        <x:v>价格 / USDT</x:v>
      </x:c>
      <x:c r="G72" s="393" t="str">
        <x:v>市值 / USD1</x:v>
      </x:c>
      <x:c r="H72" s="393" t="str">
        <x:v>市值 / USD</x:v>
      </x:c>
      <x:c r="I72" s="331" t="str">
        <x:v>较 80% 回撤</x:v>
      </x:c>
      <x:c r="J72"/>
      <x:c r="K72"/>
    </x:row>
    <x:row r="73">
      <x:c r="A73" s="58" t="n">
        <x:v>0.8</x:v>
      </x:c>
      <x:c r="B73" s="64" t="n">
        <x:f>IF(ABS(A73-$B$6)&lt;0.000001,$D$4,$B$4*(1-A73))</x:f>
        <x:v>199600000</x:v>
      </x:c>
      <x:c r="C73" s="70" t="n">
        <x:f>IF(ABS(A73-$B$6)&lt;0.000001,$D$5,$D$6/B73)</x:f>
        <x:v>9997.5</x:v>
      </x:c>
      <x:c r="D73" s="75" t="n">
        <x:f>B73*C73</x:f>
        <x:v>1995501000000</x:v>
      </x:c>
      <x:c r="E73" s="374" t="n">
        <x:f>C73/B73</x:f>
        <x:v>0.000050087675350701405</x:v>
      </x:c>
      <x:c r="F73" s="374" t="n">
        <x:f>IF(ISNUMBER(E73),E73*$B$3/'币价'!$B$12,"")</x:f>
        <x:v>0.00005012958368266011</x:v>
      </x:c>
      <x:c r="G73" s="379" t="n">
        <x:f>E73*$B$4</x:f>
        <x:v>50087.67535070141</x:v>
      </x:c>
      <x:c r="H73" s="379" t="n">
        <x:f>G73*$B$3</x:f>
        <x:v>50087.67535070141</x:v>
      </x:c>
      <x:c r="I73" s="408" t="n">
        <x:f>1-G73/$G$73</x:f>
        <x:v>0</x:v>
      </x:c>
      <x:c r="J73"/>
      <x:c r="K73"/>
    </x:row>
    <x:row r="74">
      <x:c r="A74" s="58" t="n">
        <x:v>0.7</x:v>
      </x:c>
      <x:c r="B74" s="64" t="n">
        <x:f>IF(ABS(A74-$B$6)&lt;0.000001,$D$4,$B$4*(1-A74))</x:f>
        <x:v>300000000.00000006</x:v>
      </x:c>
      <x:c r="C74" s="64" t="n">
        <x:f>IF(ABS(A74-$B$6)&lt;0.000001,$D$5,$D$6/B74)</x:f>
        <x:v>6651.669999999998</x:v>
      </x:c>
      <x:c r="D74" s="75" t="n">
        <x:f>B74*C74</x:f>
        <x:v>1995500999999.9998</x:v>
      </x:c>
      <x:c r="E74" s="374" t="n">
        <x:f>C74/B74</x:f>
        <x:v>0.000022172233333333324</x:v>
      </x:c>
      <x:c r="F74" s="374" t="n">
        <x:f>IF(ISNUMBER(E74),E74*$B$3/'币价'!$B$12,"")</x:f>
        <x:v>0.000022190784829450743</x:v>
      </x:c>
      <x:c r="G74" s="562" t="n">
        <x:f>E74*$B$4</x:f>
        <x:v>22172.233333333323</x:v>
      </x:c>
      <x:c r="H74" s="562" t="n">
        <x:f>G74*$B$3</x:f>
        <x:v>22172.233333333323</x:v>
      </x:c>
      <x:c r="I74" s="562" t="n">
        <x:f>1-G74/$G$73</x:f>
        <x:v>0.5573315555555558</x:v>
      </x:c>
      <x:c r="J74" s="65"/>
      <x:c r="K74" s="65"/>
    </x:row>
    <x:row r="75">
      <x:c r="A75" s="58" t="n">
        <x:v>0.6</x:v>
      </x:c>
      <x:c r="B75" s="64" t="n">
        <x:f>IF(ABS(A75-$B$6)&lt;0.000001,$D$4,$B$4*(1-A75))</x:f>
        <x:v>400000000</x:v>
      </x:c>
      <x:c r="C75" s="64" t="n">
        <x:f>IF(ABS(A75-$B$6)&lt;0.000001,$D$5,$D$6/B75)</x:f>
        <x:v>4988.7525</x:v>
      </x:c>
      <x:c r="D75" s="75" t="n">
        <x:f>B75*C75</x:f>
        <x:v>1995500999999.9998</x:v>
      </x:c>
      <x:c r="E75" s="374" t="n">
        <x:f>C75/B75</x:f>
        <x:v>0.000012471881249999999</x:v>
      </x:c>
      <x:c r="F75" s="374" t="n">
        <x:f>IF(ISNUMBER(E75),E75*$B$3/'币价'!$B$12,"")</x:f>
        <x:v>0.000012482316466566047</x:v>
      </x:c>
      <x:c r="G75" s="562" t="n">
        <x:f>E75*$B$4</x:f>
        <x:v>12471.881249999999</x:v>
      </x:c>
      <x:c r="H75" s="562" t="n">
        <x:f>G75*$B$3</x:f>
        <x:v>12471.881249999999</x:v>
      </x:c>
      <x:c r="I75" s="562" t="n">
        <x:f>1-G75/$G$73</x:f>
        <x:v>0.7509990000000001</x:v>
      </x:c>
      <x:c r="J75" s="65"/>
      <x:c r="K75" s="65"/>
    </x:row>
    <x:row r="76">
      <x:c r="A76" s="58" t="n">
        <x:v>0.5</x:v>
      </x:c>
      <x:c r="B76" s="64" t="n">
        <x:f>IF(ABS(A76-$B$6)&lt;0.000001,$D$4,$B$4*(1-A76))</x:f>
        <x:v>500000000</x:v>
      </x:c>
      <x:c r="C76" s="64" t="n">
        <x:f>IF(ABS(A76-$B$6)&lt;0.000001,$D$5,$D$6/B76)</x:f>
        <x:v>3991.002</x:v>
      </x:c>
      <x:c r="D76" s="75" t="n">
        <x:f>B76*C76</x:f>
        <x:v>1995501000000</x:v>
      </x:c>
      <x:c r="E76" s="374" t="n">
        <x:f>C76/B76</x:f>
        <x:v>0.000007982004</x:v>
      </x:c>
      <x:c r="F76" s="374" t="n">
        <x:f>IF(ISNUMBER(E76),E76*$B$3/'币价'!$B$12,"")</x:f>
        <x:v>0.000007988682538602272</x:v>
      </x:c>
      <x:c r="G76" s="562" t="n">
        <x:f>E76*$B$4</x:f>
        <x:v>7982.004</x:v>
      </x:c>
      <x:c r="H76" s="562" t="n">
        <x:f>G76*$B$3</x:f>
        <x:v>7982.004</x:v>
      </x:c>
      <x:c r="I76" s="562" t="n">
        <x:f>1-G76/$G$73</x:f>
        <x:v>0.8406393600000001</x:v>
      </x:c>
      <x:c r="J76" s="65"/>
      <x:c r="K76" s="65"/>
    </x:row>
    <x:row r="77">
      <x:c r="A77" s="58" t="n">
        <x:v>0.4</x:v>
      </x:c>
      <x:c r="B77" s="64" t="n">
        <x:f>IF(ABS(A77-$B$6)&lt;0.000001,$D$4,$B$4*(1-A77))</x:f>
        <x:v>600000000</x:v>
      </x:c>
      <x:c r="C77" s="64" t="n">
        <x:f>IF(ABS(A77-$B$6)&lt;0.000001,$D$5,$D$6/B77)</x:f>
        <x:v>3325.835</x:v>
      </x:c>
      <x:c r="D77" s="75" t="n">
        <x:f>B77*C77</x:f>
        <x:v>1995501000000</x:v>
      </x:c>
      <x:c r="E77" s="374" t="n">
        <x:f>C77/B77</x:f>
        <x:v>0.000005543058333333334</x:v>
      </x:c>
      <x:c r="F77" s="374" t="n">
        <x:f>IF(ISNUMBER(E77),E77*$B$3/'币价'!$B$12,"")</x:f>
        <x:v>0.000005547696207362688</x:v>
      </x:c>
      <x:c r="G77" s="562" t="n">
        <x:f>E77*$B$4</x:f>
        <x:v>5543.058333333333</x:v>
      </x:c>
      <x:c r="H77" s="562" t="n">
        <x:f>G77*$B$3</x:f>
        <x:v>5543.058333333333</x:v>
      </x:c>
      <x:c r="I77" s="562" t="n">
        <x:f>1-G77/$G$73</x:f>
        <x:v>0.889332888888889</x:v>
      </x:c>
      <x:c r="J77" s="65"/>
      <x:c r="K77" s="65"/>
    </x:row>
    <x:row r="78">
      <x:c r="A78" s="58" t="n">
        <x:v>0.3</x:v>
      </x:c>
      <x:c r="B78" s="64" t="n">
        <x:f>IF(ABS(A78-$B$6)&lt;0.000001,$D$4,$B$4*(1-A78))</x:f>
        <x:v>700000000</x:v>
      </x:c>
      <x:c r="C78" s="64" t="n">
        <x:f>IF(ABS(A78-$B$6)&lt;0.000001,$D$5,$D$6/B78)</x:f>
        <x:v>2850.7157142857145</x:v>
      </x:c>
      <x:c r="D78" s="75" t="n">
        <x:f>B78*C78</x:f>
        <x:v>1995501000000.0002</x:v>
      </x:c>
      <x:c r="E78" s="374" t="n">
        <x:f>C78/B78</x:f>
        <x:v>0.000004072451020408163</x:v>
      </x:c>
      <x:c r="F78" s="374" t="n">
        <x:f>IF(ISNUMBER(E78),E78*$B$3/'币价'!$B$12,"")</x:f>
        <x:v>0.0000040758584380623836</x:v>
      </x:c>
      <x:c r="G78" s="562" t="n">
        <x:f>E78*$B$4</x:f>
        <x:v>4072.4510204081635</x:v>
      </x:c>
      <x:c r="H78" s="562" t="n">
        <x:f>G78*$B$3</x:f>
        <x:v>4072.4510204081635</x:v>
      </x:c>
      <x:c r="I78" s="562" t="n">
        <x:f>1-G78/$G$73</x:f>
        <x:v>0.9186935510204082</x:v>
      </x:c>
      <x:c r="J78" s="65"/>
      <x:c r="K78" s="65"/>
    </x:row>
    <x:row r="79">
      <x:c r="A79" s="58" t="n">
        <x:v>0.2</x:v>
      </x:c>
      <x:c r="B79" s="64" t="n">
        <x:f>IF(ABS(A79-$B$6)&lt;0.000001,$D$4,$B$4*(1-A79))</x:f>
        <x:v>800000000</x:v>
      </x:c>
      <x:c r="C79" s="64" t="n">
        <x:f>IF(ABS(A79-$B$6)&lt;0.000001,$D$5,$D$6/B79)</x:f>
        <x:v>2494.37625</x:v>
      </x:c>
      <x:c r="D79" s="75" t="n">
        <x:f>B79*C79</x:f>
        <x:v>1995500999999.9998</x:v>
      </x:c>
      <x:c r="E79" s="374" t="n">
        <x:f>C79/B79</x:f>
        <x:v>0.0000031179703124999997</x:v>
      </x:c>
      <x:c r="F79" s="374" t="n">
        <x:f>IF(ISNUMBER(E79),E79*$B$3/'币价'!$B$12,"")</x:f>
        <x:v>0.0000031205791166415117</x:v>
      </x:c>
      <x:c r="G79" s="562" t="n">
        <x:f>E79*$B$4</x:f>
        <x:v>3117.9703124999996</x:v>
      </x:c>
      <x:c r="H79" s="562" t="n">
        <x:f>G79*$B$3</x:f>
        <x:v>3117.9703124999996</x:v>
      </x:c>
      <x:c r="I79" s="562" t="n">
        <x:f>1-G79/$G$73</x:f>
        <x:v>0.93774975</x:v>
      </x:c>
      <x:c r="J79" s="65"/>
      <x:c r="K79" s="65"/>
    </x:row>
    <x:row r="80">
      <x:c r="A80" s="58" t="n">
        <x:v>0.1</x:v>
      </x:c>
      <x:c r="B80" s="64" t="n">
        <x:f>IF(ABS(A80-$B$6)&lt;0.000001,$D$4,$B$4*(1-A80))</x:f>
        <x:v>900000000</x:v>
      </x:c>
      <x:c r="C80" s="64" t="n">
        <x:f>IF(ABS(A80-$B$6)&lt;0.000001,$D$5,$D$6/B80)</x:f>
        <x:v>2217.2233333333334</x:v>
      </x:c>
      <x:c r="D80" s="75" t="n">
        <x:f>B80*C80</x:f>
        <x:v>1995501000000</x:v>
      </x:c>
      <x:c r="E80" s="374" t="n">
        <x:f>C80/B80</x:f>
        <x:v>0.0000024635814814814815</x:v>
      </x:c>
      <x:c r="F80" s="374" t="n">
        <x:f>IF(ISNUMBER(E80),E80*$B$3/'币价'!$B$12,"")</x:f>
        <x:v>0.0000024656427588278617</x:v>
      </x:c>
      <x:c r="G80" s="562" t="n">
        <x:f>E80*$B$4</x:f>
        <x:v>2463.5814814814817</x:v>
      </x:c>
      <x:c r="H80" s="562" t="n">
        <x:f>G80*$B$3</x:f>
        <x:v>2463.5814814814817</x:v>
      </x:c>
      <x:c r="I80" s="562" t="n">
        <x:f>1-G80/$G$73</x:f>
        <x:v>0.9508146172839507</x:v>
      </x:c>
      <x:c r="J80" s="65"/>
      <x:c r="K80" s="65"/>
    </x:row>
    <x:row r="81">
      <x:c r="A81" s="62" t="n">
        <x:v>0</x:v>
      </x:c>
      <x:c r="B81" s="68" t="n">
        <x:f>IF(ABS(A81-$B$6)&lt;0.000001,$D$4,$B$4*(1-A81))</x:f>
        <x:v>1000000000</x:v>
      </x:c>
      <x:c r="C81" s="68" t="n">
        <x:f>IF(ABS(A81-$B$6)&lt;0.000001,$D$5,$D$6/B81)</x:f>
        <x:v>1995.501</x:v>
      </x:c>
      <x:c r="D81" s="79" t="n">
        <x:f>B81*C81</x:f>
        <x:v>1995501000000</x:v>
      </x:c>
      <x:c r="E81" s="412" t="n">
        <x:f>C81/B81</x:f>
        <x:v>0.000001995501</x:v>
      </x:c>
      <x:c r="F81" s="412" t="n">
        <x:f>IF(ISNUMBER(E81),E81*$B$3/'币价'!$B$12,"")</x:f>
        <x:v>0.000001997170634650568</x:v>
      </x:c>
      <x:c r="G81" s="565" t="n">
        <x:f>E81*$B$4</x:f>
        <x:v>1995.501</x:v>
      </x:c>
      <x:c r="H81" s="565" t="n">
        <x:f>G81*$B$3</x:f>
        <x:v>1995.501</x:v>
      </x:c>
      <x:c r="I81" s="565" t="n">
        <x:f>1-G81/$G$73</x:f>
        <x:v>0.96015984</x:v>
      </x:c>
      <x:c r="J81" s="565" t="str">
        <x:v>沉没成本</x:v>
      </x:c>
      <x:c r="K81" s="565" t="n">
        <x:f>C81</x:f>
        <x:v>1995.501</x:v>
      </x:c>
    </x:row>
    <x:row r="82">
      <x:c r="B82" s="65" t="n">
        <x:f>IF(ABS(A82-$B$6)&lt;0.000001,$D$4,$B$4*(1-A82))</x:f>
        <x:v>1000000000</x:v>
      </x:c>
      <x:c r="C82" s="65"/>
      <x:c r="G82" s="65"/>
      <x:c r="H82" s="65"/>
      <x:c r="I82" s="65"/>
      <x:c r="J82" s="65"/>
      <x:c r="K82" s="65"/>
    </x:row>
  </x:sheetData>
  <x:mergeCells>
    <x:mergeCell ref="A1:J1"/>
    <x:mergeCell ref="A71:J7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48" hidden="0" customWidth="1"/>
    <x:col min="5" max="5" width="48" hidden="0" customWidth="1"/>
  </x:cols>
  <x:sheetData>
    <x:row r="1">
      <x:c r="A1" s="4" t="str">
        <x:v>模型校验 / FORMULA CHECKS</x:v>
      </x:c>
      <x:c r="B1" s="4"/>
      <x:c r="C1" s="4"/>
      <x:c r="D1" s="4"/>
      <x:c r="E1" s="4"/>
    </x:row>
    <x:row r="2">
      <x:c r="A2" s="10" t="str">
        <x:v>模型</x:v>
      </x:c>
      <x:c r="B2" s="10" t="str">
        <x:v>90% 参考累计</x:v>
      </x:c>
      <x:c r="C2" s="10" t="str">
        <x:v>90% 公式累计</x:v>
      </x:c>
      <x:c r="D2" s="10" t="str">
        <x:v>差异</x:v>
      </x:c>
      <x:c r="E2" s="10" t="str">
        <x:v>状态</x:v>
      </x:c>
    </x:row>
    <x:row r="3">
      <x:c r="A3" s="27" t="str">
        <x:v>Pump.fun / SOL</x:v>
      </x:c>
      <x:c r="B3" s="70" t="n">
        <x:v>178.05824635199946</x:v>
      </x:c>
      <x:c r="C3" s="70" t="n">
        <x:f>'Pump_SOL'!K45</x:f>
        <x:v>178.05824635199946</x:v>
      </x:c>
      <x:c r="D3" s="70" t="n">
        <x:f>ABS(B3-C3)</x:f>
        <x:v>0</x:v>
      </x:c>
      <x:c r="E3" s="27" t="str">
        <x:f>IF(D3&lt;0.01,"OK","CHECK")</x:f>
        <x:v>OK</x:v>
      </x:c>
    </x:row>
    <x:row r="4">
      <x:c r="A4" s="27" t="str">
        <x:v>LetsBonk / USD1</x:v>
      </x:c>
      <x:c r="B4" s="70" t="n">
        <x:v>26384.14075292629</x:v>
      </x:c>
      <x:c r="C4" s="70" t="n">
        <x:f>'Bonk_USD1'!K45</x:f>
        <x:v>26384.14075292629</x:v>
      </x:c>
      <x:c r="D4" s="70" t="n">
        <x:f>ABS(B4-C4)</x:f>
        <x:v>0</x:v>
      </x:c>
      <x:c r="E4" s="27" t="str">
        <x:f>IF(D4&lt;0.01,"OK","CHECK")</x:f>
        <x:v>OK</x:v>
      </x:c>
    </x:row>
    <x:row r="5">
      <x:c r="A5" s="27" t="str">
        <x:v>Four.meme / USD1</x:v>
      </x:c>
      <x:c r="B5" s="70" t="n">
        <x:v>23908.40961999985</x:v>
      </x:c>
      <x:c r="C5" s="70" t="n">
        <x:f>'Four_USD1'!K45</x:f>
        <x:v>23908.40961999985</x:v>
      </x:c>
      <x:c r="D5" s="70" t="n">
        <x:f>ABS(B5-C5)</x:f>
        <x:v>0</x:v>
      </x:c>
      <x:c r="E5" s="27" t="str">
        <x:f>IF(D5&lt;0.01,"OK","CHECK")</x:f>
        <x:v>OK</x:v>
      </x:c>
    </x:row>
    <x:row r="6">
      <x:c r="A6" s="27" t="str">
        <x:v>Four.meme / BNB</x:v>
      </x:c>
      <x:c r="B6" s="70" t="n">
        <x:v>35.86410102467379</x:v>
      </x:c>
      <x:c r="C6" s="70" t="n">
        <x:f>'Four_BNB'!K45</x:f>
        <x:v>35.86410105339403</x:v>
      </x:c>
      <x:c r="D6" s="70" t="n">
        <x:f>ABS(B6-C6)</x:f>
        <x:v>2.8720236855406256e-8</x:v>
      </x:c>
      <x:c r="E6" s="27" t="str">
        <x:f>IF(D6&lt;0.01,"OK","CHECK")</x:f>
        <x:v>OK</x:v>
      </x:c>
    </x:row>
    <x:row r="7">
      <x:c r="A7" s="27" t="str">
        <x:v>Four.meme / ASTER</x:v>
      </x:c>
      <x:c r="B7" s="70" t="n">
        <x:v>9962.253631202499</x:v>
      </x:c>
      <x:c r="C7" s="70" t="n">
        <x:f>'Four_ASTER'!K45</x:f>
        <x:v>9962.253631202499</x:v>
      </x:c>
      <x:c r="D7" s="70" t="n">
        <x:f>ABS(B7-C7)</x:f>
        <x:v>0</x:v>
      </x:c>
      <x:c r="E7" s="27" t="str">
        <x:f>IF(D7&lt;0.01,"OK","CHECK")</x:f>
        <x:v>OK</x:v>
      </x:c>
    </x:row>
    <x:row r="8">
      <x:c r="A8" s="27" t="str">
        <x:v>Hyperpie / HYPE</x:v>
      </x:c>
      <x:c r="B8" s="70" t="n">
        <x:v>604.99239567726</x:v>
      </x:c>
      <x:c r="C8" s="70" t="n">
        <x:f>'Hyper_HYPE'!K45</x:f>
        <x:v>604.99239567726</x:v>
      </x:c>
      <x:c r="D8" s="70" t="n">
        <x:f>ABS(B8-C8)</x:f>
        <x:v>0</x:v>
      </x:c>
      <x:c r="E8" s="27" t="str">
        <x:f>IF(D8&lt;0.01,"OK","CHECK")</x:f>
        <x:v>OK</x:v>
      </x:c>
    </x:row>
    <x:row r="9">
      <x:c r="A9" s="27" t="str">
        <x:v>Flap / BNB</x:v>
      </x:c>
      <x:c r="B9" s="70" t="n">
        <x:v>32.1960606637483</x:v>
      </x:c>
      <x:c r="C9" s="70" t="n">
        <x:f>'Flap_BNB'!K45</x:f>
        <x:v>32.196060663748284</x:v>
      </x:c>
      <x:c r="D9" s="70" t="n">
        <x:f>ABS(B9-C9)</x:f>
        <x:v>1.4210854715202004e-14</x:v>
      </x:c>
      <x:c r="E9" s="27" t="str">
        <x:f>IF(D9&lt;0.01,"OK","CHECK")</x:f>
        <x:v>OK</x:v>
      </x:c>
    </x:row>
    <x:row r="10">
      <x:c r="A10" s="27" t="str">
        <x:v>Flap / USD1</x:v>
      </x:c>
      <x:c r="B10" s="70" t="n">
        <x:v>20079.87901144987</x:v>
      </x:c>
      <x:c r="C10" s="70" t="n">
        <x:f>'Flap_USD1'!K45</x:f>
        <x:v>20160.219965365526</x:v>
      </x:c>
      <x:c r="D10" s="70" t="n">
        <x:f>ABS(B10-C10)</x:f>
        <x:v>80.34095391565643</x:v>
      </x:c>
      <x:c r="E10" s="27" t="str">
        <x:f>IF(D10&lt;0.01,"OK","CHECK")</x:f>
        <x:v>CHECK</x:v>
      </x:c>
    </x:row>
    <x:row r="11">
      <x:c r="A11" s="188" t="str">
        <x:v>Pons V2 / ETH</x:v>
      </x:c>
      <x:c r="B11" s="189" t="n">
        <x:v>52.01742424242425</x:v>
      </x:c>
      <x:c r="C11" s="189" t="n">
        <x:f>'PonsV2_ETH'!K46</x:f>
        <x:v>52.01742424242434</x:v>
      </x:c>
      <x:c r="D11" s="189" t="n">
        <x:f>C11-B11</x:f>
        <x:v>9.237055564881302e-14</x:v>
      </x:c>
      <x:c r="E11" s="188" t="str">
        <x:f>IF(ABS(D11)&lt;0.00000001,"OK","CHECK")</x:f>
        <x:v>OK</x:v>
      </x:c>
    </x:row>
    <x:row r="12">
      <x:c r="A12" s="10" t="str">
        <x:v>控制点</x:v>
      </x:c>
      <x:c r="B12" s="10" t="str">
        <x:v>结果</x:v>
      </x:c>
    </x:row>
    <x:row r="13">
      <x:c r="A13" t="str">
        <x:v>外盘档位数</x:v>
      </x:c>
      <x:c r="B13" t="n">
        <x:f>COUNTA('Four_USD1'!A25:A65)</x:f>
        <x:v>41</x:v>
      </x:c>
    </x:row>
    <x:row r="14">
      <x:c r="A14" t="str">
        <x:v>起点</x:v>
      </x:c>
      <x:c r="B14" t="n">
        <x:f>'Four_USD1'!A25</x:f>
        <x:v>0.8</x:v>
      </x:c>
    </x:row>
    <x:row r="15">
      <x:c r="A15" t="str">
        <x:v>终点</x:v>
      </x:c>
      <x:c r="B15" t="n">
        <x:f>'Four_USD1'!A65</x:f>
        <x:v>1</x:v>
      </x:c>
    </x:row>
    <x:row r="16">
      <x:c r="A16" t="str">
        <x:v>回落档位数</x:v>
      </x:c>
      <x:c r="B16" t="n">
        <x:f>COUNTA('Four_USD1'!A73:A81)</x:f>
        <x:v>9</x:v>
      </x:c>
    </x:row>
    <x:row r="17">
      <x:c r="A17" t="str">
        <x:v>0% 沉没成本</x:v>
      </x:c>
      <x:c r="B17" t="n">
        <x:f>'Four_USD1'!C81</x:f>
        <x:v>2351.8</x:v>
      </x:c>
    </x:row>
    <x:row r="18">
      <x:c r="A18" s="188" t="str">
        <x:v>Pons 外盘起点</x:v>
      </x:c>
      <x:c r="B18" s="190" t="n">
        <x:f>'PonsV2_ETH'!A25</x:f>
        <x:v>0.7142857142857143</x:v>
      </x:c>
    </x:row>
    <x:row r="19">
      <x:c r="A19" s="188" t="str">
        <x:v>Pons 90% 累计</x:v>
      </x:c>
      <x:c r="B19" s="189" t="n">
        <x:f>'PonsV2_ETH'!K46</x:f>
        <x:v>52.01742424242434</x:v>
      </x:c>
    </x:row>
    <x:row r="20">
      <x:c r="A20" s="188" t="str">
        <x:v>Pons 0% 沉没成本</x:v>
      </x:c>
      <x:c r="B20" s="189" t="n">
        <x:v>0.9333333333333333</x:v>
      </x:c>
    </x:row>
    <x:row r="22">
      <x:c r="A22" s="296" t="str">
        <x:v>费率来源</x:v>
      </x:c>
      <x:c r="B22" s="296" t="str">
        <x:v>内盘费率</x:v>
      </x:c>
      <x:c r="C22" s="296" t="str">
        <x:v>外盘费率</x:v>
      </x:c>
      <x:c r="D22" s="296" t="str">
        <x:v>主来源</x:v>
      </x:c>
      <x:c r="E22" s="296" t="str">
        <x:v>补充来源</x:v>
      </x:c>
    </x:row>
    <x:row r="23" ht="30" customHeight="1">
      <x:c r="A23" s="206" t="str">
        <x:v>Pump.fun</x:v>
      </x:c>
      <x:c r="B23" s="300" t="n">
        <x:v>0.0125</x:v>
      </x:c>
      <x:c r="C23" s="300" t="n">
        <x:v>0.0125</x:v>
      </x:c>
      <x:c r="D23" s="306" t="str">
        <x:v>https://pump.fun/docs/fees</x:v>
      </x:c>
      <x:c r="E23" s="306" t="str">
        <x:v>Pump 外盘按用户指定固定口径 1.25%</x:v>
      </x:c>
    </x:row>
    <x:row r="24" ht="30" customHeight="1">
      <x:c r="A24" s="207" t="str">
        <x:v>LetsBonk</x:v>
      </x:c>
      <x:c r="B24" s="301" t="n">
        <x:v>0.015</x:v>
      </x:c>
      <x:c r="C24" s="301" t="n">
        <x:v>0.0125</x:v>
      </x:c>
      <x:c r="D24" s="307" t="str">
        <x:v>https://explorer.solana.com/address/FfYek5vEz23cMkWsdJwG2oa6EphsvXSHrGpdALN4g6W1</x:v>
      </x:c>
      <x:c r="E24" s="307" t="str">
        <x:v>https://api-v3.raydium.io/main/cpmm-config</x:v>
      </x:c>
    </x:row>
    <x:row r="25" ht="30" customHeight="1">
      <x:c r="A25" s="208" t="str">
        <x:v>Hyperpie</x:v>
      </x:c>
      <x:c r="B25" s="302" t="n">
        <x:v>0.01</x:v>
      </x:c>
      <x:c r="C25" s="302" t="n">
        <x:v>0.003</x:v>
      </x:c>
      <x:c r="D25" s="308" t="str">
        <x:v>https://hyperevmscan.io/address/0x9246d27EA8059529a615a4ACF35351dF0fa6168e#code</x:v>
      </x:c>
      <x:c r="E25" s="308" t="str">
        <x:v>https://hyperevmscan.io/address/0xeAF40318453a81993569B14b898AAC31Df6133fA#code</x:v>
      </x:c>
    </x:row>
  </x:sheetData>
  <x:mergeCells>
    <x:mergeCell ref="A1:E1"/>
  </x:mergeCells>
  <x:pageMargins left="0.7" right="0.7" top="0.75" bottom="0.75" header="0.3" footer="0.3"/>
  <x:legacyDrawing xmlns:r="http://schemas.openxmlformats.org/officeDocument/2006/relationships" r:id="R1ddca8a476e14d2d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8" hidden="0" customWidth="1"/>
    <x:col min="2" max="2" width="52" hidden="0" customWidth="1"/>
    <x:col min="3" max="3" width="18" hidden="0" customWidth="1"/>
    <x:col min="4" max="4" width="14" hidden="0" customWidth="1"/>
    <x:col min="5" max="5" width="16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32" customHeight="1">
      <x:c r="A1" s="107" t="str">
        <x:v>Pons V2 / ETH · 发射控筹理论模型</x:v>
      </x:c>
      <x:c r="B1" s="107"/>
      <x:c r="C1" s="107"/>
      <x:c r="D1" s="107"/>
      <x:c r="E1" s="107"/>
      <x:c r="F1" s="107"/>
      <x:c r="G1" s="107"/>
      <x:c r="H1" s="107"/>
      <x:c r="I1" s="107"/>
      <x:c r="J1" s="107"/>
    </x:row>
    <x:row r="2">
      <x:c r="A2"/>
      <x:c r="B2"/>
      <x:c r="C2"/>
      <x:c r="D2"/>
      <x:c r="E2"/>
      <x:c r="F2"/>
      <x:c r="G2"/>
      <x:c r="H2"/>
      <x:c r="I2"/>
      <x:c r="J2"/>
    </x:row>
    <x:row r="3">
      <x:c r="A3" t="str">
        <x:v>Quote USD 价格</x:v>
      </x:c>
      <x:c r="B3" s="103" t="n">
        <x:f>'币价'!B7</x:f>
        <x:v>2500.87</x:v>
      </x:c>
      <x:c r="C3"/>
      <x:c r="D3" t="str">
        <x:v>毕业控筹率</x:v>
      </x:c>
      <x:c r="E3" s="125" t="n">
        <x:f>1-B5/(B5+B6)</x:f>
        <x:v>0.7142857142857143</x:v>
      </x:c>
      <x:c r="F3"/>
      <x:c r="G3" t="str">
        <x:v>执行参数状态</x:v>
      </x:c>
      <x:c r="H3" s="95" t="str">
        <x:v>网页默认参数</x:v>
      </x:c>
      <x:c r="I3" t="str">
        <x:v>外盘地址</x:v>
      </x:c>
      <x:c r="J3" s="100" t="n">
        <x:v>30</x:v>
      </x:c>
    </x:row>
    <x:row r="4">
      <x:c r="A4" t="str">
        <x:v>total supply</x:v>
      </x:c>
      <x:c r="B4" s="124" t="n">
        <x:v>1000000000</x:v>
      </x:c>
      <x:c r="C4"/>
      <x:c r="D4" t="str">
        <x:v>外盘初始 token</x:v>
      </x:c>
      <x:c r="E4" s="98" t="n">
        <x:f>B4*(1-E3)*E3</x:f>
        <x:v>204081632.6530612</x:v>
      </x:c>
      <x:c r="F4"/>
      <x:c r="G4" t="str">
        <x:v>单地址 Gas / ETH</x:v>
      </x:c>
      <x:c r="H4" s="99" t="n">
        <x:v>0.005</x:v>
      </x:c>
      <x:c r="I4" t="str">
        <x:v>Holder 地址</x:v>
      </x:c>
      <x:c r="J4" s="100" t="n">
        <x:v>150</x:v>
      </x:c>
    </x:row>
    <x:row r="5">
      <x:c r="A5" t="str">
        <x:v>phantom Quote</x:v>
      </x:c>
      <x:c r="B5" s="124" t="n">
        <x:v>1.68</x:v>
      </x:c>
      <x:c r="C5"/>
      <x:c r="D5" t="str">
        <x:v>外盘初始 Quote</x:v>
      </x:c>
      <x:c r="E5" s="95" t="n">
        <x:v>4.2</x:v>
      </x:c>
      <x:c r="F5"/>
      <x:c r="G5" t="str">
        <x:v>资金预留 / ETH</x:v>
      </x:c>
      <x:c r="H5" s="553" t="n">
        <x:f>IF($B$3&gt;0,ROUNDUP('币价'!$B$15/($B$3/'币价'!$B$12),0),"")</x:f>
        <x:v>4</x:v>
      </x:c>
      <x:c r="I5" t="str">
        <x:v>默认目标控筹率</x:v>
      </x:c>
      <x:c r="J5" s="102" t="n">
        <x:v>0.9</x:v>
      </x:c>
    </x:row>
    <x:row r="6">
      <x:c r="A6" t="str">
        <x:v>graduation threshold</x:v>
      </x:c>
      <x:c r="B6" s="124" t="n">
        <x:v>4.2</x:v>
      </x:c>
      <x:c r="C6"/>
      <x:c r="D6" t="str">
        <x:v>外盘 k</x:v>
      </x:c>
      <x:c r="E6" s="98" t="n">
        <x:f>E4*E5</x:f>
        <x:v>857142857.1428571</x:v>
      </x:c>
      <x:c r="F6"/>
      <x:c r="G6" t="str">
        <x:v>洗筹口径</x:v>
      </x:c>
      <x:c r="H6" s="95" t="str">
        <x:v>FDV × 费率 × 2</x:v>
      </x:c>
      <x:c r="I6" t="str">
        <x:v>目标 +1% 理论资金</x:v>
      </x:c>
      <x:c r="J6" s="554" t="n">
        <x:f>INDEX($K$25:$K$66,ROUND(($J$5+1%-80%)/0.5%,0)+2)</x:f>
        <x:v>134.1714565004897</x:v>
      </x:c>
    </x:row>
    <x:row r="7">
      <x:c r="A7" t="str">
        <x:v>内盘曲线费</x:v>
      </x:c>
      <x:c r="B7" s="102" t="n">
        <x:v>0.01</x:v>
      </x:c>
      <x:c r="C7"/>
      <x:c r="D7" t="str">
        <x:v>外盘 Hook 费</x:v>
      </x:c>
      <x:c r="E7" s="102" t="n">
        <x:v>0.01</x:v>
      </x:c>
      <x:c r="F7"/>
      <x:c r="G7" t="str">
        <x:v>内盘地址 / 套</x:v>
      </x:c>
      <x:c r="H7" s="100" t="n">
        <x:v>20</x:v>
      </x:c>
      <x:c r="I7" t="str">
        <x:v>额外内盘资金</x:v>
      </x:c>
      <x:c r="J7" s="554" t="n">
        <x:f>$K$21*($H$8-1)</x:f>
        <x:v>4.242424242424243</x:v>
      </x:c>
    </x:row>
    <x:row r="8">
      <x:c r="A8" t="str">
        <x:v>Creator Tax</x:v>
      </x:c>
      <x:c r="B8" s="102" t="n">
        <x:v>0</x:v>
      </x:c>
      <x:c r="C8"/>
      <x:c r="D8" t="str">
        <x:v>Buyback enabled</x:v>
      </x:c>
      <x:c r="E8" s="95" t="str">
        <x:v>否</x:v>
      </x:c>
      <x:c r="F8"/>
      <x:c r="G8" t="str">
        <x:v>内盘套数</x:v>
      </x:c>
      <x:c r="H8" s="100" t="n">
        <x:v>2</x:v>
      </x:c>
      <x:c r="I8" t="str">
        <x:v>动态洗筹手续费</x:v>
      </x:c>
      <x:c r="J8" s="554" t="n">
        <x:f>INDEX($G$25:$G$66,ROUND(($J$5+1%-80%)/0.5%,0)+2)*($E$7+$B$8)*2</x:f>
        <x:v>244.854253420583</x:v>
      </x:c>
    </x:row>
    <x:row r="9">
      <x:c r="A9" t="str">
        <x:v>Creator Tax 上限</x:v>
      </x:c>
      <x:c r="B9" s="102" t="n">
        <x:v>0.1</x:v>
      </x:c>
      <x:c r="C9"/>
      <x:c r="D9" t="str">
        <x:v>Snipe-tax exemption</x:v>
      </x:c>
      <x:c r="E9" s="95" t="str">
        <x:v>豁免 / ≥5秒</x:v>
      </x:c>
      <x:c r="F9"/>
      <x:c r="G9" t="str">
        <x:v>Snipe 默认</x:v>
      </x:c>
      <x:c r="H9" s="95" t="str">
        <x:v>豁免 / ≥5秒</x:v>
      </x:c>
      <x:c r="I9" t="str">
        <x:v>建议 Quote 资金</x:v>
      </x:c>
      <x:c r="J9" s="554" t="n">
        <x:f>IF(AND(ISNUMBER($J$6),ISNUMBER($H$5)),SUM(J6:J8)+$H$5,"")</x:f>
        <x:v>387.26813416349694</x:v>
      </x:c>
    </x:row>
    <x:row r="10">
      <x:c r="A10" t="str">
        <x:v>Launch fee</x:v>
      </x:c>
      <x:c r="B10" s="124" t="n">
        <x:v>0.0005</x:v>
      </x:c>
      <x:c r="C10"/>
      <x:c r="D10" t="str">
        <x:v>Creator fee recipient</x:v>
      </x:c>
      <x:c r="E10" s="95" t="str"/>
      <x:c r="F10"/>
      <x:c r="G10" t="str">
        <x:v>滑点预留</x:v>
      </x:c>
      <x:c r="H10" s="102" t="n">
        <x:v>0</x:v>
      </x:c>
      <x:c r="I10" t="str">
        <x:v>Gas 储备 / ETH</x:v>
      </x:c>
      <x:c r="J10" s="554" t="n">
        <x:f>($H$7*$H$8+$J$3+$J$4)*$H$4</x:f>
        <x:v>1.1</x:v>
      </x:c>
    </x:row>
    <x:row r="11">
      <x:c r="A11"/>
      <x:c r="B11"/>
      <x:c r="C11"/>
      <x:c r="D11"/>
      <x:c r="E11"/>
      <x:c r="F11"/>
      <x:c r="G11"/>
      <x:c r="H11"/>
      <x:c r="I11" t="str">
        <x:v>恢复目标控筹资金</x:v>
      </x:c>
      <x:c r="J11" s="555" t="n">
        <x:v>0</x:v>
      </x:c>
    </x:row>
    <x:row r="12">
      <x:c r="A12" s="111" t="str">
        <x:v>控筹率</x:v>
      </x:c>
      <x:c r="B12" s="111" t="str">
        <x:v>pooled token</x:v>
      </x:c>
      <x:c r="C12" s="111" t="str">
        <x:v>pooled ETH</x:v>
      </x:c>
      <x:c r="D12" s="111" t="str">
        <x:v>k</x:v>
      </x:c>
      <x:c r="E12" s="442" t="str">
        <x:v>价格 / ETH</x:v>
      </x:c>
      <x:c r="F12" s="442" t="str">
        <x:v>价格 / USDT</x:v>
      </x:c>
      <x:c r="G12" s="442" t="str">
        <x:v>市值 / ETH</x:v>
      </x:c>
      <x:c r="H12" s="442" t="str">
        <x:v>市值 / USD</x:v>
      </x:c>
      <x:c r="I12" s="442" t="str">
        <x:v>所需 ETH</x:v>
      </x:c>
      <x:c r="J12" s="442" t="str">
        <x:v>本档实付</x:v>
      </x:c>
      <x:c r="K12" s="452" t="str">
        <x:v>理论累计所需</x:v>
      </x:c>
    </x:row>
    <x:row r="13">
      <x:c r="A13" s="126" t="n">
        <x:v>0</x:v>
      </x:c>
      <x:c r="B13" s="65" t="n">
        <x:f>$B$4*(1-A13)</x:f>
        <x:v>1000000000</x:v>
      </x:c>
      <x:c r="C13" s="555" t="n">
        <x:f>$B$4*$B$5/B13</x:f>
        <x:v>1.68</x:v>
      </x:c>
      <x:c r="D13" s="76" t="n">
        <x:f>$B$4*$B$5</x:f>
        <x:v>1680000000</x:v>
      </x:c>
      <x:c r="E13" s="458" t="n">
        <x:f>C13/B13</x:f>
        <x:v>1.68e-9</x:v>
      </x:c>
      <x:c r="F13" s="458" t="n">
        <x:f>IF(ISNUMBER(E13),E13*$B$3/'币价'!$B$12,"")</x:f>
        <x:v>0.0000042049769607391775</x:v>
      </x:c>
      <x:c r="G13" s="569" t="n">
        <x:f>E13*$B$4</x:f>
        <x:v>1.68</x:v>
      </x:c>
      <x:c r="H13" s="572" t="n">
        <x:f>G13*$B$3</x:f>
        <x:v>4201.4616</x:v>
      </x:c>
      <x:c r="I13" s="569" t="n">
        <x:f>0</x:f>
        <x:v>0</x:v>
      </x:c>
      <x:c r="J13" s="569" t="n">
        <x:f>0</x:f>
        <x:v>0</x:v>
      </x:c>
      <x:c r="K13" s="571" t="n">
        <x:f>0</x:f>
        <x:v>0</x:v>
      </x:c>
    </x:row>
    <x:row r="14">
      <x:c r="A14" s="126" t="n">
        <x:v>0.1</x:v>
      </x:c>
      <x:c r="B14" s="65" t="n">
        <x:f>$B$4*(1-A14)</x:f>
        <x:v>900000000</x:v>
      </x:c>
      <x:c r="C14" s="555" t="n">
        <x:f>$B$4*$B$5/B14</x:f>
        <x:v>1.8666666666666667</x:v>
      </x:c>
      <x:c r="D14" s="76" t="n">
        <x:f>$B$4*$B$5</x:f>
        <x:v>1680000000</x:v>
      </x:c>
      <x:c r="E14" s="458" t="n">
        <x:f>C14/B14</x:f>
        <x:v>2.074074074074074e-9</x:v>
      </x:c>
      <x:c r="F14" s="458" t="n">
        <x:f>IF(ISNUMBER(E14),E14*$B$3/'币价'!$B$12,"")</x:f>
        <x:v>0.000005191329581159479</x:v>
      </x:c>
      <x:c r="G14" s="569" t="n">
        <x:f>E14*$B$4</x:f>
        <x:v>2.074074074074074</x:v>
      </x:c>
      <x:c r="H14" s="572" t="n">
        <x:f>G14*$B$3</x:f>
        <x:v>5186.989629629629</x:v>
      </x:c>
      <x:c r="I14" s="569" t="n">
        <x:f>C14-C13</x:f>
        <x:v>0.18666666666666676</x:v>
      </x:c>
      <x:c r="J14" s="569" t="n">
        <x:f>I14/(1-$B$7-$B$8)</x:f>
        <x:v>0.18855218855218864</x:v>
      </x:c>
      <x:c r="K14" s="571" t="n">
        <x:f>K13+J14</x:f>
        <x:v>0.18855218855218864</x:v>
      </x:c>
    </x:row>
    <x:row r="15">
      <x:c r="A15" s="126" t="n">
        <x:v>0.2</x:v>
      </x:c>
      <x:c r="B15" s="65" t="n">
        <x:f>$B$4*(1-A15)</x:f>
        <x:v>800000000</x:v>
      </x:c>
      <x:c r="C15" s="555" t="n">
        <x:f>$B$4*$B$5/B15</x:f>
        <x:v>2.1</x:v>
      </x:c>
      <x:c r="D15" s="76" t="n">
        <x:f>$B$4*$B$5</x:f>
        <x:v>1680000000</x:v>
      </x:c>
      <x:c r="E15" s="458" t="n">
        <x:f>C15/B15</x:f>
        <x:v>2.625e-9</x:v>
      </x:c>
      <x:c r="F15" s="458" t="n">
        <x:f>IF(ISNUMBER(E15),E15*$B$3/'币价'!$B$12,"")</x:f>
        <x:v>0.000006570276501154965</x:v>
      </x:c>
      <x:c r="G15" s="569" t="n">
        <x:f>E15*$B$4</x:f>
        <x:v>2.625</x:v>
      </x:c>
      <x:c r="H15" s="572" t="n">
        <x:f>G15*$B$3</x:f>
        <x:v>6564.78375</x:v>
      </x:c>
      <x:c r="I15" s="569" t="n">
        <x:f>C15-C14</x:f>
        <x:v>0.2333333333333334</x:v>
      </x:c>
      <x:c r="J15" s="569" t="n">
        <x:f>I15/(1-$B$7-$B$8)</x:f>
        <x:v>0.23569023569023576</x:v>
      </x:c>
      <x:c r="K15" s="571" t="n">
        <x:f>K14+J15</x:f>
        <x:v>0.4242424242424244</x:v>
      </x:c>
    </x:row>
    <x:row r="16">
      <x:c r="A16" s="126" t="n">
        <x:v>0.3</x:v>
      </x:c>
      <x:c r="B16" s="65" t="n">
        <x:f>$B$4*(1-A16)</x:f>
        <x:v>700000000</x:v>
      </x:c>
      <x:c r="C16" s="555" t="n">
        <x:f>$B$4*$B$5/B16</x:f>
        <x:v>2.4</x:v>
      </x:c>
      <x:c r="D16" s="76" t="n">
        <x:f>$B$4*$B$5</x:f>
        <x:v>1680000000</x:v>
      </x:c>
      <x:c r="E16" s="458" t="n">
        <x:f>C16/B16</x:f>
        <x:v>3.4285714285714283e-9</x:v>
      </x:c>
      <x:c r="F16" s="458" t="n">
        <x:f>IF(ISNUMBER(E16),E16*$B$3/'币价'!$B$12,"")</x:f>
        <x:v>0.000008581585634161587</x:v>
      </x:c>
      <x:c r="G16" s="569" t="n">
        <x:f>E16*$B$4</x:f>
        <x:v>3.4285714285714284</x:v>
      </x:c>
      <x:c r="H16" s="572" t="n">
        <x:f>G16*$B$3</x:f>
        <x:v>8574.411428571428</x:v>
      </x:c>
      <x:c r="I16" s="569" t="n">
        <x:f>C16-C15</x:f>
        <x:v>0.2999999999999998</x:v>
      </x:c>
      <x:c r="J16" s="569" t="n">
        <x:f>I16/(1-$B$7-$B$8)</x:f>
        <x:v>0.30303030303030287</x:v>
      </x:c>
      <x:c r="K16" s="571" t="n">
        <x:f>K15+J16</x:f>
        <x:v>0.7272727272727273</x:v>
      </x:c>
    </x:row>
    <x:row r="17">
      <x:c r="A17" s="126" t="n">
        <x:v>0.4</x:v>
      </x:c>
      <x:c r="B17" s="65" t="n">
        <x:f>$B$4*(1-A17)</x:f>
        <x:v>600000000</x:v>
      </x:c>
      <x:c r="C17" s="555" t="n">
        <x:f>$B$4*$B$5/B17</x:f>
        <x:v>2.8</x:v>
      </x:c>
      <x:c r="D17" s="76" t="n">
        <x:f>$B$4*$B$5</x:f>
        <x:v>1680000000</x:v>
      </x:c>
      <x:c r="E17" s="458" t="n">
        <x:f>C17/B17</x:f>
        <x:v>4.666666666666666e-9</x:v>
      </x:c>
      <x:c r="F17" s="458" t="n">
        <x:f>IF(ISNUMBER(E17),E17*$B$3/'币价'!$B$12,"")</x:f>
        <x:v>0.000011680491557608826</x:v>
      </x:c>
      <x:c r="G17" s="569" t="n">
        <x:f>E17*$B$4</x:f>
        <x:v>4.666666666666666</x:v>
      </x:c>
      <x:c r="H17" s="572" t="n">
        <x:f>G17*$B$3</x:f>
        <x:v>11670.726666666666</x:v>
      </x:c>
      <x:c r="I17" s="569" t="n">
        <x:f>C17-C16</x:f>
        <x:v>0.3999999999999999</x:v>
      </x:c>
      <x:c r="J17" s="569" t="n">
        <x:f>I17/(1-$B$7-$B$8)</x:f>
        <x:v>0.404040404040404</x:v>
      </x:c>
      <x:c r="K17" s="571" t="n">
        <x:f>K16+J17</x:f>
        <x:v>1.1313131313131313</x:v>
      </x:c>
    </x:row>
    <x:row r="18">
      <x:c r="A18" s="126" t="n">
        <x:v>0.5</x:v>
      </x:c>
      <x:c r="B18" s="65" t="n">
        <x:f>$B$4*(1-A18)</x:f>
        <x:v>500000000</x:v>
      </x:c>
      <x:c r="C18" s="555" t="n">
        <x:f>$B$4*$B$5/B18</x:f>
        <x:v>3.36</x:v>
      </x:c>
      <x:c r="D18" s="76" t="n">
        <x:f>$B$4*$B$5</x:f>
        <x:v>1680000000</x:v>
      </x:c>
      <x:c r="E18" s="458" t="n">
        <x:f>C18/B18</x:f>
        <x:v>6.72e-9</x:v>
      </x:c>
      <x:c r="F18" s="458" t="n">
        <x:f>IF(ISNUMBER(E18),E18*$B$3/'币价'!$B$12,"")</x:f>
        <x:v>0.00001681990784295671</x:v>
      </x:c>
      <x:c r="G18" s="569" t="n">
        <x:f>E18*$B$4</x:f>
        <x:v>6.72</x:v>
      </x:c>
      <x:c r="H18" s="572" t="n">
        <x:f>G18*$B$3</x:f>
        <x:v>16805.8464</x:v>
      </x:c>
      <x:c r="I18" s="569" t="n">
        <x:f>C18-C17</x:f>
        <x:v>0.56</x:v>
      </x:c>
      <x:c r="J18" s="569" t="n">
        <x:f>I18/(1-$B$7-$B$8)</x:f>
        <x:v>0.5656565656565657</x:v>
      </x:c>
      <x:c r="K18" s="571" t="n">
        <x:f>K17+J18</x:f>
        <x:v>1.696969696969697</x:v>
      </x:c>
    </x:row>
    <x:row r="19">
      <x:c r="A19" s="126" t="n">
        <x:v>0.6</x:v>
      </x:c>
      <x:c r="B19" s="65" t="n">
        <x:f>$B$4*(1-A19)</x:f>
        <x:v>400000000</x:v>
      </x:c>
      <x:c r="C19" s="555" t="n">
        <x:f>$B$4*$B$5/B19</x:f>
        <x:v>4.2</x:v>
      </x:c>
      <x:c r="D19" s="76" t="n">
        <x:f>$B$4*$B$5</x:f>
        <x:v>1680000000</x:v>
      </x:c>
      <x:c r="E19" s="458" t="n">
        <x:f>C19/B19</x:f>
        <x:v>1.05e-8</x:v>
      </x:c>
      <x:c r="F19" s="458" t="n">
        <x:f>IF(ISNUMBER(E19),E19*$B$3/'币价'!$B$12,"")</x:f>
        <x:v>0.00002628110600461986</x:v>
      </x:c>
      <x:c r="G19" s="569" t="n">
        <x:f>E19*$B$4</x:f>
        <x:v>10.5</x:v>
      </x:c>
      <x:c r="H19" s="572" t="n">
        <x:f>G19*$B$3</x:f>
        <x:v>26259.135</x:v>
      </x:c>
      <x:c r="I19" s="569" t="n">
        <x:f>C19-C18</x:f>
        <x:v>0.8400000000000003</x:v>
      </x:c>
      <x:c r="J19" s="569" t="n">
        <x:f>I19/(1-$B$7-$B$8)</x:f>
        <x:v>0.8484848484848488</x:v>
      </x:c>
      <x:c r="K19" s="571" t="n">
        <x:f>K18+J19</x:f>
        <x:v>2.545454545454546</x:v>
      </x:c>
    </x:row>
    <x:row r="20">
      <x:c r="A20" s="126" t="n">
        <x:v>0.7</x:v>
      </x:c>
      <x:c r="B20" s="65" t="n">
        <x:f>$B$4*(1-A20)</x:f>
        <x:v>300000000.00000006</x:v>
      </x:c>
      <x:c r="C20" s="555" t="n">
        <x:f>$B$4*$B$5/B20</x:f>
        <x:v>5.599999999999999</x:v>
      </x:c>
      <x:c r="D20" s="76" t="n">
        <x:f>$B$4*$B$5</x:f>
        <x:v>1680000000</x:v>
      </x:c>
      <x:c r="E20" s="458" t="n">
        <x:f>C20/B20</x:f>
        <x:v>1.866666666666666e-8</x:v>
      </x:c>
      <x:c r="F20" s="458" t="n">
        <x:f>IF(ISNUMBER(E20),E20*$B$3/'币价'!$B$12,"")</x:f>
        <x:v>0.000046721966230435284</x:v>
      </x:c>
      <x:c r="G20" s="569" t="n">
        <x:f>E20*$B$4</x:f>
        <x:v>18.666666666666657</x:v>
      </x:c>
      <x:c r="H20" s="572" t="n">
        <x:f>G20*$B$3</x:f>
        <x:v>46682.90666666664</x:v>
      </x:c>
      <x:c r="I20" s="569" t="n">
        <x:f>C20-C19</x:f>
        <x:v>1.3999999999999986</x:v>
      </x:c>
      <x:c r="J20" s="569" t="n">
        <x:f>I20/(1-$B$7-$B$8)</x:f>
        <x:v>1.4141414141414128</x:v>
      </x:c>
      <x:c r="K20" s="571" t="n">
        <x:f>K19+J20</x:f>
        <x:v>3.9595959595959584</x:v>
      </x:c>
    </x:row>
    <x:row r="21">
      <x:c r="A21" s="127" t="n">
        <x:f>$E$3</x:f>
        <x:v>0.7142857142857143</x:v>
      </x:c>
      <x:c r="B21" s="129" t="n">
        <x:f>$B$4*(1-A21)</x:f>
        <x:v>285714285.7142857</x:v>
      </x:c>
      <x:c r="C21" s="568" t="n">
        <x:f>$B$4*$B$5/B21</x:f>
        <x:v>5.880000000000001</x:v>
      </x:c>
      <x:c r="D21" s="137" t="n">
        <x:f>$B$4*$B$5</x:f>
        <x:v>1680000000</x:v>
      </x:c>
      <x:c r="E21" s="490" t="n">
        <x:f>C21/B21</x:f>
        <x:v>2.0580000000000006e-8</x:v>
      </x:c>
      <x:c r="F21" s="490" t="n">
        <x:f>IF(ISNUMBER(E21),E21*$B$3/'币价'!$B$12,"")</x:f>
        <x:v>0.00005151096776905494</x:v>
      </x:c>
      <x:c r="G21" s="570" t="n">
        <x:f>E21*$B$4</x:f>
        <x:v>20.580000000000005</x:v>
      </x:c>
      <x:c r="H21" s="573" t="n">
        <x:f>G21*$B$3</x:f>
        <x:v>51467.90460000001</x:v>
      </x:c>
      <x:c r="I21" s="570" t="n">
        <x:f>C21-C20</x:f>
        <x:v>0.280000000000002</x:v>
      </x:c>
      <x:c r="J21" s="570" t="n">
        <x:f>I21/(1-$B$7-$B$8)</x:f>
        <x:v>0.28282828282828487</x:v>
      </x:c>
      <x:c r="K21" s="570" t="n">
        <x:f>K20+J21</x:f>
        <x:v>4.242424242424243</x:v>
      </x:c>
    </x:row>
    <x:row r="22">
      <x:c r="A22"/>
      <x:c r="B22" s="65"/>
      <x:c r="C22" s="17"/>
      <x:c r="D22" s="76"/>
      <x:c r="E22" s="82"/>
      <x:c r="F22" s="17"/>
      <x:c r="G22" s="92"/>
      <x:c r="H22" s="149"/>
      <x:c r="I22" s="149"/>
      <x:c r="J22" s="150"/>
    </x:row>
    <x:row r="23">
      <x:c r="A23"/>
      <x:c r="B23" s="65"/>
      <x:c r="C23" s="17"/>
      <x:c r="D23" s="76"/>
      <x:c r="E23" s="82"/>
      <x:c r="F23" s="17"/>
      <x:c r="G23" s="92"/>
      <x:c r="H23" s="149"/>
      <x:c r="I23" s="149"/>
      <x:c r="J23" s="150"/>
    </x:row>
    <x:row r="24">
      <x:c r="A24" s="111" t="str">
        <x:v>控筹率</x:v>
      </x:c>
      <x:c r="B24" s="130" t="str">
        <x:v>pooled token</x:v>
      </x:c>
      <x:c r="C24" s="134" t="str">
        <x:v>pooled ETH</x:v>
      </x:c>
      <x:c r="D24" s="138" t="str">
        <x:v>k</x:v>
      </x:c>
      <x:c r="E24" s="444" t="str">
        <x:v>价格 / ETH</x:v>
      </x:c>
      <x:c r="F24" s="444" t="str">
        <x:v>价格 / USDT</x:v>
      </x:c>
      <x:c r="G24" s="516" t="str">
        <x:v>市值 / ETH</x:v>
      </x:c>
      <x:c r="H24" s="519" t="str">
        <x:v>市值 / USD</x:v>
      </x:c>
      <x:c r="I24" s="520" t="str">
        <x:v>所需 ETH</x:v>
      </x:c>
      <x:c r="J24" s="520" t="str">
        <x:v>本档实付</x:v>
      </x:c>
      <x:c r="K24" s="524" t="str">
        <x:v>理论累计所需</x:v>
      </x:c>
    </x:row>
    <x:row r="25">
      <x:c r="A25" s="127" t="n">
        <x:f>$E$3</x:f>
        <x:v>0.7142857142857143</x:v>
      </x:c>
      <x:c r="B25" s="129" t="n">
        <x:f>IF(OR($E$4-MAX(0,(A25-$E$3)*$B$4)/(1-$E$7-$B$8)&lt;=0,A25&gt;=1-($B$4*(1-$E$3)-$E$4)/$B$4),"",$B$4*(1-A25)-($B$4*(1-$E$3)-$E$4))</x:f>
        <x:v>204081632.6530612</x:v>
      </x:c>
      <x:c r="C25" s="568" t="n">
        <x:f>IF(B25="","",$E$6/B25)</x:f>
        <x:v>4.2</x:v>
      </x:c>
      <x:c r="D25" s="137" t="n">
        <x:f>IF(B25="","",$E$6)</x:f>
        <x:v>857142857.1428571</x:v>
      </x:c>
      <x:c r="E25" s="490" t="n">
        <x:f>IF(B25="","",C25/B25)</x:f>
        <x:v>2.0580000000000003e-8</x:v>
      </x:c>
      <x:c r="F25" s="490" t="n">
        <x:f>IF(ISNUMBER(E25),E25*$B$3/'币价'!$B$12,"")</x:f>
        <x:v>0.00005151096776905493</x:v>
      </x:c>
      <x:c r="G25" s="570" t="n">
        <x:f>IF(B25="","",E25*$B$4)</x:f>
        <x:v>20.580000000000002</x:v>
      </x:c>
      <x:c r="H25" s="573" t="n">
        <x:f>IF(B25="","",G25*$B$3)</x:f>
        <x:v>51467.9046</x:v>
      </x:c>
      <x:c r="I25" s="570" t="n">
        <x:f>0</x:f>
        <x:v>0</x:v>
      </x:c>
      <x:c r="J25" s="570" t="n">
        <x:f>0</x:f>
        <x:v>0</x:v>
      </x:c>
      <x:c r="K25" s="570" t="n">
        <x:f>IF(B25="","不可达",$K$21+$E$6/($E$4-MAX(0,(A25-$E$3)*$B$4)/(1-$E$7-$B$8))-$E$5)</x:f>
        <x:v>4.242424242424243</x:v>
      </x:c>
    </x:row>
    <x:row r="26">
      <x:c r="A26" s="126" t="n">
        <x:v>0.8</x:v>
      </x:c>
      <x:c r="B26" s="65" t="n">
        <x:f>IF(OR($E$4-MAX(0,(A26-$E$3)*$B$4)/(1-$E$7-$B$8)&lt;=0,A26&gt;=1-($B$4*(1-$E$3)-$E$4)/$B$4),"",$B$4*(1-A26)-($B$4*(1-$E$3)-$E$4))</x:f>
        <x:v>118367346.93877551</x:v>
      </x:c>
      <x:c r="C26" s="555" t="n">
        <x:f>IF(B26="","",$E$6/B26)</x:f>
        <x:v>7.241379310344827</x:v>
      </x:c>
      <x:c r="D26" s="76" t="n">
        <x:f>IF(B26="","",$E$6)</x:f>
        <x:v>857142857.1428571</x:v>
      </x:c>
      <x:c r="E26" s="458" t="n">
        <x:f>IF(B26="","",C26/B26)</x:f>
        <x:v>6.117717003567181e-8</x:v>
      </x:c>
      <x:c r="F26" s="458" t="n">
        <x:f>IF(ISNUMBER(E26),E26*$B$3/'币价'!$B$12,"")</x:f>
        <x:v>0.00015312416102572808</x:v>
      </x:c>
      <x:c r="G26" s="569" t="n">
        <x:f>IF(B26="","",E26*$B$4)</x:f>
        <x:v>61.177170035671814</x:v>
      </x:c>
      <x:c r="H26" s="572" t="n">
        <x:f>IF(B26="","",G26*$B$3)</x:f>
        <x:v>152996.14922711055</x:v>
      </x:c>
      <x:c r="I26" s="569" t="n">
        <x:f>IF(B26="","",C26-C25)</x:f>
        <x:v>3.0413793103448272</x:v>
      </x:c>
      <x:c r="J26" s="569" t="n">
        <x:f>IF(B26="","",K26-K25)</x:f>
        <x:v>3.094736842105265</x:v>
      </x:c>
      <x:c r="K26" s="571" t="n">
        <x:f>IF(B26="","不可达",$K$21+$E$6/($E$4-MAX(0,(A26-$E$3)*$B$4)/(1-$E$7-$B$8))-$E$5)</x:f>
        <x:v>7.337161084529508</x:v>
      </x:c>
    </x:row>
    <x:row r="27">
      <x:c r="A27" s="126" t="n">
        <x:v>0.805</x:v>
      </x:c>
      <x:c r="B27" s="65" t="n">
        <x:f>IF(OR($E$4-MAX(0,(A27-$E$3)*$B$4)/(1-$E$7-$B$8)&lt;=0,A27&gt;=1-($B$4*(1-$E$3)-$E$4)/$B$4),"",$B$4*(1-A27)-($B$4*(1-$E$3)-$E$4))</x:f>
        <x:v>113367346.93877548</x:v>
      </x:c>
      <x:c r="C27" s="555" t="n">
        <x:f>IF(B27="","",$E$6/B27)</x:f>
        <x:v>7.5607560756075625</x:v>
      </x:c>
      <x:c r="D27" s="76" t="n">
        <x:f>IF(B27="","",$E$6)</x:f>
        <x:v>857142857.1428571</x:v>
      </x:c>
      <x:c r="E27" s="458" t="n">
        <x:f>IF(B27="","",C27/B27)</x:f>
        <x:v>6.669253784064279e-8</x:v>
      </x:c>
      <x:c r="F27" s="458" t="n">
        <x:f>IF(ISNUMBER(E27),E27*$B$3/'币价'!$B$12,"")</x:f>
        <x:v>0.00016692891968638613</x:v>
      </x:c>
      <x:c r="G27" s="569" t="n">
        <x:f>IF(B27="","",E27*$B$4)</x:f>
        <x:v>66.69253784064279</x:v>
      </x:c>
      <x:c r="H27" s="572" t="n">
        <x:f>IF(B27="","",G27*$B$3)</x:f>
        <x:v>166789.3671095283</x:v>
      </x:c>
      <x:c r="I27" s="569" t="n">
        <x:f>IF(B27="","",C27-C26)</x:f>
        <x:v>0.31937676526273506</x:v>
      </x:c>
      <x:c r="J27" s="569" t="n">
        <x:f>IF(B27="","",K27-K26)</x:f>
        <x:v>0.32762796082782586</x:v>
      </x:c>
      <x:c r="K27" s="571" t="n">
        <x:f>IF(B27="","不可达",$K$21+$E$6/($E$4-MAX(0,(A27-$E$3)*$B$4)/(1-$E$7-$B$8))-$E$5)</x:f>
        <x:v>7.664789045357334</x:v>
      </x:c>
    </x:row>
    <x:row r="28">
      <x:c r="A28" s="126" t="n">
        <x:v>0.81</x:v>
      </x:c>
      <x:c r="B28" s="65" t="n">
        <x:f>IF(OR($E$4-MAX(0,(A28-$E$3)*$B$4)/(1-$E$7-$B$8)&lt;=0,A28&gt;=1-($B$4*(1-$E$3)-$E$4)/$B$4),"",$B$4*(1-A28)-($B$4*(1-$E$3)-$E$4))</x:f>
        <x:v>108367346.93877548</x:v>
      </x:c>
      <x:c r="C28" s="555" t="n">
        <x:f>IF(B28="","",$E$6/B28)</x:f>
        <x:v>7.909604519774013</x:v>
      </x:c>
      <x:c r="D28" s="76" t="n">
        <x:f>IF(B28="","",$E$6)</x:f>
        <x:v>857142857.1428571</x:v>
      </x:c>
      <x:c r="E28" s="458" t="n">
        <x:f>IF(B28="","",C28/B28)</x:f>
        <x:v>7.298881760243441e-8</x:v>
      </x:c>
      <x:c r="F28" s="458" t="n">
        <x:f>IF(ISNUMBER(E28),E28*$B$3/'币价'!$B$12,"")</x:f>
        <x:v>0.00018268827167251835</x:v>
      </x:c>
      <x:c r="G28" s="569" t="n">
        <x:f>IF(B28="","",E28*$B$4)</x:f>
        <x:v>72.98881760243441</x:v>
      </x:c>
      <x:c r="H28" s="572" t="n">
        <x:f>IF(B28="","",G28*$B$3)</x:f>
        <x:v>182535.54427740013</x:v>
      </x:c>
      <x:c r="I28" s="569" t="n">
        <x:f>IF(B28="","",C28-C27)</x:f>
        <x:v>0.34884844416645056</x:v>
      </x:c>
      <x:c r="J28" s="569" t="n">
        <x:f>IF(B28="","",K28-K27)</x:f>
        <x:v>0.3584413391014616</x:v>
      </x:c>
      <x:c r="K28" s="571" t="n">
        <x:f>IF(B28="","不可达",$K$21+$E$6/($E$4-MAX(0,(A28-$E$3)*$B$4)/(1-$E$7-$B$8))-$E$5)</x:f>
        <x:v>8.023230384458795</x:v>
      </x:c>
    </x:row>
    <x:row r="29">
      <x:c r="A29" s="126" t="n">
        <x:v>0.8150000000000001</x:v>
      </x:c>
      <x:c r="B29" s="65" t="n">
        <x:f>IF(OR($E$4-MAX(0,(A29-$E$3)*$B$4)/(1-$E$7-$B$8)&lt;=0,A29&gt;=1-($B$4*(1-$E$3)-$E$4)/$B$4),"",$B$4*(1-A29)-($B$4*(1-$E$3)-$E$4))</x:f>
        <x:v>103367346.93877548</x:v>
      </x:c>
      <x:c r="C29" s="555" t="n">
        <x:f>IF(B29="","",$E$6/B29)</x:f>
        <x:v>8.292201382033566</x:v>
      </x:c>
      <x:c r="D29" s="76" t="n">
        <x:f>IF(B29="","",$E$6)</x:f>
        <x:v>857142857.1428571</x:v>
      </x:c>
      <x:c r="E29" s="458" t="n">
        <x:f>IF(B29="","",C29/B29)</x:f>
        <x:v>8.022070438689928e-8</x:v>
      </x:c>
      <x:c r="F29" s="458" t="n">
        <x:f>IF(ISNUMBER(E29),E29*$B$3/'币价'!$B$12,"")</x:f>
        <x:v>0.00020078941292927366</x:v>
      </x:c>
      <x:c r="G29" s="569" t="n">
        <x:f>IF(B29="","",E29*$B$4)</x:f>
        <x:v>80.22070438689927</x:v>
      </x:c>
      <x:c r="H29" s="572" t="n">
        <x:f>IF(B29="","",G29*$B$3)</x:f>
        <x:v>200621.55298006476</x:v>
      </x:c>
      <x:c r="I29" s="569" t="n">
        <x:f>IF(B29="","",C29-C28)</x:f>
        <x:v>0.382596862259553</x:v>
      </x:c>
      <x:c r="J29" s="569" t="n">
        <x:f>IF(B29="","",K29-K28)</x:f>
        <x:v>0.3938162144609194</x:v>
      </x:c>
      <x:c r="K29" s="571" t="n">
        <x:f>IF(B29="","不可达",$K$21+$E$6/($E$4-MAX(0,(A29-$E$3)*$B$4)/(1-$E$7-$B$8))-$E$5)</x:f>
        <x:v>8.417046598919715</x:v>
      </x:c>
    </x:row>
    <x:row r="30">
      <x:c r="A30" s="126" t="n">
        <x:v>0.8200000000000001</x:v>
      </x:c>
      <x:c r="B30" s="65" t="n">
        <x:f>IF(OR($E$4-MAX(0,(A30-$E$3)*$B$4)/(1-$E$7-$B$8)&lt;=0,A30&gt;=1-($B$4*(1-$E$3)-$E$4)/$B$4),"",$B$4*(1-A30)-($B$4*(1-$E$3)-$E$4))</x:f>
        <x:v>98367346.93877548</x:v>
      </x:c>
      <x:c r="C30" s="555" t="n">
        <x:f>IF(B30="","",$E$6/B30)</x:f>
        <x:v>8.713692946058094</x:v>
      </x:c>
      <x:c r="D30" s="76" t="n">
        <x:f>IF(B30="","",$E$6)</x:f>
        <x:v>857142857.1428571</x:v>
      </x:c>
      <x:c r="E30" s="458" t="n">
        <x:f>IF(B30="","",C30/B30)</x:f>
        <x:v>8.858318555121302e-8</x:v>
      </x:c>
      <x:c r="F30" s="458" t="n">
        <x:f>IF(ISNUMBER(E30),E30*$B$3/'币价'!$B$12,"")</x:f>
        <x:v>0.00022172038949507995</x:v>
      </x:c>
      <x:c r="G30" s="569" t="n">
        <x:f>IF(B30="","",E30*$B$4)</x:f>
        <x:v>88.58318555121302</x:v>
      </x:c>
      <x:c r="H30" s="572" t="n">
        <x:f>IF(B30="","",G30*$B$3)</x:f>
        <x:v>221535.0312494621</x:v>
      </x:c>
      <x:c r="I30" s="569" t="n">
        <x:f>IF(B30="","",C30-C29)</x:f>
        <x:v>0.42149156402452803</x:v>
      </x:c>
      <x:c r="J30" s="569" t="n">
        <x:f>IF(B30="","",K30-K29)</x:f>
        <x:v>0.43469967740283977</x:v>
      </x:c>
      <x:c r="K30" s="571" t="n">
        <x:f>IF(B30="","不可达",$K$21+$E$6/($E$4-MAX(0,(A30-$E$3)*$B$4)/(1-$E$7-$B$8))-$E$5)</x:f>
        <x:v>8.851746276322555</x:v>
      </x:c>
    </x:row>
    <x:row r="31">
      <x:c r="A31" s="126" t="n">
        <x:v>0.8250000000000001</x:v>
      </x:c>
      <x:c r="B31" s="65" t="n">
        <x:f>IF(OR($E$4-MAX(0,(A31-$E$3)*$B$4)/(1-$E$7-$B$8)&lt;=0,A31&gt;=1-($B$4*(1-$E$3)-$E$4)/$B$4),"",$B$4*(1-A31)-($B$4*(1-$E$3)-$E$4))</x:f>
        <x:v>93367346.93877548</x:v>
      </x:c>
      <x:c r="C31" s="555" t="n">
        <x:f>IF(B31="","",$E$6/B31)</x:f>
        <x:v>9.180327868852462</x:v>
      </x:c>
      <x:c r="D31" s="76" t="n">
        <x:f>IF(B31="","",$E$6)</x:f>
        <x:v>857142857.1428571</x:v>
      </x:c>
      <x:c r="E31" s="458" t="n">
        <x:f>IF(B31="","",C31/B31)</x:f>
        <x:v>9.832482307623406e-8</x:v>
      </x:c>
      <x:c r="F31" s="458" t="n">
        <x:f>IF(ISNUMBER(E31),E31*$B$3/'币价'!$B$12,"")</x:f>
        <x:v>0.00024610334268114286</x:v>
      </x:c>
      <x:c r="G31" s="569" t="n">
        <x:f>IF(B31="","",E31*$B$4)</x:f>
        <x:v>98.32482307623405</x:v>
      </x:c>
      <x:c r="H31" s="572" t="n">
        <x:f>IF(B31="","",G31*$B$3)</x:f>
        <x:v>245897.60028666144</x:v>
      </x:c>
      <x:c r="I31" s="569" t="n">
        <x:f>IF(B31="","",C31-C30)</x:f>
        <x:v>0.466634922794368</x:v>
      </x:c>
      <x:c r="J31" s="569" t="n">
        <x:f>IF(B31="","",K31-K30)</x:f>
        <x:v>0.48229807783353706</x:v>
      </x:c>
      <x:c r="K31" s="571" t="n">
        <x:f>IF(B31="","不可达",$K$21+$E$6/($E$4-MAX(0,(A31-$E$3)*$B$4)/(1-$E$7-$B$8))-$E$5)</x:f>
        <x:v>9.334044354156092</x:v>
      </x:c>
    </x:row>
    <x:row r="32">
      <x:c r="A32" s="126" t="n">
        <x:v>0.8300000000000001</x:v>
      </x:c>
      <x:c r="B32" s="65" t="n">
        <x:f>IF(OR($E$4-MAX(0,(A32-$E$3)*$B$4)/(1-$E$7-$B$8)&lt;=0,A32&gt;=1-($B$4*(1-$E$3)-$E$4)/$B$4),"",$B$4*(1-A32)-($B$4*(1-$E$3)-$E$4))</x:f>
        <x:v>88367346.93877548</x:v>
      </x:c>
      <x:c r="C32" s="555" t="n">
        <x:f>IF(B32="","",$E$6/B32)</x:f>
        <x:v>9.699769053117786</x:v>
      </x:c>
      <x:c r="D32" s="76" t="n">
        <x:f>IF(B32="","",$E$6)</x:f>
        <x:v>857142857.1428571</x:v>
      </x:c>
      <x:c r="E32" s="458" t="n">
        <x:f>IF(B32="","",C32/B32)</x:f>
        <x:v>1.0976643963112509e-7</x:v>
      </x:c>
      <x:c r="F32" s="458" t="n">
        <x:f>IF(ISNUMBER(E32),E32*$B$3/'币价'!$B$12,"")</x:f>
        <x:v>0.00027474127959002903</x:v>
      </x:c>
      <x:c r="G32" s="569" t="n">
        <x:f>IF(B32="","",E32*$B$4)</x:f>
        <x:v>109.7664396311251</x:v>
      </x:c>
      <x:c r="H32" s="572" t="n">
        <x:f>IF(B32="","",G32*$B$3)</x:f>
        <x:v>274511.59588029183</x:v>
      </x:c>
      <x:c r="I32" s="569" t="n">
        <x:f>IF(B32="","",C32-C31)</x:f>
        <x:v>0.5194411842653235</x:v>
      </x:c>
      <x:c r="J32" s="569" t="n">
        <x:f>IF(B32="","",K32-K31)</x:f>
        <x:v>0.5381671223107141</x:v>
      </x:c>
      <x:c r="K32" s="571" t="n">
        <x:f>IF(B32="","不可达",$K$21+$E$6/($E$4-MAX(0,(A32-$E$3)*$B$4)/(1-$E$7-$B$8))-$E$5)</x:f>
        <x:v>9.872211476466806</x:v>
      </x:c>
    </x:row>
    <x:row r="33">
      <x:c r="A33" s="126" t="n">
        <x:v>0.8350000000000001</x:v>
      </x:c>
      <x:c r="B33" s="65" t="n">
        <x:f>IF(OR($E$4-MAX(0,(A33-$E$3)*$B$4)/(1-$E$7-$B$8)&lt;=0,A33&gt;=1-($B$4*(1-$E$3)-$E$4)/$B$4),"",$B$4*(1-A33)-($B$4*(1-$E$3)-$E$4))</x:f>
        <x:v>83367346.93877545</x:v>
      </x:c>
      <x:c r="C33" s="555" t="n">
        <x:f>IF(B33="","",$E$6/B33)</x:f>
        <x:v>10.281517747858024</x:v>
      </x:c>
      <x:c r="D33" s="76" t="n">
        <x:f>IF(B33="","",$E$6)</x:f>
        <x:v>857142857.1428571</x:v>
      </x:c>
      <x:c r="E33" s="458" t="n">
        <x:f>IF(B33="","",C33/B33)</x:f>
        <x:v>1.2332787506610613e-7</x:v>
      </x:c>
      <x:c r="F33" s="458" t="n">
        <x:f>IF(ISNUMBER(E33),E33*$B$3/'币价'!$B$12,"")</x:f>
        <x:v>0.0003086850436130333</x:v>
      </x:c>
      <x:c r="G33" s="569" t="n">
        <x:f>IF(B33="","",E33*$B$4)</x:f>
        <x:v>123.32787506610613</x:v>
      </x:c>
      <x:c r="H33" s="572" t="n">
        <x:f>IF(B33="","",G33*$B$3)</x:f>
        <x:v>308426.98291657283</x:v>
      </x:c>
      <x:c r="I33" s="569" t="n">
        <x:f>IF(B33="","",C33-C32)</x:f>
        <x:v>0.5817486947402379</x:v>
      </x:c>
      <x:c r="J33" s="569" t="n">
        <x:f>IF(B33="","",K33-K32)</x:f>
        <x:v>0.6043407458821655</x:v>
      </x:c>
      <x:c r="K33" s="571" t="n">
        <x:f>IF(B33="","不可达",$K$21+$E$6/($E$4-MAX(0,(A33-$E$3)*$B$4)/(1-$E$7-$B$8))-$E$5)</x:f>
        <x:v>10.476552222348971</x:v>
      </x:c>
    </x:row>
    <x:row r="34">
      <x:c r="A34" s="126" t="n">
        <x:v>0.8400000000000001</x:v>
      </x:c>
      <x:c r="B34" s="65" t="n">
        <x:f>IF(OR($E$4-MAX(0,(A34-$E$3)*$B$4)/(1-$E$7-$B$8)&lt;=0,A34&gt;=1-($B$4*(1-$E$3)-$E$4)/$B$4),"",$B$4*(1-A34)-($B$4*(1-$E$3)-$E$4))</x:f>
        <x:v>78367346.93877545</x:v>
      </x:c>
      <x:c r="C34" s="555" t="n">
        <x:f>IF(B34="","",$E$6/B34)</x:f>
        <x:v>10.937500000000007</x:v>
      </x:c>
      <x:c r="D34" s="76" t="n">
        <x:f>IF(B34="","",$E$6)</x:f>
        <x:v>857142857.1428571</x:v>
      </x:c>
      <x:c r="E34" s="458" t="n">
        <x:f>IF(B34="","",C34/B34)</x:f>
        <x:v>1.3956705729166687e-7</x:v>
      </x:c>
      <x:c r="F34" s="458" t="n">
        <x:f>IF(ISNUMBER(E34),E34*$B$3/'币价'!$B$12,"")</x:f>
        <x:v>0.00034933110737477615</x:v>
      </x:c>
      <x:c r="G34" s="569" t="n">
        <x:f>IF(B34="","",E34*$B$4)</x:f>
        <x:v>139.56705729166686</x:v>
      </x:c>
      <x:c r="H34" s="572" t="n">
        <x:f>IF(B34="","",G34*$B$3)</x:f>
        <x:v>349039.0665690109</x:v>
      </x:c>
      <x:c r="I34" s="569" t="n">
        <x:f>IF(B34="","",C34-C33)</x:f>
        <x:v>0.6559822521419836</x:v>
      </x:c>
      <x:c r="J34" s="569" t="n">
        <x:f>IF(B34="","",K34-K33)</x:f>
        <x:v>0.6835190788988115</x:v>
      </x:c>
      <x:c r="K34" s="571" t="n">
        <x:f>IF(B34="","不可达",$K$21+$E$6/($E$4-MAX(0,(A34-$E$3)*$B$4)/(1-$E$7-$B$8))-$E$5)</x:f>
        <x:v>11.160071301247783</x:v>
      </x:c>
    </x:row>
    <x:row r="35">
      <x:c r="A35" s="126" t="n">
        <x:v>0.8450000000000001</x:v>
      </x:c>
      <x:c r="B35" s="65" t="n">
        <x:f>IF(OR($E$4-MAX(0,(A35-$E$3)*$B$4)/(1-$E$7-$B$8)&lt;=0,A35&gt;=1-($B$4*(1-$E$3)-$E$4)/$B$4),"",$B$4*(1-A35)-($B$4*(1-$E$3)-$E$4))</x:f>
        <x:v>73367346.93877545</x:v>
      </x:c>
      <x:c r="C35" s="555" t="n">
        <x:f>IF(B35="","",$E$6/B35)</x:f>
        <x:v>11.68289290681503</x:v>
      </x:c>
      <x:c r="D35" s="76" t="n">
        <x:f>IF(B35="","",$E$6)</x:f>
        <x:v>857142857.1428571</x:v>
      </x:c>
      <x:c r="E35" s="458" t="n">
        <x:f>IF(B35="","",C35/B35)</x:f>
        <x:v>1.592383177841271e-7</x:v>
      </x:c>
      <x:c r="F35" s="458" t="n">
        <x:f>IF(ISNUMBER(E35),E35*$B$3/'币价'!$B$12,"")</x:f>
        <x:v>0.0003985675342554274</x:v>
      </x:c>
      <x:c r="G35" s="569" t="n">
        <x:f>IF(B35="","",E35*$B$4)</x:f>
        <x:v>159.23831778412708</x:v>
      </x:c>
      <x:c r="H35" s="572" t="n">
        <x:f>IF(B35="","",G35*$B$3)</x:f>
        <x:v>398234.3317967899</x:v>
      </x:c>
      <x:c r="I35" s="569" t="n">
        <x:f>IF(B35="","",C35-C34)</x:f>
        <x:v>0.745392906815022</x:v>
      </x:c>
      <x:c r="J35" s="569" t="n">
        <x:f>IF(B35="","",K35-K34)</x:f>
        <x:v>0.7793486493309807</x:v>
      </x:c>
      <x:c r="K35" s="571" t="n">
        <x:f>IF(B35="","不可达",$K$21+$E$6/($E$4-MAX(0,(A35-$E$3)*$B$4)/(1-$E$7-$B$8))-$E$5)</x:f>
        <x:v>11.939419950578763</x:v>
      </x:c>
    </x:row>
    <x:row r="36">
      <x:c r="A36" s="126" t="n">
        <x:v>0.8500000000000001</x:v>
      </x:c>
      <x:c r="B36" s="65" t="n">
        <x:f>IF(OR($E$4-MAX(0,(A36-$E$3)*$B$4)/(1-$E$7-$B$8)&lt;=0,A36&gt;=1-($B$4*(1-$E$3)-$E$4)/$B$4),"",$B$4*(1-A36)-($B$4*(1-$E$3)-$E$4))</x:f>
        <x:v>68367346.93877545</x:v>
      </x:c>
      <x:c r="C36" s="555" t="n">
        <x:f>IF(B36="","",$E$6/B36)</x:f>
        <x:v>12.53731343283583</x:v>
      </x:c>
      <x:c r="D36" s="76" t="n">
        <x:f>IF(B36="","",$E$6)</x:f>
        <x:v>857142857.1428571</x:v>
      </x:c>
      <x:c r="E36" s="458" t="n">
        <x:f>IF(B36="","",C36/B36)</x:f>
        <x:v>1.8338159946536008e-7</x:v>
      </x:c>
      <x:c r="F36" s="458" t="n">
        <x:f>IF(ISNUMBER(E36),E36*$B$3/'币价'!$B$12,"")</x:f>
        <x:v>0.00045899726236627323</x:v>
      </x:c>
      <x:c r="G36" s="569" t="n">
        <x:f>IF(B36="","",E36*$B$4)</x:f>
        <x:v>183.38159946536007</x:v>
      </x:c>
      <x:c r="H36" s="572" t="n">
        <x:f>IF(B36="","",G36*$B$3)</x:f>
        <x:v>458613.540654935</x:v>
      </x:c>
      <x:c r="I36" s="569" t="n">
        <x:f>IF(B36="","",C36-C35)</x:f>
        <x:v>0.8544205260208013</x:v>
      </x:c>
      <x:c r="J36" s="569" t="n">
        <x:f>IF(B36="","",K36-K35)</x:f>
        <x:v>0.8968504456916513</x:v>
      </x:c>
      <x:c r="K36" s="571" t="n">
        <x:f>IF(B36="","不可达",$K$21+$E$6/($E$4-MAX(0,(A36-$E$3)*$B$4)/(1-$E$7-$B$8))-$E$5)</x:f>
        <x:v>12.836270396270415</x:v>
      </x:c>
    </x:row>
    <x:row r="37">
      <x:c r="A37" s="126" t="n">
        <x:v>0.8550000000000001</x:v>
      </x:c>
      <x:c r="B37" s="65" t="n">
        <x:f>IF(OR($E$4-MAX(0,(A37-$E$3)*$B$4)/(1-$E$7-$B$8)&lt;=0,A37&gt;=1-($B$4*(1-$E$3)-$E$4)/$B$4),"",$B$4*(1-A37)-($B$4*(1-$E$3)-$E$4))</x:f>
        <x:v>63367346.93877545</x:v>
      </x:c>
      <x:c r="C37" s="555" t="n">
        <x:f>IF(B37="","",$E$6/B37)</x:f>
        <x:v>13.52657004830919</x:v>
      </x:c>
      <x:c r="D37" s="76" t="n">
        <x:f>IF(B37="","",$E$6)</x:f>
        <x:v>857142857.1428571</x:v>
      </x:c>
      <x:c r="E37" s="458" t="n">
        <x:f>IF(B37="","",C37/B37)</x:f>
        <x:v>2.134627801504512e-7</x:v>
      </x:c>
      <x:c r="F37" s="458" t="n">
        <x:f>IF(ISNUMBER(E37),E37*$B$3/'币价'!$B$12,"")</x:f>
        <x:v>0.0005342893288737973</x:v>
      </x:c>
      <x:c r="G37" s="569" t="n">
        <x:f>IF(B37="","",E37*$B$4)</x:f>
        <x:v>213.46278015045118</x:v>
      </x:c>
      <x:c r="H37" s="572" t="n">
        <x:f>IF(B37="","",G37*$B$3)</x:f>
        <x:v>533842.6629948588</x:v>
      </x:c>
      <x:c r="I37" s="569" t="n">
        <x:f>IF(B37="","",C37-C36)</x:f>
        <x:v>0.9892566154733604</x:v>
      </x:c>
      <x:c r="J37" s="569" t="n">
        <x:f>IF(B37="","",K37-K36)</x:f>
        <x:v>1.0430922820939443</x:v>
      </x:c>
      <x:c r="K37" s="571" t="n">
        <x:f>IF(B37="","不可达",$K$21+$E$6/($E$4-MAX(0,(A37-$E$3)*$B$4)/(1-$E$7-$B$8))-$E$5)</x:f>
        <x:v>13.879362678364359</x:v>
      </x:c>
    </x:row>
    <x:row r="38">
      <x:c r="A38" s="126" t="n">
        <x:v>0.8600000000000001</x:v>
      </x:c>
      <x:c r="B38" s="65" t="n">
        <x:f>IF(OR($E$4-MAX(0,(A38-$E$3)*$B$4)/(1-$E$7-$B$8)&lt;=0,A38&gt;=1-($B$4*(1-$E$3)-$E$4)/$B$4),"",$B$4*(1-A38)-($B$4*(1-$E$3)-$E$4))</x:f>
        <x:v>58367346.93877545</x:v>
      </x:c>
      <x:c r="C38" s="555" t="n">
        <x:f>IF(B38="","",$E$6/B38)</x:f>
        <x:v>14.6853146853147</x:v>
      </x:c>
      <x:c r="D38" s="76" t="n">
        <x:f>IF(B38="","",$E$6)</x:f>
        <x:v>857142857.1428571</x:v>
      </x:c>
      <x:c r="E38" s="458" t="n">
        <x:f>IF(B38="","",C38/B38)</x:f>
        <x:v>2.516015453078395e-7</x:v>
      </x:c>
      <x:c r="F38" s="458" t="n">
        <x:f>IF(ISNUMBER(E38),E38*$B$3/'币价'!$B$12,"")</x:f>
        <x:v>0.0006297492269677616</x:v>
      </x:c>
      <x:c r="G38" s="569" t="n">
        <x:f>IF(B38="","",E38*$B$4)</x:f>
        <x:v>251.6015453078395</x:v>
      </x:c>
      <x:c r="H38" s="572" t="n">
        <x:f>IF(B38="","",G38*$B$3)</x:f>
        <x:v>629222.7566140166</x:v>
      </x:c>
      <x:c r="I38" s="569" t="n">
        <x:f>IF(B38="","",C38-C37)</x:f>
        <x:v>1.1587446370055083</x:v>
      </x:c>
      <x:c r="J38" s="569" t="n">
        <x:f>IF(B38="","",K38-K37)</x:f>
        <x:v>1.2282789553642566</x:v>
      </x:c>
      <x:c r="K38" s="571" t="n">
        <x:f>IF(B38="","不可达",$K$21+$E$6/($E$4-MAX(0,(A38-$E$3)*$B$4)/(1-$E$7-$B$8))-$E$5)</x:f>
        <x:v>15.107641633728615</x:v>
      </x:c>
    </x:row>
    <x:row r="39">
      <x:c r="A39" s="126" t="n">
        <x:v>0.865</x:v>
      </x:c>
      <x:c r="B39" s="65" t="n">
        <x:f>IF(OR($E$4-MAX(0,(A39-$E$3)*$B$4)/(1-$E$7-$B$8)&lt;=0,A39&gt;=1-($B$4*(1-$E$3)-$E$4)/$B$4),"",$B$4*(1-A39)-($B$4*(1-$E$3)-$E$4))</x:f>
        <x:v>53367346.93877554</x:v>
      </x:c>
      <x:c r="C39" s="555" t="n">
        <x:f>IF(B39="","",$E$6/B39)</x:f>
        <x:v>16.06118546845123</x:v>
      </x:c>
      <x:c r="D39" s="76" t="n">
        <x:f>IF(B39="","",$E$6)</x:f>
        <x:v>857142857.1428571</x:v>
      </x:c>
      <x:c r="E39" s="458" t="n">
        <x:f>IF(B39="","",C39/B39)</x:f>
        <x:v>3.009552917606539e-7</x:v>
      </x:c>
      <x:c r="F39" s="458" t="n">
        <x:f>IF(ISNUMBER(E39),E39*$B$3/'币价'!$B$12,"")</x:f>
        <x:v>0.0007532798024202898</x:v>
      </x:c>
      <x:c r="G39" s="569" t="n">
        <x:f>IF(B39="","",E39*$B$4)</x:f>
        <x:v>300.9552917606539</x:v>
      </x:c>
      <x:c r="H39" s="572" t="n">
        <x:f>IF(B39="","",G39*$B$3)</x:f>
        <x:v>752650.0605054664</x:v>
      </x:c>
      <x:c r="I39" s="569" t="n">
        <x:f>IF(B39="","",C39-C38)</x:f>
        <x:v>1.3758707831365324</x:v>
      </x:c>
      <x:c r="J39" s="569" t="n">
        <x:f>IF(B39="","",K39-K38)</x:f>
        <x:v>1.4675857896101405</x:v>
      </x:c>
      <x:c r="K39" s="571" t="n">
        <x:f>IF(B39="","不可达",$K$21+$E$6/($E$4-MAX(0,(A39-$E$3)*$B$4)/(1-$E$7-$B$8))-$E$5)</x:f>
        <x:v>16.575227423338756</x:v>
      </x:c>
    </x:row>
    <x:row r="40">
      <x:c r="A40" s="126" t="n">
        <x:v>0.8700000000000001</x:v>
      </x:c>
      <x:c r="B40" s="65" t="n">
        <x:f>IF(OR($E$4-MAX(0,(A40-$E$3)*$B$4)/(1-$E$7-$B$8)&lt;=0,A40&gt;=1-($B$4*(1-$E$3)-$E$4)/$B$4),"",$B$4*(1-A40)-($B$4*(1-$E$3)-$E$4))</x:f>
        <x:v>48367346.938775435</x:v>
      </x:c>
      <x:c r="C40" s="555" t="n">
        <x:f>IF(B40="","",$E$6/B40)</x:f>
        <x:v>17.7215189873418</x:v>
      </x:c>
      <x:c r="D40" s="76" t="n">
        <x:f>IF(B40="","",$E$6)</x:f>
        <x:v>857142857.1428571</x:v>
      </x:c>
      <x:c r="E40" s="458" t="n">
        <x:f>IF(B40="","",C40/B40)</x:f>
        <x:v>3.6639427442183525e-7</x:v>
      </x:c>
      <x:c r="F40" s="458" t="n">
        <x:f>IF(ISNUMBER(E40),E40*$B$3/'币价'!$B$12,"")</x:f>
        <x:v>0.0009170711205300983</x:v>
      </x:c>
      <x:c r="G40" s="569" t="n">
        <x:f>IF(B40="","",E40*$B$4)</x:f>
        <x:v>366.39427442183523</x:v>
      </x:c>
      <x:c r="H40" s="572" t="n">
        <x:f>IF(B40="","",G40*$B$3)</x:f>
        <x:v>916304.449073335</x:v>
      </x:c>
      <x:c r="I40" s="569" t="n">
        <x:f>IF(B40="","",C40-C39)</x:f>
        <x:v>1.6603335188905675</x:v>
      </x:c>
      <x:c r="J40" s="569" t="n">
        <x:f>IF(B40="","",K40-K39)</x:f>
        <x:v>1.7843774358256077</x:v>
      </x:c>
      <x:c r="K40" s="571" t="n">
        <x:f>IF(B40="","不可达",$K$21+$E$6/($E$4-MAX(0,(A40-$E$3)*$B$4)/(1-$E$7-$B$8))-$E$5)</x:f>
        <x:v>18.359604859164364</x:v>
      </x:c>
    </x:row>
    <x:row r="41">
      <x:c r="A41" s="126" t="n">
        <x:v>0.875</x:v>
      </x:c>
      <x:c r="B41" s="65" t="n">
        <x:f>IF(OR($E$4-MAX(0,(A41-$E$3)*$B$4)/(1-$E$7-$B$8)&lt;=0,A41&gt;=1-($B$4*(1-$E$3)-$E$4)/$B$4),"",$B$4*(1-A41)-($B$4*(1-$E$3)-$E$4))</x:f>
        <x:v>43367346.93877554</x:v>
      </x:c>
      <x:c r="C41" s="555" t="n">
        <x:f>IF(B41="","",$E$6/B41)</x:f>
        <x:v>19.764705882352928</x:v>
      </x:c>
      <x:c r="D41" s="76" t="n">
        <x:f>IF(B41="","",$E$6)</x:f>
        <x:v>857142857.1428571</x:v>
      </x:c>
      <x:c r="E41" s="458" t="n">
        <x:f>IF(B41="","",C41/B41)</x:f>
        <x:v>4.557508650519025e-7</x:v>
      </x:c>
      <x:c r="F41" s="458" t="n">
        <x:f>IF(ISNUMBER(E41),E41*$B$3/'币价'!$B$12,"")</x:f>
        <x:v>0.0011407273139167858</x:v>
      </x:c>
      <x:c r="G41" s="569" t="n">
        <x:f>IF(B41="","",E41*$B$4)</x:f>
        <x:v>455.75086505190245</x:v>
      </x:c>
      <x:c r="H41" s="572" t="n">
        <x:f>IF(B41="","",G41*$B$3)</x:f>
        <x:v>1139773.6658823513</x:v>
      </x:c>
      <x:c r="I41" s="569" t="n">
        <x:f>IF(B41="","",C41-C40)</x:f>
        <x:v>2.0431868950111287</x:v>
      </x:c>
      <x:c r="J41" s="569" t="n">
        <x:f>IF(B41="","",K41-K40)</x:f>
        <x:v>2.2161527165932178</x:v>
      </x:c>
      <x:c r="K41" s="571" t="n">
        <x:f>IF(B41="","不可达",$K$21+$E$6/($E$4-MAX(0,(A41-$E$3)*$B$4)/(1-$E$7-$B$8))-$E$5)</x:f>
        <x:v>20.57575757575758</x:v>
      </x:c>
    </x:row>
    <x:row r="42">
      <x:c r="A42" s="126" t="n">
        <x:v>0.88</x:v>
      </x:c>
      <x:c r="B42" s="65" t="n">
        <x:f>IF(OR($E$4-MAX(0,(A42-$E$3)*$B$4)/(1-$E$7-$B$8)&lt;=0,A42&gt;=1-($B$4*(1-$E$3)-$E$4)/$B$4),"",$B$4*(1-A42)-($B$4*(1-$E$3)-$E$4))</x:f>
        <x:v>38367346.93877554</x:v>
      </x:c>
      <x:c r="C42" s="555" t="n">
        <x:f>IF(B42="","",$E$6/B42)</x:f>
        <x:v>22.340425531914875</x:v>
      </x:c>
      <x:c r="D42" s="76" t="n">
        <x:f>IF(B42="","",$E$6)</x:f>
        <x:v>857142857.1428571</x:v>
      </x:c>
      <x:c r="E42" s="458" t="n">
        <x:f>IF(B42="","",C42/B42)</x:f>
        <x:v>5.822770484382064e-7</x:v>
      </x:c>
      <x:c r="F42" s="458" t="n">
        <x:f>IF(ISNUMBER(E42),E42*$B$3/'币价'!$B$12,"")</x:f>
        <x:v>0.0014574176032439692</x:v>
      </x:c>
      <x:c r="G42" s="569" t="n">
        <x:f>IF(B42="","",E42*$B$4)</x:f>
        <x:v>582.2770484382064</x:v>
      </x:c>
      <x:c r="H42" s="572" t="n">
        <x:f>IF(B42="","",G42*$B$3)</x:f>
        <x:v>1456199.2021276571</x:v>
      </x:c>
      <x:c r="I42" s="569" t="n">
        <x:f>IF(B42="","",C42-C41)</x:f>
        <x:v>2.5757196495619468</x:v>
      </x:c>
      <x:c r="J42" s="569" t="n">
        <x:f>IF(B42="","",K42-K41)</x:f>
        <x:v>2.826217228464415</x:v>
      </x:c>
      <x:c r="K42" s="571" t="n">
        <x:f>IF(B42="","不可达",$K$21+$E$6/($E$4-MAX(0,(A42-$E$3)*$B$4)/(1-$E$7-$B$8))-$E$5)</x:f>
        <x:v>23.401974804221997</x:v>
      </x:c>
    </x:row>
    <x:row r="43">
      <x:c r="A43" s="126" t="n">
        <x:v>0.885</x:v>
      </x:c>
      <x:c r="B43" s="65" t="n">
        <x:f>IF(OR($E$4-MAX(0,(A43-$E$3)*$B$4)/(1-$E$7-$B$8)&lt;=0,A43&gt;=1-($B$4*(1-$E$3)-$E$4)/$B$4),"",$B$4*(1-A43)-($B$4*(1-$E$3)-$E$4))</x:f>
        <x:v>33367346.938775524</x:v>
      </x:c>
      <x:c r="C43" s="555" t="n">
        <x:f>IF(B43="","",$E$6/B43)</x:f>
        <x:v>25.6880733944954</x:v>
      </x:c>
      <x:c r="D43" s="76" t="n">
        <x:f>IF(B43="","",$E$6)</x:f>
        <x:v>857142857.1428571</x:v>
      </x:c>
      <x:c r="E43" s="458" t="n">
        <x:f>IF(B43="","",C43/B43)</x:f>
        <x:v>7.698566338411462e-7</x:v>
      </x:c>
      <x:c r="F43" s="458" t="n">
        <x:f>IF(ISNUMBER(E43),E43*$B$3/'币价'!$B$12,"")</x:f>
        <x:v>0.0019269222668894268</x:v>
      </x:c>
      <x:c r="G43" s="569" t="n">
        <x:f>IF(B43="","",E43*$B$4)</x:f>
        <x:v>769.8566338411463</x:v>
      </x:c>
      <x:c r="H43" s="572" t="n">
        <x:f>IF(B43="","",G43*$B$3)</x:f>
        <x:v>1925311.3598743074</x:v>
      </x:c>
      <x:c r="I43" s="569" t="n">
        <x:f>IF(B43="","",C43-C42)</x:f>
        <x:v>3.3476478625805264</x:v>
      </x:c>
      <x:c r="J43" s="569" t="n">
        <x:f>IF(B43="","",K43-K42)</x:f>
        <x:v>3.7283973209383987</x:v>
      </x:c>
      <x:c r="K43" s="571" t="n">
        <x:f>IF(B43="","不可达",$K$21+$E$6/($E$4-MAX(0,(A43-$E$3)*$B$4)/(1-$E$7-$B$8))-$E$5)</x:f>
        <x:v>27.130372125160395</x:v>
      </x:c>
    </x:row>
    <x:row r="44">
      <x:c r="A44" s="126" t="n">
        <x:v>0.89</x:v>
      </x:c>
      <x:c r="B44" s="65" t="n">
        <x:f>IF(OR($E$4-MAX(0,(A44-$E$3)*$B$4)/(1-$E$7-$B$8)&lt;=0,A44&gt;=1-($B$4*(1-$E$3)-$E$4)/$B$4),"",$B$4*(1-A44)-($B$4*(1-$E$3)-$E$4))</x:f>
        <x:v>28367346.938775524</x:v>
      </x:c>
      <x:c r="C44" s="555" t="n">
        <x:f>IF(B44="","",$E$6/B44)</x:f>
        <x:v>30.21582733812948</x:v>
      </x:c>
      <x:c r="D44" s="76" t="n">
        <x:f>IF(B44="","",$E$6)</x:f>
        <x:v>857142857.1428571</x:v>
      </x:c>
      <x:c r="E44" s="458" t="n">
        <x:f>IF(B44="","",C44/B44)</x:f>
        <x:v>0.0000010651622586822616</x:v>
      </x:c>
      <x:c r="F44" s="458" t="n">
        <x:f>IF(ISNUMBER(E44),E44*$B$3/'币价'!$B$12,"")</x:f>
        <x:v>0.0026660611650046514</x:v>
      </x:c>
      <x:c r="G44" s="569" t="n">
        <x:f>IF(B44="","",E44*$B$4)</x:f>
        <x:v>1065.1622586822616</x:v>
      </x:c>
      <x:c r="H44" s="572" t="n">
        <x:f>IF(B44="","",G44*$B$3)</x:f>
        <x:v>2663832.3378707073</x:v>
      </x:c>
      <x:c r="I44" s="569" t="n">
        <x:f>IF(B44="","",C44-C43)</x:f>
        <x:v>4.527753943634078</x:v>
      </x:c>
      <x:c r="J44" s="569" t="n">
        <x:f>IF(B44="","",K44-K43)</x:f>
        <x:v>5.14461025679871</x:v>
      </x:c>
      <x:c r="K44" s="571" t="n">
        <x:f>IF(B44="","不可达",$K$21+$E$6/($E$4-MAX(0,(A44-$E$3)*$B$4)/(1-$E$7-$B$8))-$E$5)</x:f>
        <x:v>32.274982381959106</x:v>
      </x:c>
    </x:row>
    <x:row r="45">
      <x:c r="A45" s="126" t="n">
        <x:v>0.895</x:v>
      </x:c>
      <x:c r="B45" s="65" t="n">
        <x:f>IF(OR($E$4-MAX(0,(A45-$E$3)*$B$4)/(1-$E$7-$B$8)&lt;=0,A45&gt;=1-($B$4*(1-$E$3)-$E$4)/$B$4),"",$B$4*(1-A45)-($B$4*(1-$E$3)-$E$4))</x:f>
        <x:v>23367346.938775524</x:v>
      </x:c>
      <x:c r="C45" s="555" t="n">
        <x:f>IF(B45="","",$E$6/B45)</x:f>
        <x:v>36.68122270742356</x:v>
      </x:c>
      <x:c r="D45" s="76" t="n">
        <x:f>IF(B45="","",$E$6)</x:f>
        <x:v>857142857.1428571</x:v>
      </x:c>
      <x:c r="E45" s="458" t="n">
        <x:f>IF(B45="","",C45/B45)</x:f>
        <x:v>0.0000015697641158635399</x:v>
      </x:c>
      <x:c r="F45" s="458" t="n">
        <x:f>IF(ISNUMBER(E45),E45*$B$3/'币价'!$B$12,"")</x:f>
        <x:v>0.003929060679167435</x:v>
      </x:c>
      <x:c r="G45" s="569" t="n">
        <x:f>IF(B45="","",E45*$B$4)</x:f>
        <x:v>1569.76411586354</x:v>
      </x:c>
      <x:c r="H45" s="572" t="n">
        <x:f>IF(B45="","",G45*$B$3)</x:f>
        <x:v>3925775.984439651</x:v>
      </x:c>
      <x:c r="I45" s="569" t="n">
        <x:f>IF(B45="","",C45-C44)</x:f>
        <x:v>6.465395369294079</x:v>
      </x:c>
      <x:c r="J45" s="569" t="n">
        <x:f>IF(B45="","",K45-K44)</x:f>
        <x:v>7.556915544675675</x:v>
      </x:c>
      <x:c r="K45" s="571" t="n">
        <x:f>IF(B45="","不可达",$K$21+$E$6/($E$4-MAX(0,(A45-$E$3)*$B$4)/(1-$E$7-$B$8))-$E$5)</x:f>
        <x:v>39.83189792663478</x:v>
      </x:c>
    </x:row>
    <x:row r="46">
      <x:c r="A46" s="126" t="n">
        <x:v>0.9</x:v>
      </x:c>
      <x:c r="B46" s="65" t="n">
        <x:f>IF(OR($E$4-MAX(0,(A46-$E$3)*$B$4)/(1-$E$7-$B$8)&lt;=0,A46&gt;=1-($B$4*(1-$E$3)-$E$4)/$B$4),"",$B$4*(1-A46)-($B$4*(1-$E$3)-$E$4))</x:f>
        <x:v>18367346.938775524</x:v>
      </x:c>
      <x:c r="C46" s="555" t="n">
        <x:f>IF(B46="","",$E$6/B46)</x:f>
        <x:v>46.66666666666663</x:v>
      </x:c>
      <x:c r="D46" s="76" t="n">
        <x:f>IF(B46="","",$E$6)</x:f>
        <x:v>857142857.1428571</x:v>
      </x:c>
      <x:c r="E46" s="458" t="n">
        <x:f>IF(B46="","",C46/B46)</x:f>
        <x:v>0.0000025407407407407367</x:v>
      </x:c>
      <x:c r="F46" s="458" t="n">
        <x:f>IF(ISNUMBER(E46),E46*$B$3/'币价'!$B$12,"")</x:f>
        <x:v>0.006359378736920351</x:v>
      </x:c>
      <x:c r="G46" s="569" t="n">
        <x:f>IF(B46="","",E46*$B$4)</x:f>
        <x:v>2540.740740740737</x:v>
      </x:c>
      <x:c r="H46" s="572" t="n">
        <x:f>IF(B46="","",G46*$B$3)</x:f>
        <x:v>6354062.296296286</x:v>
      </x:c>
      <x:c r="I46" s="569" t="n">
        <x:f>IF(B46="","",C46-C45)</x:f>
        <x:v>9.98544395924307</x:v>
      </x:c>
      <x:c r="J46" s="569" t="n">
        <x:f>IF(B46="","",K46-K45)</x:f>
        <x:v>12.18552631578956</x:v>
      </x:c>
      <x:c r="K46" s="571" t="n">
        <x:f>IF(B46="","不可达",$K$21+$E$6/($E$4-MAX(0,(A46-$E$3)*$B$4)/(1-$E$7-$B$8))-$E$5)</x:f>
        <x:v>52.01742424242434</x:v>
      </x:c>
    </x:row>
    <x:row r="47">
      <x:c r="A47" s="126" t="n">
        <x:v>0.905</x:v>
      </x:c>
      <x:c r="B47" s="65" t="n">
        <x:f>IF(OR($E$4-MAX(0,(A47-$E$3)*$B$4)/(1-$E$7-$B$8)&lt;=0,A47&gt;=1-($B$4*(1-$E$3)-$E$4)/$B$4),"",$B$4*(1-A47)-($B$4*(1-$E$3)-$E$4))</x:f>
        <x:v>13367346.93877551</x:v>
      </x:c>
      <x:c r="C47" s="555" t="n">
        <x:f>IF(B47="","",$E$6/B47)</x:f>
        <x:v>64.12213740458014</x:v>
      </x:c>
      <x:c r="D47" s="76" t="n">
        <x:f>IF(B47="","",$E$6)</x:f>
        <x:v>857142857.1428571</x:v>
      </x:c>
      <x:c r="E47" s="458" t="n">
        <x:f>IF(B47="","",C47/B47)</x:f>
        <x:v>0.0000047969232562205</x:v>
      </x:c>
      <x:c r="F47" s="458" t="n">
        <x:f>IF(ISNUMBER(E47),E47*$B$3/'币价'!$B$12,"")</x:f>
        <x:v>0.012006518913595925</x:v>
      </x:c>
      <x:c r="G47" s="569" t="n">
        <x:f>IF(B47="","",E47*$B$4)</x:f>
        <x:v>4796.9232562205</x:v>
      </x:c>
      <x:c r="H47" s="572" t="n">
        <x:f>IF(B47="","",G47*$B$3)</x:f>
        <x:v>11996481.46378416</x:v>
      </x:c>
      <x:c r="I47" s="569" t="n">
        <x:f>IF(B47="","",C47-C46)</x:f>
        <x:v>17.455470737913515</x:v>
      </x:c>
      <x:c r="J47" s="569" t="n">
        <x:f>IF(B47="","",K47-K46)</x:f>
        <x:v>22.943918918918982</x:v>
      </x:c>
      <x:c r="K47" s="571" t="n">
        <x:f>IF(B47="","不可达",$K$21+$E$6/($E$4-MAX(0,(A47-$E$3)*$B$4)/(1-$E$7-$B$8))-$E$5)</x:f>
        <x:v>74.96134316134332</x:v>
      </x:c>
    </x:row>
    <x:row r="48">
      <x:c r="A48" s="126" t="n">
        <x:v>0.91</x:v>
      </x:c>
      <x:c r="B48" s="65" t="n">
        <x:f>IF(OR($E$4-MAX(0,(A48-$E$3)*$B$4)/(1-$E$7-$B$8)&lt;=0,A48&gt;=1-($B$4*(1-$E$3)-$E$4)/$B$4),"",$B$4*(1-A48)-($B$4*(1-$E$3)-$E$4))</x:f>
        <x:v>8367346.93877551</x:v>
      </x:c>
      <x:c r="C48" s="555" t="n">
        <x:f>IF(B48="","",$E$6/B48)</x:f>
        <x:v>102.4390243902439</x:v>
      </x:c>
      <x:c r="D48" s="76" t="n">
        <x:f>IF(B48="","",$E$6)</x:f>
        <x:v>857142857.1428571</x:v>
      </x:c>
      <x:c r="E48" s="458" t="n">
        <x:f>IF(B48="","",C48/B48)</x:f>
        <x:v>0.00001224271267102915</x:v>
      </x:c>
      <x:c r="F48" s="458" t="n">
        <x:f>IF(ISNUMBER(E48),E48*$B$3/'币价'!$B$12,"")</x:f>
        <x:v>0.03064305042775427</x:v>
      </x:c>
      <x:c r="G48" s="569" t="n">
        <x:f>IF(B48="","",E48*$B$4)</x:f>
        <x:v>12242.71267102915</x:v>
      </x:c>
      <x:c r="H48" s="572" t="n">
        <x:f>IF(B48="","",G48*$B$3)</x:f>
        <x:v>30617432.83759667</x:v>
      </x:c>
      <x:c r="I48" s="569" t="n">
        <x:f>IF(B48="","",C48-C47)</x:f>
        <x:v>38.31688698566376</x:v>
      </x:c>
      <x:c r="J48" s="569" t="n">
        <x:f>IF(B48="","",K48-K47)</x:f>
        <x:v>59.21011333914639</x:v>
      </x:c>
      <x:c r="K48" s="571" t="n">
        <x:f>IF(B48="","不可达",$K$21+$E$6/($E$4-MAX(0,(A48-$E$3)*$B$4)/(1-$E$7-$B$8))-$E$5)</x:f>
        <x:v>134.1714565004897</x:v>
      </x:c>
    </x:row>
    <x:row r="49">
      <x:c r="A49" s="126" t="n">
        <x:v>0.915</x:v>
      </x:c>
      <x:c r="B49" s="65" t="n">
        <x:f>IF(OR($E$4-MAX(0,(A49-$E$3)*$B$4)/(1-$E$7-$B$8)&lt;=0,A49&gt;=1-($B$4*(1-$E$3)-$E$4)/$B$4),"",$B$4*(1-A49)-($B$4*(1-$E$3)-$E$4))</x:f>
        <x:v>3367346.9387755096</x:v>
      </x:c>
      <x:c r="C49" s="555" t="n">
        <x:f>IF(B49="","",$E$6/B49)</x:f>
        <x:v>254.54545454545456</x:v>
      </x:c>
      <x:c r="D49" s="76" t="n">
        <x:f>IF(B49="","",$E$6)</x:f>
        <x:v>857142857.1428571</x:v>
      </x:c>
      <x:c r="E49" s="458" t="n">
        <x:f>IF(B49="","",C49/B49)</x:f>
        <x:v>0.00007559228650137742</x:v>
      </x:c>
      <x:c r="F49" s="458" t="n">
        <x:f>IF(ISNUMBER(E49),E49*$B$3/'币价'!$B$12,"")</x:f>
        <x:v>0.18920465663564712</x:v>
      </x:c>
      <x:c r="G49" s="569" t="n">
        <x:f>IF(B49="","",E49*$B$4)</x:f>
        <x:v>75592.28650137743</x:v>
      </x:c>
      <x:c r="H49" s="572" t="n">
        <x:f>IF(B49="","",G49*$B$3)</x:f>
        <x:v>189046481.54269975</x:v>
      </x:c>
      <x:c r="I49" s="569" t="n">
        <x:f>IF(B49="","",C49-C48)</x:f>
        <x:v>152.10643015521066</x:v>
      </x:c>
      <x:c r="J49" s="569" t="n">
        <x:f>IF(B49="","",K49-K48)</x:f>
        <x:v>505.5632754342597</x:v>
      </x:c>
      <x:c r="K49" s="571" t="n">
        <x:f>IF(B49="","不可达",$K$21+$E$6/($E$4-MAX(0,(A49-$E$3)*$B$4)/(1-$E$7-$B$8))-$E$5)</x:f>
        <x:v>639.7347319347494</x:v>
      </x:c>
    </x:row>
    <x:row r="50">
      <x:c r="A50" s="126" t="n">
        <x:v>0.92</x:v>
      </x:c>
      <x:c r="B50" s="65" t="str">
        <x:f>IF(OR($E$4-MAX(0,(A50-$E$3)*$B$4)/(1-$E$7-$B$8)&lt;=0,A50&gt;=1-($B$4*(1-$E$3)-$E$4)/$B$4),"",$B$4*(1-A50)-($B$4*(1-$E$3)-$E$4))</x:f>
      </x:c>
      <x:c r="C50" s="555" t="str">
        <x:f>IF(B50="","",$E$6/B50)</x:f>
      </x:c>
      <x:c r="D50" s="76" t="str">
        <x:f>IF(B50="","",$E$6)</x:f>
      </x:c>
      <x:c r="E50" s="458" t="str">
        <x:f>IF(B50="","",C50/B50)</x:f>
      </x:c>
      <x:c r="F50" s="458" t="str">
        <x:f>IF(ISNUMBER(E50),E50*$B$3/'币价'!$B$12,"")</x:f>
      </x:c>
      <x:c r="G50" s="569" t="str">
        <x:f>IF(B50="","",E50*$B$4)</x:f>
      </x:c>
      <x:c r="H50" s="572" t="str">
        <x:f>IF(B50="","",G50*$B$3)</x:f>
      </x:c>
      <x:c r="I50" s="569" t="str">
        <x:f>IF(B50="","",C50-C49)</x:f>
      </x:c>
      <x:c r="J50" s="569" t="str">
        <x:f>IF(B50="","",K50-K49)</x:f>
      </x:c>
      <x:c r="K50" s="571" t="str">
        <x:f>IF(B50="","不可达",$K$21+$E$6/($E$4-MAX(0,(A50-$E$3)*$B$4)/(1-$E$7-$B$8))-$E$5)</x:f>
        <x:v>不可达</x:v>
      </x:c>
    </x:row>
    <x:row r="51">
      <x:c r="A51" s="126" t="n">
        <x:v>0.925</x:v>
      </x:c>
      <x:c r="B51" s="65" t="str">
        <x:f>IF(OR($E$4-MAX(0,(A51-$E$3)*$B$4)/(1-$E$7-$B$8)&lt;=0,A51&gt;=1-($B$4*(1-$E$3)-$E$4)/$B$4),"",$B$4*(1-A51)-($B$4*(1-$E$3)-$E$4))</x:f>
      </x:c>
      <x:c r="C51" s="555" t="str">
        <x:f>IF(B51="","",$E$6/B51)</x:f>
      </x:c>
      <x:c r="D51" s="76" t="str">
        <x:f>IF(B51="","",$E$6)</x:f>
      </x:c>
      <x:c r="E51" s="458" t="str">
        <x:f>IF(B51="","",C51/B51)</x:f>
      </x:c>
      <x:c r="F51" s="458" t="str">
        <x:f>IF(ISNUMBER(E51),E51*$B$3/'币价'!$B$12,"")</x:f>
      </x:c>
      <x:c r="G51" s="569" t="str">
        <x:f>IF(B51="","",E51*$B$4)</x:f>
      </x:c>
      <x:c r="H51" s="572" t="str">
        <x:f>IF(B51="","",G51*$B$3)</x:f>
      </x:c>
      <x:c r="I51" s="569" t="str">
        <x:f>IF(B51="","",C51-C50)</x:f>
      </x:c>
      <x:c r="J51" s="569" t="str">
        <x:f>IF(B51="","",K51-K50)</x:f>
      </x:c>
      <x:c r="K51" s="571" t="str">
        <x:f>IF(B51="","不可达",$K$21+$E$6/($E$4-MAX(0,(A51-$E$3)*$B$4)/(1-$E$7-$B$8))-$E$5)</x:f>
        <x:v>不可达</x:v>
      </x:c>
    </x:row>
    <x:row r="52">
      <x:c r="A52" s="126" t="n">
        <x:v>0.93</x:v>
      </x:c>
      <x:c r="B52" s="65" t="str">
        <x:f>IF(OR($E$4-MAX(0,(A52-$E$3)*$B$4)/(1-$E$7-$B$8)&lt;=0,A52&gt;=1-($B$4*(1-$E$3)-$E$4)/$B$4),"",$B$4*(1-A52)-($B$4*(1-$E$3)-$E$4))</x:f>
      </x:c>
      <x:c r="C52" s="555" t="str">
        <x:f>IF(B52="","",$E$6/B52)</x:f>
      </x:c>
      <x:c r="D52" s="76" t="str">
        <x:f>IF(B52="","",$E$6)</x:f>
      </x:c>
      <x:c r="E52" s="458" t="str">
        <x:f>IF(B52="","",C52/B52)</x:f>
      </x:c>
      <x:c r="F52" s="458" t="str">
        <x:f>IF(ISNUMBER(E52),E52*$B$3/'币价'!$B$12,"")</x:f>
      </x:c>
      <x:c r="G52" s="569" t="str">
        <x:f>IF(B52="","",E52*$B$4)</x:f>
      </x:c>
      <x:c r="H52" s="572" t="str">
        <x:f>IF(B52="","",G52*$B$3)</x:f>
      </x:c>
      <x:c r="I52" s="569" t="str">
        <x:f>IF(B52="","",C52-C51)</x:f>
      </x:c>
      <x:c r="J52" s="569" t="str">
        <x:f>IF(B52="","",K52-K51)</x:f>
      </x:c>
      <x:c r="K52" s="571" t="str">
        <x:f>IF(B52="","不可达",$K$21+$E$6/($E$4-MAX(0,(A52-$E$3)*$B$4)/(1-$E$7-$B$8))-$E$5)</x:f>
        <x:v>不可达</x:v>
      </x:c>
    </x:row>
    <x:row r="53">
      <x:c r="A53" s="126" t="n">
        <x:v>0.935</x:v>
      </x:c>
      <x:c r="B53" s="65" t="str">
        <x:f>IF(OR($E$4-MAX(0,(A53-$E$3)*$B$4)/(1-$E$7-$B$8)&lt;=0,A53&gt;=1-($B$4*(1-$E$3)-$E$4)/$B$4),"",$B$4*(1-A53)-($B$4*(1-$E$3)-$E$4))</x:f>
      </x:c>
      <x:c r="C53" s="555" t="str">
        <x:f>IF(B53="","",$E$6/B53)</x:f>
      </x:c>
      <x:c r="D53" s="76" t="str">
        <x:f>IF(B53="","",$E$6)</x:f>
      </x:c>
      <x:c r="E53" s="458" t="str">
        <x:f>IF(B53="","",C53/B53)</x:f>
      </x:c>
      <x:c r="F53" s="458" t="str">
        <x:f>IF(ISNUMBER(E53),E53*$B$3/'币价'!$B$12,"")</x:f>
      </x:c>
      <x:c r="G53" s="569" t="str">
        <x:f>IF(B53="","",E53*$B$4)</x:f>
      </x:c>
      <x:c r="H53" s="572" t="str">
        <x:f>IF(B53="","",G53*$B$3)</x:f>
      </x:c>
      <x:c r="I53" s="569" t="str">
        <x:f>IF(B53="","",C53-C52)</x:f>
      </x:c>
      <x:c r="J53" s="569" t="str">
        <x:f>IF(B53="","",K53-K52)</x:f>
      </x:c>
      <x:c r="K53" s="571" t="str">
        <x:f>IF(B53="","不可达",$K$21+$E$6/($E$4-MAX(0,(A53-$E$3)*$B$4)/(1-$E$7-$B$8))-$E$5)</x:f>
        <x:v>不可达</x:v>
      </x:c>
    </x:row>
    <x:row r="54">
      <x:c r="A54" s="126" t="n">
        <x:v>0.9400000000000001</x:v>
      </x:c>
      <x:c r="B54" s="65" t="str">
        <x:f>IF(OR($E$4-MAX(0,(A54-$E$3)*$B$4)/(1-$E$7-$B$8)&lt;=0,A54&gt;=1-($B$4*(1-$E$3)-$E$4)/$B$4),"",$B$4*(1-A54)-($B$4*(1-$E$3)-$E$4))</x:f>
      </x:c>
      <x:c r="C54" s="555" t="str">
        <x:f>IF(B54="","",$E$6/B54)</x:f>
      </x:c>
      <x:c r="D54" s="76" t="str">
        <x:f>IF(B54="","",$E$6)</x:f>
      </x:c>
      <x:c r="E54" s="458" t="str">
        <x:f>IF(B54="","",C54/B54)</x:f>
      </x:c>
      <x:c r="F54" s="458" t="str">
        <x:f>IF(ISNUMBER(E54),E54*$B$3/'币价'!$B$12,"")</x:f>
      </x:c>
      <x:c r="G54" s="569" t="str">
        <x:f>IF(B54="","",E54*$B$4)</x:f>
      </x:c>
      <x:c r="H54" s="572" t="str">
        <x:f>IF(B54="","",G54*$B$3)</x:f>
      </x:c>
      <x:c r="I54" s="569" t="str">
        <x:f>IF(B54="","",C54-C53)</x:f>
      </x:c>
      <x:c r="J54" s="569" t="str">
        <x:f>IF(B54="","",K54-K53)</x:f>
      </x:c>
      <x:c r="K54" s="571" t="str">
        <x:f>IF(B54="","不可达",$K$21+$E$6/($E$4-MAX(0,(A54-$E$3)*$B$4)/(1-$E$7-$B$8))-$E$5)</x:f>
        <x:v>不可达</x:v>
      </x:c>
    </x:row>
    <x:row r="55">
      <x:c r="A55" s="126" t="n">
        <x:v>0.9450000000000001</x:v>
      </x:c>
      <x:c r="B55" s="65" t="str">
        <x:f>IF(OR($E$4-MAX(0,(A55-$E$3)*$B$4)/(1-$E$7-$B$8)&lt;=0,A55&gt;=1-($B$4*(1-$E$3)-$E$4)/$B$4),"",$B$4*(1-A55)-($B$4*(1-$E$3)-$E$4))</x:f>
      </x:c>
      <x:c r="C55" s="555" t="str">
        <x:f>IF(B55="","",$E$6/B55)</x:f>
      </x:c>
      <x:c r="D55" s="76" t="str">
        <x:f>IF(B55="","",$E$6)</x:f>
      </x:c>
      <x:c r="E55" s="458" t="str">
        <x:f>IF(B55="","",C55/B55)</x:f>
      </x:c>
      <x:c r="F55" s="458" t="str">
        <x:f>IF(ISNUMBER(E55),E55*$B$3/'币价'!$B$12,"")</x:f>
      </x:c>
      <x:c r="G55" s="569" t="str">
        <x:f>IF(B55="","",E55*$B$4)</x:f>
      </x:c>
      <x:c r="H55" s="572" t="str">
        <x:f>IF(B55="","",G55*$B$3)</x:f>
      </x:c>
      <x:c r="I55" s="569" t="str">
        <x:f>IF(B55="","",C55-C54)</x:f>
      </x:c>
      <x:c r="J55" s="569" t="str">
        <x:f>IF(B55="","",K55-K54)</x:f>
      </x:c>
      <x:c r="K55" s="571" t="str">
        <x:f>IF(B55="","不可达",$K$21+$E$6/($E$4-MAX(0,(A55-$E$3)*$B$4)/(1-$E$7-$B$8))-$E$5)</x:f>
        <x:v>不可达</x:v>
      </x:c>
    </x:row>
    <x:row r="56">
      <x:c r="A56" s="126" t="n">
        <x:v>0.9500000000000001</x:v>
      </x:c>
      <x:c r="B56" s="65" t="str">
        <x:f>IF(OR($E$4-MAX(0,(A56-$E$3)*$B$4)/(1-$E$7-$B$8)&lt;=0,A56&gt;=1-($B$4*(1-$E$3)-$E$4)/$B$4),"",$B$4*(1-A56)-($B$4*(1-$E$3)-$E$4))</x:f>
      </x:c>
      <x:c r="C56" s="555" t="str">
        <x:f>IF(B56="","",$E$6/B56)</x:f>
      </x:c>
      <x:c r="D56" s="76" t="str">
        <x:f>IF(B56="","",$E$6)</x:f>
      </x:c>
      <x:c r="E56" s="458" t="str">
        <x:f>IF(B56="","",C56/B56)</x:f>
      </x:c>
      <x:c r="F56" s="458" t="str">
        <x:f>IF(ISNUMBER(E56),E56*$B$3/'币价'!$B$12,"")</x:f>
      </x:c>
      <x:c r="G56" s="569" t="str">
        <x:f>IF(B56="","",E56*$B$4)</x:f>
      </x:c>
      <x:c r="H56" s="572" t="str">
        <x:f>IF(B56="","",G56*$B$3)</x:f>
      </x:c>
      <x:c r="I56" s="569" t="str">
        <x:f>IF(B56="","",C56-C55)</x:f>
      </x:c>
      <x:c r="J56" s="569" t="str">
        <x:f>IF(B56="","",K56-K55)</x:f>
      </x:c>
      <x:c r="K56" s="571" t="str">
        <x:f>IF(B56="","不可达",$K$21+$E$6/($E$4-MAX(0,(A56-$E$3)*$B$4)/(1-$E$7-$B$8))-$E$5)</x:f>
        <x:v>不可达</x:v>
      </x:c>
    </x:row>
    <x:row r="57">
      <x:c r="A57" s="126" t="n">
        <x:v>0.9550000000000001</x:v>
      </x:c>
      <x:c r="B57" s="65" t="str">
        <x:f>IF(OR($E$4-MAX(0,(A57-$E$3)*$B$4)/(1-$E$7-$B$8)&lt;=0,A57&gt;=1-($B$4*(1-$E$3)-$E$4)/$B$4),"",$B$4*(1-A57)-($B$4*(1-$E$3)-$E$4))</x:f>
      </x:c>
      <x:c r="C57" s="555" t="str">
        <x:f>IF(B57="","",$E$6/B57)</x:f>
      </x:c>
      <x:c r="D57" s="76" t="str">
        <x:f>IF(B57="","",$E$6)</x:f>
      </x:c>
      <x:c r="E57" s="458" t="str">
        <x:f>IF(B57="","",C57/B57)</x:f>
      </x:c>
      <x:c r="F57" s="458" t="str">
        <x:f>IF(ISNUMBER(E57),E57*$B$3/'币价'!$B$12,"")</x:f>
      </x:c>
      <x:c r="G57" s="569" t="str">
        <x:f>IF(B57="","",E57*$B$4)</x:f>
      </x:c>
      <x:c r="H57" s="572" t="str">
        <x:f>IF(B57="","",G57*$B$3)</x:f>
      </x:c>
      <x:c r="I57" s="569" t="str">
        <x:f>IF(B57="","",C57-C56)</x:f>
      </x:c>
      <x:c r="J57" s="569" t="str">
        <x:f>IF(B57="","",K57-K56)</x:f>
      </x:c>
      <x:c r="K57" s="571" t="str">
        <x:f>IF(B57="","不可达",$K$21+$E$6/($E$4-MAX(0,(A57-$E$3)*$B$4)/(1-$E$7-$B$8))-$E$5)</x:f>
        <x:v>不可达</x:v>
      </x:c>
    </x:row>
    <x:row r="58">
      <x:c r="A58" s="126" t="n">
        <x:v>0.9600000000000001</x:v>
      </x:c>
      <x:c r="B58" s="65" t="str">
        <x:f>IF(OR($E$4-MAX(0,(A58-$E$3)*$B$4)/(1-$E$7-$B$8)&lt;=0,A58&gt;=1-($B$4*(1-$E$3)-$E$4)/$B$4),"",$B$4*(1-A58)-($B$4*(1-$E$3)-$E$4))</x:f>
      </x:c>
      <x:c r="C58" s="555" t="str">
        <x:f>IF(B58="","",$E$6/B58)</x:f>
      </x:c>
      <x:c r="D58" s="76" t="str">
        <x:f>IF(B58="","",$E$6)</x:f>
      </x:c>
      <x:c r="E58" s="458" t="str">
        <x:f>IF(B58="","",C58/B58)</x:f>
      </x:c>
      <x:c r="F58" s="458" t="str">
        <x:f>IF(ISNUMBER(E58),E58*$B$3/'币价'!$B$12,"")</x:f>
      </x:c>
      <x:c r="G58" s="569" t="str">
        <x:f>IF(B58="","",E58*$B$4)</x:f>
      </x:c>
      <x:c r="H58" s="572" t="str">
        <x:f>IF(B58="","",G58*$B$3)</x:f>
      </x:c>
      <x:c r="I58" s="569" t="str">
        <x:f>IF(B58="","",C58-C57)</x:f>
      </x:c>
      <x:c r="J58" s="569" t="str">
        <x:f>IF(B58="","",K58-K57)</x:f>
      </x:c>
      <x:c r="K58" s="571" t="str">
        <x:f>IF(B58="","不可达",$K$21+$E$6/($E$4-MAX(0,(A58-$E$3)*$B$4)/(1-$E$7-$B$8))-$E$5)</x:f>
        <x:v>不可达</x:v>
      </x:c>
    </x:row>
    <x:row r="59">
      <x:c r="A59" s="126" t="n">
        <x:v>0.9650000000000001</x:v>
      </x:c>
      <x:c r="B59" s="65" t="str">
        <x:f>IF(OR($E$4-MAX(0,(A59-$E$3)*$B$4)/(1-$E$7-$B$8)&lt;=0,A59&gt;=1-($B$4*(1-$E$3)-$E$4)/$B$4),"",$B$4*(1-A59)-($B$4*(1-$E$3)-$E$4))</x:f>
      </x:c>
      <x:c r="C59" s="555" t="str">
        <x:f>IF(B59="","",$E$6/B59)</x:f>
      </x:c>
      <x:c r="D59" s="76" t="str">
        <x:f>IF(B59="","",$E$6)</x:f>
      </x:c>
      <x:c r="E59" s="458" t="str">
        <x:f>IF(B59="","",C59/B59)</x:f>
      </x:c>
      <x:c r="F59" s="458" t="str">
        <x:f>IF(ISNUMBER(E59),E59*$B$3/'币价'!$B$12,"")</x:f>
      </x:c>
      <x:c r="G59" s="569" t="str">
        <x:f>IF(B59="","",E59*$B$4)</x:f>
      </x:c>
      <x:c r="H59" s="572" t="str">
        <x:f>IF(B59="","",G59*$B$3)</x:f>
      </x:c>
      <x:c r="I59" s="569" t="str">
        <x:f>IF(B59="","",C59-C58)</x:f>
      </x:c>
      <x:c r="J59" s="569" t="str">
        <x:f>IF(B59="","",K59-K58)</x:f>
      </x:c>
      <x:c r="K59" s="571" t="str">
        <x:f>IF(B59="","不可达",$K$21+$E$6/($E$4-MAX(0,(A59-$E$3)*$B$4)/(1-$E$7-$B$8))-$E$5)</x:f>
        <x:v>不可达</x:v>
      </x:c>
    </x:row>
    <x:row r="60">
      <x:c r="A60" s="126" t="n">
        <x:v>0.9700000000000001</x:v>
      </x:c>
      <x:c r="B60" s="65" t="str">
        <x:f>IF(OR($E$4-MAX(0,(A60-$E$3)*$B$4)/(1-$E$7-$B$8)&lt;=0,A60&gt;=1-($B$4*(1-$E$3)-$E$4)/$B$4),"",$B$4*(1-A60)-($B$4*(1-$E$3)-$E$4))</x:f>
      </x:c>
      <x:c r="C60" s="555" t="str">
        <x:f>IF(B60="","",$E$6/B60)</x:f>
      </x:c>
      <x:c r="D60" s="76" t="str">
        <x:f>IF(B60="","",$E$6)</x:f>
      </x:c>
      <x:c r="E60" s="458" t="str">
        <x:f>IF(B60="","",C60/B60)</x:f>
      </x:c>
      <x:c r="F60" s="458" t="str">
        <x:f>IF(ISNUMBER(E60),E60*$B$3/'币价'!$B$12,"")</x:f>
      </x:c>
      <x:c r="G60" s="569" t="str">
        <x:f>IF(B60="","",E60*$B$4)</x:f>
      </x:c>
      <x:c r="H60" s="572" t="str">
        <x:f>IF(B60="","",G60*$B$3)</x:f>
      </x:c>
      <x:c r="I60" s="569" t="str">
        <x:f>IF(B60="","",C60-C59)</x:f>
      </x:c>
      <x:c r="J60" s="569" t="str">
        <x:f>IF(B60="","",K60-K59)</x:f>
      </x:c>
      <x:c r="K60" s="571" t="str">
        <x:f>IF(B60="","不可达",$K$21+$E$6/($E$4-MAX(0,(A60-$E$3)*$B$4)/(1-$E$7-$B$8))-$E$5)</x:f>
        <x:v>不可达</x:v>
      </x:c>
    </x:row>
    <x:row r="61">
      <x:c r="A61" s="126" t="n">
        <x:v>0.9750000000000001</x:v>
      </x:c>
      <x:c r="B61" s="65" t="str">
        <x:f>IF(OR($E$4-MAX(0,(A61-$E$3)*$B$4)/(1-$E$7-$B$8)&lt;=0,A61&gt;=1-($B$4*(1-$E$3)-$E$4)/$B$4),"",$B$4*(1-A61)-($B$4*(1-$E$3)-$E$4))</x:f>
      </x:c>
      <x:c r="C61" s="555" t="str">
        <x:f>IF(B61="","",$E$6/B61)</x:f>
      </x:c>
      <x:c r="D61" s="76" t="str">
        <x:f>IF(B61="","",$E$6)</x:f>
      </x:c>
      <x:c r="E61" s="458" t="str">
        <x:f>IF(B61="","",C61/B61)</x:f>
      </x:c>
      <x:c r="F61" s="458" t="str">
        <x:f>IF(ISNUMBER(E61),E61*$B$3/'币价'!$B$12,"")</x:f>
      </x:c>
      <x:c r="G61" s="569" t="str">
        <x:f>IF(B61="","",E61*$B$4)</x:f>
      </x:c>
      <x:c r="H61" s="572" t="str">
        <x:f>IF(B61="","",G61*$B$3)</x:f>
      </x:c>
      <x:c r="I61" s="569" t="str">
        <x:f>IF(B61="","",C61-C60)</x:f>
      </x:c>
      <x:c r="J61" s="569" t="str">
        <x:f>IF(B61="","",K61-K60)</x:f>
      </x:c>
      <x:c r="K61" s="571" t="str">
        <x:f>IF(B61="","不可达",$K$21+$E$6/($E$4-MAX(0,(A61-$E$3)*$B$4)/(1-$E$7-$B$8))-$E$5)</x:f>
        <x:v>不可达</x:v>
      </x:c>
    </x:row>
    <x:row r="62">
      <x:c r="A62" s="126" t="n">
        <x:v>0.98</x:v>
      </x:c>
      <x:c r="B62" s="65" t="str">
        <x:f>IF(OR($E$4-MAX(0,(A62-$E$3)*$B$4)/(1-$E$7-$B$8)&lt;=0,A62&gt;=1-($B$4*(1-$E$3)-$E$4)/$B$4),"",$B$4*(1-A62)-($B$4*(1-$E$3)-$E$4))</x:f>
      </x:c>
      <x:c r="C62" s="555" t="str">
        <x:f>IF(B62="","",$E$6/B62)</x:f>
      </x:c>
      <x:c r="D62" s="76" t="str">
        <x:f>IF(B62="","",$E$6)</x:f>
      </x:c>
      <x:c r="E62" s="458" t="str">
        <x:f>IF(B62="","",C62/B62)</x:f>
      </x:c>
      <x:c r="F62" s="458" t="str">
        <x:f>IF(ISNUMBER(E62),E62*$B$3/'币价'!$B$12,"")</x:f>
      </x:c>
      <x:c r="G62" s="569" t="str">
        <x:f>IF(B62="","",E62*$B$4)</x:f>
      </x:c>
      <x:c r="H62" s="572" t="str">
        <x:f>IF(B62="","",G62*$B$3)</x:f>
      </x:c>
      <x:c r="I62" s="569" t="str">
        <x:f>IF(B62="","",C62-C61)</x:f>
      </x:c>
      <x:c r="J62" s="569" t="str">
        <x:f>IF(B62="","",K62-K61)</x:f>
      </x:c>
      <x:c r="K62" s="571" t="str">
        <x:f>IF(B62="","不可达",$K$21+$E$6/($E$4-MAX(0,(A62-$E$3)*$B$4)/(1-$E$7-$B$8))-$E$5)</x:f>
        <x:v>不可达</x:v>
      </x:c>
    </x:row>
    <x:row r="63">
      <x:c r="A63" s="126" t="n">
        <x:v>0.9850000000000001</x:v>
      </x:c>
      <x:c r="B63" s="65" t="str">
        <x:f>IF(OR($E$4-MAX(0,(A63-$E$3)*$B$4)/(1-$E$7-$B$8)&lt;=0,A63&gt;=1-($B$4*(1-$E$3)-$E$4)/$B$4),"",$B$4*(1-A63)-($B$4*(1-$E$3)-$E$4))</x:f>
      </x:c>
      <x:c r="C63" s="555" t="str">
        <x:f>IF(B63="","",$E$6/B63)</x:f>
      </x:c>
      <x:c r="D63" s="76" t="str">
        <x:f>IF(B63="","",$E$6)</x:f>
      </x:c>
      <x:c r="E63" s="458" t="str">
        <x:f>IF(B63="","",C63/B63)</x:f>
      </x:c>
      <x:c r="F63" s="458" t="str">
        <x:f>IF(ISNUMBER(E63),E63*$B$3/'币价'!$B$12,"")</x:f>
      </x:c>
      <x:c r="G63" s="569" t="str">
        <x:f>IF(B63="","",E63*$B$4)</x:f>
      </x:c>
      <x:c r="H63" s="572" t="str">
        <x:f>IF(B63="","",G63*$B$3)</x:f>
      </x:c>
      <x:c r="I63" s="569" t="str">
        <x:f>IF(B63="","",C63-C62)</x:f>
      </x:c>
      <x:c r="J63" s="569" t="str">
        <x:f>IF(B63="","",K63-K62)</x:f>
      </x:c>
      <x:c r="K63" s="571" t="str">
        <x:f>IF(B63="","不可达",$K$21+$E$6/($E$4-MAX(0,(A63-$E$3)*$B$4)/(1-$E$7-$B$8))-$E$5)</x:f>
        <x:v>不可达</x:v>
      </x:c>
    </x:row>
    <x:row r="64">
      <x:c r="A64" s="126" t="n">
        <x:v>0.99</x:v>
      </x:c>
      <x:c r="B64" s="65" t="str">
        <x:f>IF(OR($E$4-MAX(0,(A64-$E$3)*$B$4)/(1-$E$7-$B$8)&lt;=0,A64&gt;=1-($B$4*(1-$E$3)-$E$4)/$B$4),"",$B$4*(1-A64)-($B$4*(1-$E$3)-$E$4))</x:f>
      </x:c>
      <x:c r="C64" s="555" t="str">
        <x:f>IF(B64="","",$E$6/B64)</x:f>
      </x:c>
      <x:c r="D64" s="76" t="str">
        <x:f>IF(B64="","",$E$6)</x:f>
      </x:c>
      <x:c r="E64" s="458" t="str">
        <x:f>IF(B64="","",C64/B64)</x:f>
      </x:c>
      <x:c r="F64" s="458" t="str">
        <x:f>IF(ISNUMBER(E64),E64*$B$3/'币价'!$B$12,"")</x:f>
      </x:c>
      <x:c r="G64" s="569" t="str">
        <x:f>IF(B64="","",E64*$B$4)</x:f>
      </x:c>
      <x:c r="H64" s="572" t="str">
        <x:f>IF(B64="","",G64*$B$3)</x:f>
      </x:c>
      <x:c r="I64" s="569" t="str">
        <x:f>IF(B64="","",C64-C63)</x:f>
      </x:c>
      <x:c r="J64" s="569" t="str">
        <x:f>IF(B64="","",K64-K63)</x:f>
      </x:c>
      <x:c r="K64" s="571" t="str">
        <x:f>IF(B64="","不可达",$K$21+$E$6/($E$4-MAX(0,(A64-$E$3)*$B$4)/(1-$E$7-$B$8))-$E$5)</x:f>
        <x:v>不可达</x:v>
      </x:c>
    </x:row>
    <x:row r="65">
      <x:c r="A65" s="126" t="n">
        <x:v>0.9950000000000001</x:v>
      </x:c>
      <x:c r="B65" s="65" t="str">
        <x:f>IF(OR($E$4-MAX(0,(A65-$E$3)*$B$4)/(1-$E$7-$B$8)&lt;=0,A65&gt;=1-($B$4*(1-$E$3)-$E$4)/$B$4),"",$B$4*(1-A65)-($B$4*(1-$E$3)-$E$4))</x:f>
      </x:c>
      <x:c r="C65" s="555" t="str">
        <x:f>IF(B65="","",$E$6/B65)</x:f>
      </x:c>
      <x:c r="D65" s="76" t="str">
        <x:f>IF(B65="","",$E$6)</x:f>
      </x:c>
      <x:c r="E65" s="458" t="str">
        <x:f>IF(B65="","",C65/B65)</x:f>
      </x:c>
      <x:c r="F65" s="458" t="str">
        <x:f>IF(ISNUMBER(E65),E65*$B$3/'币价'!$B$12,"")</x:f>
      </x:c>
      <x:c r="G65" s="569" t="str">
        <x:f>IF(B65="","",E65*$B$4)</x:f>
      </x:c>
      <x:c r="H65" s="572" t="str">
        <x:f>IF(B65="","",G65*$B$3)</x:f>
      </x:c>
      <x:c r="I65" s="569" t="str">
        <x:f>IF(B65="","",C65-C64)</x:f>
      </x:c>
      <x:c r="J65" s="569" t="str">
        <x:f>IF(B65="","",K65-K64)</x:f>
      </x:c>
      <x:c r="K65" s="571" t="str">
        <x:f>IF(B65="","不可达",$K$21+$E$6/($E$4-MAX(0,(A65-$E$3)*$B$4)/(1-$E$7-$B$8))-$E$5)</x:f>
        <x:v>不可达</x:v>
      </x:c>
    </x:row>
    <x:row r="66">
      <x:c r="A66" s="170" t="n">
        <x:v>1</x:v>
      </x:c>
      <x:c r="B66" s="171" t="str">
        <x:f>IF(OR($E$4-MAX(0,(A66-$E$3)*$B$4)/(1-$E$7-$B$8)&lt;=0,A66&gt;=1-($B$4*(1-$E$3)-$E$4)/$B$4),"",$B$4*(1-A66)-($B$4*(1-$E$3)-$E$4))</x:f>
      </x:c>
      <x:c r="C66" s="574"/>
      <x:c r="D66" s="173"/>
      <x:c r="E66" s="174"/>
      <x:c r="F66" s="326" t="str">
        <x:f>IF(ISNUMBER(E66),E66*$B$3/'币价'!$B$12,"")</x:f>
      </x:c>
      <x:c r="G66" s="574"/>
      <x:c r="H66" s="171"/>
      <x:c r="I66" s="574"/>
      <x:c r="J66" s="575" t="str">
        <x:f>IF(B66="","",K66-K65)</x:f>
      </x:c>
      <x:c r="K66" s="576" t="str">
        <x:f>IF(B66="","不可达",$K$21+$E$6/($E$4-MAX(0,(A66-$E$3)*$B$4)/(1-$E$7-$B$8))-$E$5)</x:f>
        <x:v>不可达</x:v>
      </x:c>
    </x:row>
    <x:row r="67">
      <x:c r="A67"/>
      <x:c r="B67" s="65"/>
      <x:c r="C67" s="17"/>
      <x:c r="D67" s="76"/>
      <x:c r="E67" s="82"/>
      <x:c r="F67" s="17"/>
      <x:c r="G67" s="92"/>
      <x:c r="H67" s="149"/>
      <x:c r="I67" s="149"/>
      <x:c r="J67" s="149"/>
    </x:row>
    <x:row r="68">
      <x:c r="A68"/>
      <x:c r="B68" s="65"/>
      <x:c r="C68" s="17"/>
      <x:c r="D68" s="76"/>
      <x:c r="E68" s="82"/>
      <x:c r="F68" s="17"/>
      <x:c r="G68" s="92"/>
      <x:c r="H68" s="149"/>
      <x:c r="I68" s="149"/>
      <x:c r="J68" s="149"/>
    </x:row>
    <x:row r="69">
      <x:c r="A69"/>
      <x:c r="B69" s="65"/>
      <x:c r="C69" s="17"/>
      <x:c r="D69" s="76"/>
      <x:c r="E69" s="82"/>
      <x:c r="F69" s="17"/>
      <x:c r="G69" s="92"/>
      <x:c r="H69" s="149"/>
      <x:c r="I69" s="149"/>
      <x:c r="J69" s="149"/>
    </x:row>
    <x:row r="70">
      <x:c r="A70"/>
      <x:c r="B70" s="65"/>
      <x:c r="C70" s="17"/>
      <x:c r="D70" s="76"/>
      <x:c r="E70" s="82"/>
      <x:c r="F70" s="17"/>
      <x:c r="G70" s="92"/>
      <x:c r="H70" s="149"/>
      <x:c r="I70" s="149"/>
      <x:c r="J70" s="149"/>
    </x:row>
    <x:row r="71">
      <x:c r="A71" s="121" t="str">
        <x:v>外盘回落参考 · 从毕业控筹率回落至 0%</x:v>
      </x:c>
      <x:c r="B71" s="131"/>
      <x:c r="C71" s="135"/>
      <x:c r="D71" s="139"/>
      <x:c r="E71" s="143"/>
      <x:c r="F71" s="135"/>
      <x:c r="G71" s="147"/>
      <x:c r="H71" s="154"/>
      <x:c r="I71" s="154"/>
      <x:c r="J71" s="154"/>
    </x:row>
    <x:row r="72">
      <x:c r="A72" s="111" t="str">
        <x:v>控筹率</x:v>
      </x:c>
      <x:c r="B72" s="130" t="str">
        <x:v>pooled token</x:v>
      </x:c>
      <x:c r="C72" s="134" t="str">
        <x:v>pooled ETH</x:v>
      </x:c>
      <x:c r="D72" s="138" t="str">
        <x:v>k</x:v>
      </x:c>
      <x:c r="E72" s="444" t="str">
        <x:v>价格 / ETH</x:v>
      </x:c>
      <x:c r="F72" s="444" t="str">
        <x:v>价格 / USDT</x:v>
      </x:c>
      <x:c r="G72" s="516" t="str">
        <x:v>市值 / ETH</x:v>
      </x:c>
      <x:c r="H72" s="519" t="str">
        <x:v>市值 / USD</x:v>
      </x:c>
      <x:c r="I72" s="520" t="str">
        <x:v>较毕业点回撤</x:v>
      </x:c>
      <x:c r="J72" s="152"/>
      <x:c r="K72"/>
    </x:row>
    <x:row r="73">
      <x:c r="A73" s="126" t="n">
        <x:f>$E$3</x:f>
        <x:v>0.7142857142857143</x:v>
      </x:c>
      <x:c r="B73" s="65" t="n">
        <x:f>$B$4*(1-A73)</x:f>
        <x:v>285714285.7142857</x:v>
      </x:c>
      <x:c r="C73" s="17" t="n">
        <x:f>$E$6/B73</x:f>
        <x:v>3</x:v>
      </x:c>
      <x:c r="D73" s="76" t="n">
        <x:f>$E$6</x:f>
        <x:v>857142857.1428571</x:v>
      </x:c>
      <x:c r="E73" s="458" t="n">
        <x:f>C73/B73</x:f>
        <x:v>1.0500000000000001e-8</x:v>
      </x:c>
      <x:c r="F73" s="458" t="n">
        <x:f>IF(ISNUMBER(E73),E73*$B$3/'币价'!$B$12,"")</x:f>
        <x:v>0.000026281106004619865</x:v>
      </x:c>
      <x:c r="G73" s="466" t="n">
        <x:f>E73*$B$4</x:f>
        <x:v>10.500000000000002</x:v>
      </x:c>
      <x:c r="H73" s="472" t="n">
        <x:f>G73*$B$3</x:f>
        <x:v>26259.135000000002</x:v>
      </x:c>
      <x:c r="I73" s="476" t="n">
        <x:f>1-G73/$G$73</x:f>
        <x:v>0</x:v>
      </x:c>
      <x:c r="J73" s="149"/>
      <x:c r="K73"/>
    </x:row>
    <x:row r="74">
      <x:c r="A74" s="126" t="n">
        <x:v>0.7</x:v>
      </x:c>
      <x:c r="B74" s="65" t="n">
        <x:f>$B$4-($B$4*(1-$E$3)-$E$4)-A74*$B$4</x:f>
        <x:v>218367346.93877554</x:v>
      </x:c>
      <x:c r="C74" s="555" t="n">
        <x:f>$E$6/B74</x:f>
        <x:v>3.925233644859812</x:v>
      </x:c>
      <x:c r="D74" s="76" t="n">
        <x:f>$E$6</x:f>
        <x:v>857142857.1428571</x:v>
      </x:c>
      <x:c r="E74" s="458" t="n">
        <x:f>C74/B74</x:f>
        <x:v>1.7975369027862688e-8</x:v>
      </x:c>
      <x:c r="F74" s="458" t="n">
        <x:f>IF(ISNUMBER(E74),E74*$B$3/'币价'!$B$12,"")</x:f>
        <x:v>0.00004499167418032571</x:v>
      </x:c>
      <x:c r="G74" s="569" t="n">
        <x:f>E74*$B$4</x:f>
        <x:v>17.975369027862687</x:v>
      </x:c>
      <x:c r="H74" s="572" t="n">
        <x:f>G74*$B$3</x:f>
        <x:v>44954.06114071095</x:v>
      </x:c>
      <x:c r="I74" s="569" t="n">
        <x:f>1-G74/$G$73</x:f>
        <x:v>-0.7119399074154937</x:v>
      </x:c>
      <x:c r="J74" s="555"/>
      <x:c r="K74" s="555"/>
    </x:row>
    <x:row r="75">
      <x:c r="A75" s="126" t="n">
        <x:v>0.6</x:v>
      </x:c>
      <x:c r="B75" s="65" t="n">
        <x:f>$B$4-($B$4*(1-$E$3)-$E$4)-A75*$B$4</x:f>
        <x:v>318367346.93877554</x:v>
      </x:c>
      <x:c r="C75" s="555" t="n">
        <x:f>$E$6/B75</x:f>
        <x:v>2.692307692307692</x:v>
      </x:c>
      <x:c r="D75" s="76" t="n">
        <x:f>$E$6</x:f>
        <x:v>857142857.1428571</x:v>
      </x:c>
      <x:c r="E75" s="458" t="n">
        <x:f>C75/B75</x:f>
        <x:v>8.456607495069032e-9</x:v>
      </x:c>
      <x:c r="F75" s="458" t="n">
        <x:f>IF(ISNUMBER(E75),E75*$B$3/'币价'!$B$12,"")</x:f>
        <x:v>0.00002116657123974972</x:v>
      </x:c>
      <x:c r="G75" s="569" t="n">
        <x:f>E75*$B$4</x:f>
        <x:v>8.456607495069033</x:v>
      </x:c>
      <x:c r="H75" s="572" t="n">
        <x:f>G75*$B$3</x:f>
        <x:v>21148.875986193292</x:v>
      </x:c>
      <x:c r="I75" s="569" t="n">
        <x:f>1-G75/$G$73</x:f>
        <x:v>0.19460880999342556</x:v>
      </x:c>
      <x:c r="J75" s="555"/>
      <x:c r="K75" s="555"/>
    </x:row>
    <x:row r="76">
      <x:c r="A76" s="126" t="n">
        <x:v>0.5</x:v>
      </x:c>
      <x:c r="B76" s="65" t="n">
        <x:f>$B$4-($B$4*(1-$E$3)-$E$4)-A76*$B$4</x:f>
        <x:v>418367346.93877554</x:v>
      </x:c>
      <x:c r="C76" s="555" t="n">
        <x:f>$E$6/B76</x:f>
        <x:v>2.0487804878048776</x:v>
      </x:c>
      <x:c r="D76" s="76" t="n">
        <x:f>$E$6</x:f>
        <x:v>857142857.1428571</x:v>
      </x:c>
      <x:c r="E76" s="458" t="n">
        <x:f>C76/B76</x:f>
        <x:v>4.897085068411659e-9</x:v>
      </x:c>
      <x:c r="F76" s="458" t="n">
        <x:f>IF(ISNUMBER(E76),E76*$B$3/'币价'!$B$12,"")</x:f>
        <x:v>0.000012257220171101704</x:v>
      </x:c>
      <x:c r="G76" s="569" t="n">
        <x:f>E76*$B$4</x:f>
        <x:v>4.897085068411659</x:v>
      </x:c>
      <x:c r="H76" s="572" t="n">
        <x:f>G76*$B$3</x:f>
        <x:v>12246.973135038665</x:v>
      </x:c>
      <x:c r="I76" s="569" t="n">
        <x:f>1-G76/$G$73</x:f>
        <x:v>0.5336109458655564</x:v>
      </x:c>
      <x:c r="J76" s="555"/>
      <x:c r="K76" s="555"/>
    </x:row>
    <x:row r="77">
      <x:c r="A77" s="126" t="n">
        <x:v>0.4</x:v>
      </x:c>
      <x:c r="B77" s="65" t="n">
        <x:f>$B$4-($B$4*(1-$E$3)-$E$4)-A77*$B$4</x:f>
        <x:v>518367346.93877554</x:v>
      </x:c>
      <x:c r="C77" s="555" t="n">
        <x:f>$E$6/B77</x:f>
        <x:v>1.653543307086614</x:v>
      </x:c>
      <x:c r="D77" s="76" t="n">
        <x:f>$E$6</x:f>
        <x:v>857142857.1428571</x:v>
      </x:c>
      <x:c r="E77" s="458" t="n">
        <x:f>C77/B77</x:f>
        <x:v>3.1899063798127588e-9</x:v>
      </x:c>
      <x:c r="F77" s="458" t="n">
        <x:f>IF(ISNUMBER(E77),E77*$B$3/'币价'!$B$12,"")</x:f>
        <x:v>0.000007984215972635456</x:v>
      </x:c>
      <x:c r="G77" s="569" t="n">
        <x:f>E77*$B$4</x:f>
        <x:v>3.1899063798127587</x:v>
      </x:c>
      <x:c r="H77" s="572" t="n">
        <x:f>G77*$B$3</x:f>
        <x:v>7977.541168082334</x:v>
      </x:c>
      <x:c r="I77" s="569" t="n">
        <x:f>1-G77/$G$73</x:f>
        <x:v>0.6961993923987849</x:v>
      </x:c>
      <x:c r="J77" s="555"/>
      <x:c r="K77" s="555"/>
    </x:row>
    <x:row r="78">
      <x:c r="A78" s="126" t="n">
        <x:v>0.3</x:v>
      </x:c>
      <x:c r="B78" s="65" t="n">
        <x:f>$B$4-($B$4*(1-$E$3)-$E$4)-A78*$B$4</x:f>
        <x:v>618367346.9387755</x:v>
      </x:c>
      <x:c r="C78" s="555" t="n">
        <x:f>$E$6/B78</x:f>
        <x:v>1.386138613861386</x:v>
      </x:c>
      <x:c r="D78" s="76" t="n">
        <x:f>$E$6</x:f>
        <x:v>857142857.1428571</x:v>
      </x:c>
      <x:c r="E78" s="458" t="n">
        <x:f>C78/B78</x:f>
        <x:v>2.2416102996438253e-9</x:v>
      </x:c>
      <x:c r="F78" s="458" t="n">
        <x:f>IF(ISNUMBER(E78),E78*$B$3/'币价'!$B$12,"")</x:f>
        <x:v>0.000005610666467236863</x:v>
      </x:c>
      <x:c r="G78" s="569" t="n">
        <x:f>E78*$B$4</x:f>
        <x:v>2.2416102996438254</x:v>
      </x:c>
      <x:c r="H78" s="572" t="n">
        <x:f>G78*$B$3</x:f>
        <x:v>5605.975950070253</x:v>
      </x:c>
      <x:c r="I78" s="569" t="n">
        <x:f>1-G78/$G$73</x:f>
        <x:v>0.7865133047958262</x:v>
      </x:c>
      <x:c r="J78" s="555"/>
      <x:c r="K78" s="555"/>
    </x:row>
    <x:row r="79">
      <x:c r="A79" s="126" t="n">
        <x:v>0.2</x:v>
      </x:c>
      <x:c r="B79" s="65" t="n">
        <x:f>$B$4-($B$4*(1-$E$3)-$E$4)-A79*$B$4</x:f>
        <x:v>718367346.9387755</x:v>
      </x:c>
      <x:c r="C79" s="555" t="n">
        <x:f>$E$6/B79</x:f>
        <x:v>1.1931818181818181</x:v>
      </x:c>
      <x:c r="D79" s="76" t="n">
        <x:f>$E$6</x:f>
        <x:v>857142857.1428571</x:v>
      </x:c>
      <x:c r="E79" s="458" t="n">
        <x:f>C79/B79</x:f>
        <x:v>1.6609633264462809e-9</x:v>
      </x:c>
      <x:c r="F79" s="458" t="n">
        <x:f>IF(ISNUMBER(E79),E79*$B$3/'币价'!$B$12,"")</x:f>
        <x:v>0.000004157328881154355</x:v>
      </x:c>
      <x:c r="G79" s="569" t="n">
        <x:f>E79*$B$4</x:f>
        <x:v>1.6609633264462809</x:v>
      </x:c>
      <x:c r="H79" s="572" t="n">
        <x:f>G79*$B$3</x:f>
        <x:v>4153.85335420971</x:v>
      </x:c>
      <x:c r="I79" s="569" t="n">
        <x:f>1-G79/$G$73</x:f>
        <x:v>0.8418130165289257</x:v>
      </x:c>
      <x:c r="J79" s="555"/>
      <x:c r="K79" s="555"/>
    </x:row>
    <x:row r="80">
      <x:c r="A80" s="126" t="n">
        <x:v>0.1</x:v>
      </x:c>
      <x:c r="B80" s="65" t="n">
        <x:f>$B$4-($B$4*(1-$E$3)-$E$4)-A80*$B$4</x:f>
        <x:v>818367346.9387755</x:v>
      </x:c>
      <x:c r="C80" s="555" t="n">
        <x:f>$E$6/B80</x:f>
        <x:v>1.0473815461346632</x:v>
      </x:c>
      <x:c r="D80" s="76" t="n">
        <x:f>$E$6</x:f>
        <x:v>857142857.1428571</x:v>
      </x:c>
      <x:c r="E80" s="458" t="n">
        <x:f>C80/B80</x:f>
        <x:v>1.2798427870473439e-9</x:v>
      </x:c>
      <x:c r="F80" s="458" t="n">
        <x:f>IF(ISNUMBER(E80),E80*$B$3/'币价'!$B$12,"")</x:f>
        <x:v>0.0000032033984719656537</x:v>
      </x:c>
      <x:c r="G80" s="569" t="n">
        <x:f>E80*$B$4</x:f>
        <x:v>1.2798427870473439</x:v>
      </x:c>
      <x:c r="H80" s="572" t="n">
        <x:f>G80*$B$3</x:f>
        <x:v>3200.720430843091</x:v>
      </x:c>
      <x:c r="I80" s="569" t="n">
        <x:f>1-G80/$G$73</x:f>
        <x:v>0.8781102107573958</x:v>
      </x:c>
      <x:c r="J80" s="555"/>
      <x:c r="K80" s="555"/>
    </x:row>
    <x:row r="81">
      <x:c r="A81" s="128" t="n">
        <x:v>0</x:v>
      </x:c>
      <x:c r="B81" s="132" t="n">
        <x:f>$B$4-($B$4*(1-$E$3)-$E$4)-A81*$B$4</x:f>
        <x:v>918367346.9387755</x:v>
      </x:c>
      <x:c r="C81" s="577" t="n">
        <x:f>$E$6/B81</x:f>
        <x:v>0.9333333333333332</x:v>
      </x:c>
      <x:c r="D81" s="140" t="n">
        <x:f>$E$6</x:f>
        <x:v>857142857.1428571</x:v>
      </x:c>
      <x:c r="E81" s="531" t="n">
        <x:f>C81/B81</x:f>
        <x:v>1.016296296296296e-9</x:v>
      </x:c>
      <x:c r="F81" s="531" t="n">
        <x:f>IF(ISNUMBER(E81),E81*$B$3/'币价'!$B$12,"")</x:f>
        <x:v>0.000002543751494768144</x:v>
      </x:c>
      <x:c r="G81" s="578" t="n">
        <x:f>E81*$B$4</x:f>
        <x:v>1.016296296296296</x:v>
      </x:c>
      <x:c r="H81" s="579" t="n">
        <x:f>G81*$B$3</x:f>
        <x:v>2541.624918518518</x:v>
      </x:c>
      <x:c r="I81" s="578" t="n">
        <x:f>1-G81/$G$73</x:f>
        <x:v>0.9032098765432099</x:v>
      </x:c>
      <x:c r="J81" s="578" t="str">
        <x:v>沉没成本</x:v>
      </x:c>
      <x:c r="K81" s="578" t="n">
        <x:v>1.2</x:v>
      </x:c>
    </x:row>
    <x:row r="82">
      <x:c r="B82" s="65" t="n">
        <x:f>$B$4-($B$4*(1-$E$3)-$E$4)-A82*$B$4</x:f>
        <x:v>918367346.9387755</x:v>
      </x:c>
      <x:c r="C82" s="555"/>
      <x:c r="G82" s="555"/>
      <x:c r="H82" s="65"/>
      <x:c r="I82" s="555"/>
      <x:c r="J82" s="555"/>
      <x:c r="K82" s="555"/>
    </x:row>
    <x:row r="83">
      <x:c r="A83" s="179" t="str">
        <x:v>证据与口径 / SOURCES</x:v>
      </x:c>
      <x:c r="B83" s="179"/>
      <x:c r="C83" s="179"/>
      <x:c r="D83" s="179"/>
      <x:c r="E83" s="179"/>
      <x:c r="F83" s="179"/>
      <x:c r="G83" s="179"/>
      <x:c r="H83" s="179"/>
      <x:c r="I83" s="179"/>
      <x:c r="J83" s="179"/>
    </x:row>
    <x:row r="84" ht="30" customHeight="1">
      <x:c r="A84" s="187" t="str">
        <x:v>官方 V2 文档</x:v>
      </x:c>
      <x:c r="B84" s="185" t="str">
        <x:v>https://docs.ponsfamily.com/v2</x:v>
      </x:c>
      <x:c r="C84" s="183"/>
      <x:c r="D84" s="187" t="str">
        <x:v>Factory</x:v>
      </x:c>
      <x:c r="E84" s="186" t="str">
        <x:v>address 0x7ed598bcef8bd9edd8c97a195c6d13f40801ec7e</x:v>
      </x:c>
      <x:c r="F84" s="183"/>
      <x:c r="G84" s="183"/>
      <x:c r="H84" s="183"/>
      <x:c r="I84" s="183"/>
      <x:c r="J84" s="183"/>
    </x:row>
    <x:row r="85" ht="30" customHeight="1">
      <x:c r="A85" s="187" t="str">
        <x:v>官方合约源码</x:v>
      </x:c>
      <x:c r="B85" s="185" t="str">
        <x:v>https://github.com/ponsdotdev/ponsfamily/tree/main/contractsV2/src/v2</x:v>
      </x:c>
      <x:c r="C85" s="183"/>
      <x:c r="D85" s="187" t="str">
        <x:v>实币买入</x:v>
      </x:c>
      <x:c r="E85" s="186" t="str">
        <x:v>gross 0.5 ETH / fee 0.005 / net 0.495</x:v>
      </x:c>
      <x:c r="F85" s="183"/>
      <x:c r="G85" s="183"/>
      <x:c r="H85" s="183"/>
      <x:c r="I85" s="183"/>
      <x:c r="J85" s="183"/>
    </x:row>
    <x:row r="86" ht="30" customHeight="1">
      <x:c r="A86" s="187" t="str">
        <x:v>实币验证 TIME</x:v>
      </x:c>
      <x:c r="B86" s="185" t="str">
        <x:v>https://www.ponsfamily.com/launchpad/0x177c73569bB399AD42235067172ceB9c5c7fEd49</x:v>
      </x:c>
      <x:c r="C86" s="183"/>
      <x:c r="D86" s="187" t="str">
        <x:v>实币输出</x:v>
      </x:c>
      <x:c r="E86" s="186" t="str">
        <x:v>227,586,206.896551724 TOKEN · 与曲线公式一致</x:v>
      </x:c>
      <x:c r="F86" s="183"/>
      <x:c r="G86" s="183"/>
      <x:c r="H86" s="183"/>
      <x:c r="I86" s="183"/>
      <x:c r="J86" s="183"/>
    </x:row>
    <x:row r="87" ht="30" customHeight="1">
      <x:c r="A87" s="187" t="str">
        <x:v>Launch Tx</x:v>
      </x:c>
      <x:c r="B87" s="186" t="str">
        <x:v>tx 0x849e7774fefd74c09e7ec67fea785367dd0ca2e5612099f5084bf08c65839c2f</x:v>
      </x:c>
      <x:c r="C87" s="183"/>
      <x:c r="D87" s="187" t="str">
        <x:v>说明</x:v>
      </x:c>
      <x:c r="E87" s="186" t="str">
        <x:v>曲线表为理论值；默认滑点为 0，洗筹损耗 = 目标+1%对应 FDV ×（外盘费率 + Creator Tax）× 2，单位为 Quote</x:v>
      </x:c>
      <x:c r="F87" s="183"/>
      <x:c r="G87" s="183"/>
      <x:c r="H87" s="183"/>
      <x:c r="I87" s="183"/>
      <x:c r="J87" s="183"/>
    </x:row>
  </x:sheetData>
  <x:mergeCells>
    <x:mergeCell ref="A83:J83"/>
    <x:mergeCell ref="B84:C84"/>
    <x:mergeCell ref="E84:J84"/>
    <x:mergeCell ref="B85:C85"/>
    <x:mergeCell ref="E85:J85"/>
    <x:mergeCell ref="B86:C86"/>
    <x:mergeCell ref="E86:J86"/>
    <x:mergeCell ref="B87:C87"/>
    <x:mergeCell ref="E87:J87"/>
  </x:mergeCells>
  <x:pageMargins left="0.7" right="0.7" top="0.75" bottom="0.75" header="0.3" footer="0.3"/>
  <x:legacyDrawing xmlns:r="http://schemas.openxmlformats.org/officeDocument/2006/relationships" r:id="R4a422ff181ab4594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45" hidden="0" customWidth="1"/>
    <x:col min="4" max="4" width="10" hidden="0" customWidth="1"/>
    <x:col min="5" max="5" width="19" hidden="0" customWidth="1"/>
    <x:col min="6" max="6" width="19" hidden="0" customWidth="1"/>
    <x:col min="7" max="7" width="17" hidden="0" customWidth="1"/>
    <x:col min="8" max="8" width="19" hidden="0" customWidth="1"/>
    <x:col min="9" max="9" width="20" hidden="0" customWidth="1"/>
    <x:col min="10" max="10" width="20" hidden="0" customWidth="1"/>
    <x:col min="11" max="11" width="22" hidden="0" customWidth="1"/>
    <x:col min="12" max="12" width="14" hidden="0" customWidth="1"/>
  </x:cols>
  <x:sheetData>
    <x:row r="1" ht="34" customHeight="1">
      <x:c r="A1" s="284" t="str">
        <x:v>Pons V2 股票 / ETF Quote 参数</x:v>
      </x:c>
      <x:c r="B1" s="284"/>
      <x:c r="C1" s="284"/>
      <x:c r="D1" s="284"/>
      <x:c r="E1" s="284"/>
      <x:c r="F1" s="284"/>
      <x:c r="G1" s="284"/>
      <x:c r="H1" s="284"/>
      <x:c r="I1" s="284"/>
      <x:c r="J1" s="284"/>
      <x:c r="K1" s="284"/>
      <x:c r="L1" s="284"/>
    </x:row>
    <x:row r="3">
      <x:c r="A3" s="194" t="str">
        <x:v>股票 / ETF Quote</x:v>
      </x:c>
      <x:c r="B3" s="196" t="n">
        <x:v>53</x:v>
      </x:c>
      <x:c r="C3" s="195"/>
      <x:c r="D3" s="195"/>
      <x:c r="E3" s="195"/>
      <x:c r="F3" s="195"/>
      <x:c r="G3" s="195"/>
      <x:c r="H3" s="195"/>
      <x:c r="I3" s="195"/>
      <x:c r="J3" s="195"/>
      <x:c r="K3" s="195"/>
      <x:c r="L3" s="195"/>
    </x:row>
    <x:row r="4">
      <x:c r="A4" s="194" t="str">
        <x:v>Meme total supply</x:v>
      </x:c>
      <x:c r="B4" s="196" t="n">
        <x:v>1000000000</x:v>
      </x:c>
      <x:c r="C4" s="195"/>
      <x:c r="D4" s="195"/>
      <x:c r="E4" s="195"/>
      <x:c r="F4" s="195"/>
      <x:c r="G4" s="195"/>
      <x:c r="H4" s="195"/>
      <x:c r="I4" s="195"/>
      <x:c r="J4" s="195"/>
      <x:c r="K4" s="195"/>
      <x:c r="L4" s="195"/>
    </x:row>
    <x:row r="5">
      <x:c r="A5" s="194" t="str">
        <x:v>链上核验 Block</x:v>
      </x:c>
      <x:c r="B5" s="196" t="n">
        <x:v>54430299</x:v>
      </x:c>
      <x:c r="C5" s="195"/>
      <x:c r="D5" s="195"/>
      <x:c r="E5" s="195"/>
      <x:c r="F5" s="195"/>
      <x:c r="G5" s="195"/>
      <x:c r="H5" s="195"/>
      <x:c r="I5" s="195"/>
      <x:c r="J5" s="195"/>
      <x:c r="K5" s="195"/>
      <x:c r="L5" s="195"/>
    </x:row>
    <x:row r="6">
      <x:c r="A6" s="194" t="str">
        <x:v>Pons V2 Factory</x:v>
      </x:c>
      <x:c r="B6" s="254" t="str">
        <x:v>​0x7eD598BcEf8bd9Edd8C97A195C6d13f40801EC7e</x:v>
      </x:c>
      <x:c r="C6" s="254"/>
      <x:c r="D6" s="254"/>
      <x:c r="E6" s="254"/>
      <x:c r="F6" s="254"/>
      <x:c r="G6" s="254"/>
      <x:c r="H6" s="254"/>
      <x:c r="I6" s="254"/>
      <x:c r="J6" s="254"/>
      <x:c r="K6" s="254"/>
      <x:c r="L6" s="254"/>
    </x:row>
    <x:row r="7">
      <x:c r="A7" s="194" t="str">
        <x:v>官方合约源码</x:v>
      </x:c>
      <x:c r="B7" s="254" t="str">
        <x:v>https://github.com/ponsdotdev/ponsfamily/blob/main/contractsV2/src/v2/PonsV2LaunchFactory.sol</x:v>
      </x:c>
      <x:c r="C7" s="254"/>
      <x:c r="D7" s="254"/>
      <x:c r="E7" s="254"/>
      <x:c r="F7" s="254"/>
      <x:c r="G7" s="254"/>
      <x:c r="H7" s="254"/>
      <x:c r="I7" s="254"/>
      <x:c r="J7" s="254"/>
      <x:c r="K7" s="254"/>
      <x:c r="L7" s="254"/>
    </x:row>
    <x:row r="8">
      <x:c r="A8" s="194" t="str">
        <x:v>新增 13 Quote 交易</x:v>
      </x:c>
      <x:c r="B8" s="254" t="str">
        <x:v>https://rh-scan.com/tx/0xb4aaf027b105aba6268762cdb68dc7fc363b8432d344ee6900536cf36f44183f</x:v>
      </x:c>
      <x:c r="C8" s="254"/>
      <x:c r="D8" s="254"/>
      <x:c r="E8" s="254"/>
      <x:c r="F8" s="254"/>
      <x:c r="G8" s="254"/>
      <x:c r="H8" s="254"/>
      <x:c r="I8" s="254"/>
      <x:c r="J8" s="254"/>
      <x:c r="K8" s="254"/>
      <x:c r="L8" s="254"/>
    </x:row>
    <x:row r="9">
      <x:c r="A9" s="194" t="str">
        <x:v>未纳入股票类模型</x:v>
      </x:c>
      <x:c r="B9" s="286" t="str">
        <x:v>USDG、cbBTC（均为 approvedPairTokens，但不是股票 / ETF）</x:v>
      </x:c>
      <x:c r="C9" s="286"/>
      <x:c r="D9" s="286"/>
      <x:c r="E9" s="286"/>
      <x:c r="F9" s="286"/>
      <x:c r="G9" s="286"/>
      <x:c r="H9" s="286"/>
      <x:c r="I9" s="286"/>
      <x:c r="J9" s="286"/>
      <x:c r="K9" s="286"/>
      <x:c r="L9" s="286"/>
    </x:row>
    <x:row r="10">
      <x:c r="A10" s="291" t="str">
        <x:v>Symbol</x:v>
      </x:c>
      <x:c r="B10" s="291" t="str">
        <x:v>名称</x:v>
      </x:c>
      <x:c r="C10" s="291" t="str">
        <x:v>Quote 合约</x:v>
      </x:c>
      <x:c r="D10" s="291" t="str">
        <x:v>Decimals</x:v>
      </x:c>
      <x:c r="E10" s="291" t="str">
        <x:v>phantom Quote</x:v>
      </x:c>
      <x:c r="F10" s="291" t="str">
        <x:v>毕业门槛</x:v>
      </x:c>
      <x:c r="G10" s="291" t="str">
        <x:v>门槛 / phantom</x:v>
      </x:c>
      <x:c r="H10" s="291" t="str">
        <x:v>V4 初始 Quote</x:v>
      </x:c>
      <x:c r="I10" s="291" t="str">
        <x:v>V4 初始 Meme</x:v>
      </x:c>
      <x:c r="J10" s="291" t="str">
        <x:v>Locker Meme</x:v>
      </x:c>
      <x:c r="K10" s="291" t="str">
        <x:v>最大总供应量控筹率</x:v>
      </x:c>
      <x:c r="L10" s="291" t="str">
        <x:v>当前状态</x:v>
      </x:c>
    </x:row>
    <x:row r="11" ht="20" customHeight="1">
      <x:c r="A11" s="245" t="str">
        <x:v>AAPL</x:v>
      </x:c>
      <x:c r="B11" s="245" t="str">
        <x:v>Apple</x:v>
      </x:c>
      <x:c r="C11" s="263" t="str">
        <x:v>​0xaF3D76f1834A1d425780943C99Ea8A608f8a93f9</x:v>
      </x:c>
      <x:c r="D11" s="230" t="n">
        <x:v>18</x:v>
      </x:c>
      <x:c r="E11" s="231" t="n">
        <x:v>9.68</x:v>
      </x:c>
      <x:c r="F11" s="231" t="n">
        <x:v>24.2</x:v>
      </x:c>
      <x:c r="G11" s="232" t="n">
        <x:f>F11/E11</x:f>
        <x:v>2.5</x:v>
      </x:c>
      <x:c r="H11" s="233" t="n">
        <x:f>F11</x:f>
        <x:v>24.2</x:v>
      </x:c>
      <x:c r="I11" s="233" t="n">
        <x:f>$B$4*E11*F11/(E11+F11)^2</x:f>
        <x:v>204081632.65306127</x:v>
      </x:c>
      <x:c r="J11" s="233" t="n">
        <x:f>$B$4*E11^2/(E11+F11)^2</x:f>
        <x:v>81632653.0612245</x:v>
      </x:c>
      <x:c r="K11" s="234" t="n">
        <x:f>1-J11/$B$4</x:f>
        <x:v>0.9183673469387755</x:v>
      </x:c>
      <x:c r="L11" s="248" t="str">
        <x:v>Approved</x:v>
      </x:c>
    </x:row>
    <x:row r="12" ht="20" customHeight="1">
      <x:c r="A12" s="246" t="str">
        <x:v>AMC</x:v>
      </x:c>
      <x:c r="B12" s="246" t="str">
        <x:v>AMC Entertainment</x:v>
      </x:c>
      <x:c r="C12" s="264" t="str">
        <x:v>​0x05a3d1cd21d0c88145e82600e62e7e496e0f222b</x:v>
      </x:c>
      <x:c r="D12" s="235" t="n">
        <x:v>18</x:v>
      </x:c>
      <x:c r="E12" s="236" t="n">
        <x:v>1536.0258736059484</x:v>
      </x:c>
      <x:c r="F12" s="236" t="n">
        <x:v>3840.0646840148715</x:v>
      </x:c>
      <x:c r="G12" s="237" t="n">
        <x:f>F12/E12</x:f>
        <x:v>2.5000000000000004</x:v>
      </x:c>
      <x:c r="H12" s="238" t="n">
        <x:f>F12</x:f>
        <x:v>3840.0646840148715</x:v>
      </x:c>
      <x:c r="I12" s="238" t="n">
        <x:f>$B$4*E12*F12/(E12+F12)^2</x:f>
        <x:v>204081632.65306124</x:v>
      </x:c>
      <x:c r="J12" s="238" t="n">
        <x:f>$B$4*E12^2/(E12+F12)^2</x:f>
        <x:v>81632653.06122446</x:v>
      </x:c>
      <x:c r="K12" s="239" t="n">
        <x:f>1-J12/$B$4</x:f>
        <x:v>0.9183673469387755</x:v>
      </x:c>
      <x:c r="L12" s="249" t="str">
        <x:v>Approved</x:v>
      </x:c>
    </x:row>
    <x:row r="13" ht="20" customHeight="1">
      <x:c r="A13" s="246" t="str">
        <x:v>AMD</x:v>
      </x:c>
      <x:c r="B13" s="246" t="str">
        <x:v>Advanced Micro Devices</x:v>
      </x:c>
      <x:c r="C13" s="264" t="str">
        <x:v>​0x86923f96303D656E4aa86D9d42D1e57ad2023fdC</x:v>
      </x:c>
      <x:c r="D13" s="235" t="n">
        <x:v>18</x:v>
      </x:c>
      <x:c r="E13" s="236" t="n">
        <x:v>6.66620183638</x:v>
      </x:c>
      <x:c r="F13" s="236" t="n">
        <x:v>16.66550459095</x:v>
      </x:c>
      <x:c r="G13" s="237" t="n">
        <x:f>F13/E13</x:f>
        <x:v>2.5</x:v>
      </x:c>
      <x:c r="H13" s="238" t="n">
        <x:f>F13</x:f>
        <x:v>16.66550459095</x:v>
      </x:c>
      <x:c r="I13" s="238" t="n">
        <x:f>$B$4*E13*F13/(E13+F13)^2</x:f>
        <x:v>204081632.65306118</x:v>
      </x:c>
      <x:c r="J13" s="238" t="n">
        <x:f>$B$4*E13^2/(E13+F13)^2</x:f>
        <x:v>81632653.06122446</x:v>
      </x:c>
      <x:c r="K13" s="239" t="n">
        <x:f>1-J13/$B$4</x:f>
        <x:v>0.9183673469387755</x:v>
      </x:c>
      <x:c r="L13" s="249" t="str">
        <x:v>Approved</x:v>
      </x:c>
    </x:row>
    <x:row r="14" ht="20" customHeight="1">
      <x:c r="A14" s="246" t="str">
        <x:v>AMZN</x:v>
      </x:c>
      <x:c r="B14" s="246" t="str">
        <x:v>Amazon</x:v>
      </x:c>
      <x:c r="C14" s="264" t="str">
        <x:v>​0x12f190a9F9d7D37a250758b26824B97CE941bF54</x:v>
      </x:c>
      <x:c r="D14" s="235" t="n">
        <x:v>18</x:v>
      </x:c>
      <x:c r="E14" s="236" t="n">
        <x:v>11.73211643685</x:v>
      </x:c>
      <x:c r="F14" s="236" t="n">
        <x:v>29.330291092125</x:v>
      </x:c>
      <x:c r="G14" s="237" t="n">
        <x:f>F14/E14</x:f>
        <x:v>2.5000000000000004</x:v>
      </x:c>
      <x:c r="H14" s="238" t="n">
        <x:f>F14</x:f>
        <x:v>29.330291092125</x:v>
      </x:c>
      <x:c r="I14" s="238" t="n">
        <x:f>$B$4*E14*F14/(E14+F14)^2</x:f>
        <x:v>204081632.6530612</x:v>
      </x:c>
      <x:c r="J14" s="238" t="n">
        <x:f>$B$4*E14^2/(E14+F14)^2</x:f>
        <x:v>81632653.06122449</x:v>
      </x:c>
      <x:c r="K14" s="239" t="n">
        <x:f>1-J14/$B$4</x:f>
        <x:v>0.9183673469387755</x:v>
      </x:c>
      <x:c r="L14" s="249" t="str">
        <x:v>Approved</x:v>
      </x:c>
    </x:row>
    <x:row r="15" ht="20" customHeight="1">
      <x:c r="A15" s="246" t="str">
        <x:v>BABA</x:v>
      </x:c>
      <x:c r="B15" s="246" t="str">
        <x:v>Alibaba</x:v>
      </x:c>
      <x:c r="C15" s="264" t="str">
        <x:v>​0xad25ac6c84d497db898fa1e8387bf6af3532a1c4</x:v>
      </x:c>
      <x:c r="D15" s="235" t="n">
        <x:v>18</x:v>
      </x:c>
      <x:c r="E15" s="236" t="n">
        <x:v>36.51387062566278</x:v>
      </x:c>
      <x:c r="F15" s="236" t="n">
        <x:v>91.28467656415695</x:v>
      </x:c>
      <x:c r="G15" s="237" t="n">
        <x:f>F15/E15</x:f>
        <x:v>2.5</x:v>
      </x:c>
      <x:c r="H15" s="238" t="n">
        <x:f>F15</x:f>
        <x:v>91.28467656415695</x:v>
      </x:c>
      <x:c r="I15" s="238" t="n">
        <x:f>$B$4*E15*F15/(E15+F15)^2</x:f>
        <x:v>204081632.65306118</x:v>
      </x:c>
      <x:c r="J15" s="238" t="n">
        <x:f>$B$4*E15^2/(E15+F15)^2</x:f>
        <x:v>81632653.06122449</x:v>
      </x:c>
      <x:c r="K15" s="239" t="n">
        <x:f>1-J15/$B$4</x:f>
        <x:v>0.9183673469387755</x:v>
      </x:c>
      <x:c r="L15" s="249" t="str">
        <x:v>Approved</x:v>
      </x:c>
    </x:row>
    <x:row r="16" ht="20" customHeight="1">
      <x:c r="A16" s="246" t="str">
        <x:v>BB</x:v>
      </x:c>
      <x:c r="B16" s="246" t="str">
        <x:v>BlackBerry</x:v>
      </x:c>
      <x:c r="C16" s="264" t="str">
        <x:v>​0x48E39E56aCdbA37b09020C0b734A613C9a2f100A</x:v>
      </x:c>
      <x:c r="D16" s="235" t="n">
        <x:v>18</x:v>
      </x:c>
      <x:c r="E16" s="236" t="n">
        <x:v>503.824570024</x:v>
      </x:c>
      <x:c r="F16" s="236" t="n">
        <x:v>1259.56142506</x:v>
      </x:c>
      <x:c r="G16" s="237" t="n">
        <x:f>F16/E16</x:f>
        <x:v>2.4999999999999996</x:v>
      </x:c>
      <x:c r="H16" s="238" t="n">
        <x:f>F16</x:f>
        <x:v>1259.56142506</x:v>
      </x:c>
      <x:c r="I16" s="238" t="n">
        <x:f>$B$4*E16*F16/(E16+F16)^2</x:f>
        <x:v>204081632.6530612</x:v>
      </x:c>
      <x:c r="J16" s="238" t="n">
        <x:f>$B$4*E16^2/(E16+F16)^2</x:f>
        <x:v>81632653.0612245</x:v>
      </x:c>
      <x:c r="K16" s="239" t="n">
        <x:f>1-J16/$B$4</x:f>
        <x:v>0.9183673469387755</x:v>
      </x:c>
      <x:c r="L16" s="249" t="str">
        <x:v>Approved</x:v>
      </x:c>
    </x:row>
    <x:row r="17" ht="20" customHeight="1">
      <x:c r="A17" s="246" t="str">
        <x:v>BE</x:v>
      </x:c>
      <x:c r="B17" s="246" t="str">
        <x:v>Bloom Energy</x:v>
      </x:c>
      <x:c r="C17" s="264" t="str">
        <x:v>​0x822cc93ffd030293e9842c30bbd678f530701867</x:v>
      </x:c>
      <x:c r="D17" s="235" t="n">
        <x:v>18</x:v>
      </x:c>
      <x:c r="E17" s="236" t="n">
        <x:v>16.82031182576837</x:v>
      </x:c>
      <x:c r="F17" s="236" t="n">
        <x:v>42.05077956442092</x:v>
      </x:c>
      <x:c r="G17" s="237" t="n">
        <x:f>F17/E17</x:f>
        <x:v>2.4999999999999996</x:v>
      </x:c>
      <x:c r="H17" s="238" t="n">
        <x:f>F17</x:f>
        <x:v>42.05077956442092</x:v>
      </x:c>
      <x:c r="I17" s="238" t="n">
        <x:f>$B$4*E17*F17/(E17+F17)^2</x:f>
        <x:v>204081632.65306127</x:v>
      </x:c>
      <x:c r="J17" s="238" t="n">
        <x:f>$B$4*E17^2/(E17+F17)^2</x:f>
        <x:v>81632653.0612245</x:v>
      </x:c>
      <x:c r="K17" s="239" t="n">
        <x:f>1-J17/$B$4</x:f>
        <x:v>0.9183673469387755</x:v>
      </x:c>
      <x:c r="L17" s="249" t="str">
        <x:v>Approved</x:v>
      </x:c>
    </x:row>
    <x:row r="18" ht="20" customHeight="1">
      <x:c r="A18" s="246" t="str">
        <x:v>BULL</x:v>
      </x:c>
      <x:c r="B18" s="246" t="str">
        <x:v>Webull</x:v>
      </x:c>
      <x:c r="C18" s="264" t="str">
        <x:v>​0xcef9027c7d6985b85f0ba431125073529a947a68</x:v>
      </x:c>
      <x:c r="D18" s="235" t="n">
        <x:v>18</x:v>
      </x:c>
      <x:c r="E18" s="236" t="n">
        <x:v>421.8386523736601</x:v>
      </x:c>
      <x:c r="F18" s="236" t="n">
        <x:v>1054.5966309341502</x:v>
      </x:c>
      <x:c r="G18" s="237" t="n">
        <x:f>F18/E18</x:f>
        <x:v>2.4999999999999996</x:v>
      </x:c>
      <x:c r="H18" s="238" t="n">
        <x:f>F18</x:f>
        <x:v>1054.5966309341502</x:v>
      </x:c>
      <x:c r="I18" s="238" t="n">
        <x:f>$B$4*E18*F18/(E18+F18)^2</x:f>
        <x:v>204081632.6530612</x:v>
      </x:c>
      <x:c r="J18" s="238" t="n">
        <x:f>$B$4*E18^2/(E18+F18)^2</x:f>
        <x:v>81632653.0612245</x:v>
      </x:c>
      <x:c r="K18" s="239" t="n">
        <x:f>1-J18/$B$4</x:f>
        <x:v>0.9183673469387755</x:v>
      </x:c>
      <x:c r="L18" s="249" t="str">
        <x:v>Approved</x:v>
      </x:c>
    </x:row>
    <x:row r="19" ht="20" customHeight="1">
      <x:c r="A19" s="246" t="str">
        <x:v>COIN</x:v>
      </x:c>
      <x:c r="B19" s="246" t="str">
        <x:v>Coinbase</x:v>
      </x:c>
      <x:c r="C19" s="264" t="str">
        <x:v>​0x6330D8C3178a418788dF01a47479c0ce7CCF450b</x:v>
      </x:c>
      <x:c r="D19" s="235" t="n">
        <x:v>18</x:v>
      </x:c>
      <x:c r="E19" s="236" t="n">
        <x:v>20.98826938136</x:v>
      </x:c>
      <x:c r="F19" s="236" t="n">
        <x:v>52.4706734534</x:v>
      </x:c>
      <x:c r="G19" s="237" t="n">
        <x:f>F19/E19</x:f>
        <x:v>2.5000000000000004</x:v>
      </x:c>
      <x:c r="H19" s="238" t="n">
        <x:f>F19</x:f>
        <x:v>52.4706734534</x:v>
      </x:c>
      <x:c r="I19" s="238" t="n">
        <x:f>$B$4*E19*F19/(E19+F19)^2</x:f>
        <x:v>204081632.6530612</x:v>
      </x:c>
      <x:c r="J19" s="238" t="n">
        <x:f>$B$4*E19^2/(E19+F19)^2</x:f>
        <x:v>81632653.06122448</x:v>
      </x:c>
      <x:c r="K19" s="239" t="n">
        <x:f>1-J19/$B$4</x:f>
        <x:v>0.9183673469387755</x:v>
      </x:c>
      <x:c r="L19" s="249" t="str">
        <x:v>Approved</x:v>
      </x:c>
    </x:row>
    <x:row r="20" ht="20" customHeight="1">
      <x:c r="A20" s="246" t="str">
        <x:v>COST</x:v>
      </x:c>
      <x:c r="B20" s="246" t="str">
        <x:v>Costco</x:v>
      </x:c>
      <x:c r="C20" s="264" t="str">
        <x:v>​0x4EA005168D7F09a7A0Ba9D1DEf21a479950E44C2</x:v>
      </x:c>
      <x:c r="D20" s="235" t="n">
        <x:v>18</x:v>
      </x:c>
      <x:c r="E20" s="236" t="n">
        <x:v>3.388162372132</x:v>
      </x:c>
      <x:c r="F20" s="236" t="n">
        <x:v>8.47040593033</x:v>
      </x:c>
      <x:c r="G20" s="237" t="n">
        <x:f>F20/E20</x:f>
        <x:v>2.4999999999999996</x:v>
      </x:c>
      <x:c r="H20" s="238" t="n">
        <x:f>F20</x:f>
        <x:v>8.47040593033</x:v>
      </x:c>
      <x:c r="I20" s="238" t="n">
        <x:f>$B$4*E20*F20/(E20+F20)^2</x:f>
        <x:v>204081632.65306124</x:v>
      </x:c>
      <x:c r="J20" s="238" t="n">
        <x:f>$B$4*E20^2/(E20+F20)^2</x:f>
        <x:v>81632653.0612245</x:v>
      </x:c>
      <x:c r="K20" s="239" t="n">
        <x:f>1-J20/$B$4</x:f>
        <x:v>0.9183673469387755</x:v>
      </x:c>
      <x:c r="L20" s="249" t="str">
        <x:v>Approved</x:v>
      </x:c>
    </x:row>
    <x:row r="21" ht="20" customHeight="1">
      <x:c r="A21" s="246" t="str">
        <x:v>CRCL</x:v>
      </x:c>
      <x:c r="B21" s="246" t="str">
        <x:v>Circle Internet Group</x:v>
      </x:c>
      <x:c r="C21" s="264" t="str">
        <x:v>​0xdF0992E440dD0be65BD8439b609d6D4366bf1CB5</x:v>
      </x:c>
      <x:c r="D21" s="235" t="n">
        <x:v>18</x:v>
      </x:c>
      <x:c r="E21" s="236" t="n">
        <x:v>47.9606680584</x:v>
      </x:c>
      <x:c r="F21" s="236" t="n">
        <x:v>119.901670146</x:v>
      </x:c>
      <x:c r="G21" s="237" t="n">
        <x:f>F21/E21</x:f>
        <x:v>2.5</x:v>
      </x:c>
      <x:c r="H21" s="238" t="n">
        <x:f>F21</x:f>
        <x:v>119.901670146</x:v>
      </x:c>
      <x:c r="I21" s="238" t="n">
        <x:f>$B$4*E21*F21/(E21+F21)^2</x:f>
        <x:v>204081632.65306124</x:v>
      </x:c>
      <x:c r="J21" s="238" t="n">
        <x:f>$B$4*E21^2/(E21+F21)^2</x:f>
        <x:v>81632653.0612245</x:v>
      </x:c>
      <x:c r="K21" s="239" t="n">
        <x:f>1-J21/$B$4</x:f>
        <x:v>0.9183673469387755</x:v>
      </x:c>
      <x:c r="L21" s="249" t="str">
        <x:v>Approved</x:v>
      </x:c>
    </x:row>
    <x:row r="22" ht="20" customHeight="1">
      <x:c r="A22" s="246" t="str">
        <x:v>DELL</x:v>
      </x:c>
      <x:c r="B22" s="246" t="str">
        <x:v>Dell Technologies</x:v>
      </x:c>
      <x:c r="C22" s="264" t="str">
        <x:v>​0x941AE714EC6D8130c7B75d67160Ca08f1e7d11Dd</x:v>
      </x:c>
      <x:c r="D22" s="235" t="n">
        <x:v>18</x:v>
      </x:c>
      <x:c r="E22" s="236" t="n">
        <x:v>9.52812988236</x:v>
      </x:c>
      <x:c r="F22" s="236" t="n">
        <x:v>23.8203247059</x:v>
      </x:c>
      <x:c r="G22" s="237" t="n">
        <x:f>F22/E22</x:f>
        <x:v>2.5</x:v>
      </x:c>
      <x:c r="H22" s="238" t="n">
        <x:f>F22</x:f>
        <x:v>23.8203247059</x:v>
      </x:c>
      <x:c r="I22" s="238" t="n">
        <x:f>$B$4*E22*F22/(E22+F22)^2</x:f>
        <x:v>204081632.65306127</x:v>
      </x:c>
      <x:c r="J22" s="238" t="n">
        <x:f>$B$4*E22^2/(E22+F22)^2</x:f>
        <x:v>81632653.06122449</x:v>
      </x:c>
      <x:c r="K22" s="239" t="n">
        <x:f>1-J22/$B$4</x:f>
        <x:v>0.9183673469387755</x:v>
      </x:c>
      <x:c r="L22" s="249" t="str">
        <x:v>Approved</x:v>
      </x:c>
    </x:row>
    <x:row r="23" ht="20" customHeight="1">
      <x:c r="A23" s="246" t="str">
        <x:v>DJT</x:v>
      </x:c>
      <x:c r="B23" s="246" t="str">
        <x:v>Trump Media &amp; Technology Group</x:v>
      </x:c>
      <x:c r="C23" s="264" t="str">
        <x:v>​0x1D11f0496982706C5e14A514D4E79F2e6BdE4516</x:v>
      </x:c>
      <x:c r="D23" s="235" t="n">
        <x:v>18</x:v>
      </x:c>
      <x:c r="E23" s="236" t="n">
        <x:v>366.8648806576</x:v>
      </x:c>
      <x:c r="F23" s="236" t="n">
        <x:v>917.162201644</x:v>
      </x:c>
      <x:c r="G23" s="237" t="n">
        <x:f>F23/E23</x:f>
        <x:v>2.5</x:v>
      </x:c>
      <x:c r="H23" s="238" t="n">
        <x:f>F23</x:f>
        <x:v>917.162201644</x:v>
      </x:c>
      <x:c r="I23" s="238" t="n">
        <x:f>$B$4*E23*F23/(E23+F23)^2</x:f>
        <x:v>204081632.65306124</x:v>
      </x:c>
      <x:c r="J23" s="238" t="n">
        <x:f>$B$4*E23^2/(E23+F23)^2</x:f>
        <x:v>81632653.0612245</x:v>
      </x:c>
      <x:c r="K23" s="239" t="n">
        <x:f>1-J23/$B$4</x:f>
        <x:v>0.9183673469387755</x:v>
      </x:c>
      <x:c r="L23" s="249" t="str">
        <x:v>Approved</x:v>
      </x:c>
    </x:row>
    <x:row r="24" ht="20" customHeight="1">
      <x:c r="A24" s="246" t="str">
        <x:v>F</x:v>
      </x:c>
      <x:c r="B24" s="246" t="str">
        <x:v>Ford Motor</x:v>
      </x:c>
      <x:c r="C24" s="264" t="str">
        <x:v>​0x25c288e6d899b9bc30160965ad9644c67e73be0c</x:v>
      </x:c>
      <x:c r="D24" s="235" t="n">
        <x:v>18</x:v>
      </x:c>
      <x:c r="E24" s="236" t="n">
        <x:v>284.56677685950416</x:v>
      </x:c>
      <x:c r="F24" s="236" t="n">
        <x:v>711.4169421487604</x:v>
      </x:c>
      <x:c r="G24" s="237" t="n">
        <x:f>F24/E24</x:f>
        <x:v>2.5</x:v>
      </x:c>
      <x:c r="H24" s="238" t="n">
        <x:f>F24</x:f>
        <x:v>711.4169421487604</x:v>
      </x:c>
      <x:c r="I24" s="238" t="n">
        <x:f>$B$4*E24*F24/(E24+F24)^2</x:f>
        <x:v>204081632.6530612</x:v>
      </x:c>
      <x:c r="J24" s="238" t="n">
        <x:f>$B$4*E24^2/(E24+F24)^2</x:f>
        <x:v>81632653.06122448</x:v>
      </x:c>
      <x:c r="K24" s="239" t="n">
        <x:f>1-J24/$B$4</x:f>
        <x:v>0.9183673469387755</x:v>
      </x:c>
      <x:c r="L24" s="249" t="str">
        <x:v>Approved</x:v>
      </x:c>
    </x:row>
    <x:row r="25" ht="20" customHeight="1">
      <x:c r="A25" s="246" t="str">
        <x:v>FIG</x:v>
      </x:c>
      <x:c r="B25" s="246" t="str">
        <x:v>Figma</x:v>
      </x:c>
      <x:c r="C25" s="264" t="str">
        <x:v>​0x41F4267525a8AFf329540eF24fD83d9044758B33</x:v>
      </x:c>
      <x:c r="D25" s="235" t="n">
        <x:v>18</x:v>
      </x:c>
      <x:c r="E25" s="236" t="n">
        <x:v>156.2667703072</x:v>
      </x:c>
      <x:c r="F25" s="236" t="n">
        <x:v>390.666925768</x:v>
      </x:c>
      <x:c r="G25" s="237" t="n">
        <x:f>F25/E25</x:f>
        <x:v>2.5</x:v>
      </x:c>
      <x:c r="H25" s="238" t="n">
        <x:f>F25</x:f>
        <x:v>390.666925768</x:v>
      </x:c>
      <x:c r="I25" s="238" t="n">
        <x:f>$B$4*E25*F25/(E25+F25)^2</x:f>
        <x:v>204081632.6530612</x:v>
      </x:c>
      <x:c r="J25" s="238" t="n">
        <x:f>$B$4*E25^2/(E25+F25)^2</x:f>
        <x:v>81632653.06122448</x:v>
      </x:c>
      <x:c r="K25" s="239" t="n">
        <x:f>1-J25/$B$4</x:f>
        <x:v>0.9183673469387755</x:v>
      </x:c>
      <x:c r="L25" s="249" t="str">
        <x:v>Approved</x:v>
      </x:c>
    </x:row>
    <x:row r="26" ht="20" customHeight="1">
      <x:c r="A26" s="246" t="str">
        <x:v>GLD</x:v>
      </x:c>
      <x:c r="B26" s="246" t="str">
        <x:v>SPDR Gold Shares</x:v>
      </x:c>
      <x:c r="C26" s="264" t="str">
        <x:v>​0xC9a981FEE1F9DEc688bb123ccDeCc63D0deBFC4e</x:v>
      </x:c>
      <x:c r="D26" s="235" t="n">
        <x:v>18</x:v>
      </x:c>
      <x:c r="E26" s="236" t="n">
        <x:v>9.97623877984</x:v>
      </x:c>
      <x:c r="F26" s="236" t="n">
        <x:v>24.9405969496</x:v>
      </x:c>
      <x:c r="G26" s="237" t="n">
        <x:f>F26/E26</x:f>
        <x:v>2.5</x:v>
      </x:c>
      <x:c r="H26" s="238" t="n">
        <x:f>F26</x:f>
        <x:v>24.9405969496</x:v>
      </x:c>
      <x:c r="I26" s="238" t="n">
        <x:f>$B$4*E26*F26/(E26+F26)^2</x:f>
        <x:v>204081632.65306124</x:v>
      </x:c>
      <x:c r="J26" s="238" t="n">
        <x:f>$B$4*E26^2/(E26+F26)^2</x:f>
        <x:v>81632653.0612245</x:v>
      </x:c>
      <x:c r="K26" s="239" t="n">
        <x:f>1-J26/$B$4</x:f>
        <x:v>0.9183673469387755</x:v>
      </x:c>
      <x:c r="L26" s="249" t="str">
        <x:v>Approved</x:v>
      </x:c>
    </x:row>
    <x:row r="27" ht="20" customHeight="1">
      <x:c r="A27" s="246" t="str">
        <x:v>GME</x:v>
      </x:c>
      <x:c r="B27" s="246" t="str">
        <x:v>GameStop</x:v>
      </x:c>
      <x:c r="C27" s="264" t="str">
        <x:v>​0x1b0E319c6A659F002271B69dB8A7df2F911c153E</x:v>
      </x:c>
      <x:c r="D27" s="235" t="n">
        <x:v>18</x:v>
      </x:c>
      <x:c r="E27" s="236" t="n">
        <x:v>147.6</x:v>
      </x:c>
      <x:c r="F27" s="236" t="n">
        <x:v>369</x:v>
      </x:c>
      <x:c r="G27" s="237" t="n">
        <x:f>F27/E27</x:f>
        <x:v>2.5</x:v>
      </x:c>
      <x:c r="H27" s="238" t="n">
        <x:f>F27</x:f>
        <x:v>369</x:v>
      </x:c>
      <x:c r="I27" s="238" t="n">
        <x:f>$B$4*E27*F27/(E27+F27)^2</x:f>
        <x:v>204081632.65306124</x:v>
      </x:c>
      <x:c r="J27" s="238" t="n">
        <x:f>$B$4*E27^2/(E27+F27)^2</x:f>
        <x:v>81632653.06122449</x:v>
      </x:c>
      <x:c r="K27" s="239" t="n">
        <x:f>1-J27/$B$4</x:f>
        <x:v>0.9183673469387755</x:v>
      </x:c>
      <x:c r="L27" s="249" t="str">
        <x:v>Approved</x:v>
      </x:c>
    </x:row>
    <x:row r="28" ht="20" customHeight="1">
      <x:c r="A28" s="246" t="str">
        <x:v>GOOGL</x:v>
      </x:c>
      <x:c r="B28" s="246" t="str">
        <x:v>Alphabet Class A</x:v>
      </x:c>
      <x:c r="C28" s="264" t="str">
        <x:v>​0x2e0847E8910a9732eB3fb1bb4b70a580ADAD4FE3</x:v>
      </x:c>
      <x:c r="D28" s="235" t="n">
        <x:v>18</x:v>
      </x:c>
      <x:c r="E28" s="236" t="n">
        <x:v>9.68</x:v>
      </x:c>
      <x:c r="F28" s="236" t="n">
        <x:v>24.2</x:v>
      </x:c>
      <x:c r="G28" s="237" t="n">
        <x:f>F28/E28</x:f>
        <x:v>2.5</x:v>
      </x:c>
      <x:c r="H28" s="238" t="n">
        <x:f>F28</x:f>
        <x:v>24.2</x:v>
      </x:c>
      <x:c r="I28" s="238" t="n">
        <x:f>$B$4*E28*F28/(E28+F28)^2</x:f>
        <x:v>204081632.65306127</x:v>
      </x:c>
      <x:c r="J28" s="238" t="n">
        <x:f>$B$4*E28^2/(E28+F28)^2</x:f>
        <x:v>81632653.0612245</x:v>
      </x:c>
      <x:c r="K28" s="239" t="n">
        <x:f>1-J28/$B$4</x:f>
        <x:v>0.9183673469387755</x:v>
      </x:c>
      <x:c r="L28" s="249" t="str">
        <x:v>Approved</x:v>
      </x:c>
    </x:row>
    <x:row r="29" ht="20" customHeight="1">
      <x:c r="A29" s="246" t="str">
        <x:v>HIMS</x:v>
      </x:c>
      <x:c r="B29" s="246" t="str">
        <x:v>Hims &amp; Hers Health</x:v>
      </x:c>
      <x:c r="C29" s="264" t="str">
        <x:v>​0xCceE82fE024c36fA15E1005edE3E9e4787e23D09</x:v>
      </x:c>
      <x:c r="D29" s="235" t="n">
        <x:v>18</x:v>
      </x:c>
      <x:c r="E29" s="236" t="n">
        <x:v>141.9568016616</x:v>
      </x:c>
      <x:c r="F29" s="236" t="n">
        <x:v>354.892004154</x:v>
      </x:c>
      <x:c r="G29" s="237" t="n">
        <x:f>F29/E29</x:f>
        <x:v>2.5</x:v>
      </x:c>
      <x:c r="H29" s="238" t="n">
        <x:f>F29</x:f>
        <x:v>354.892004154</x:v>
      </x:c>
      <x:c r="I29" s="238" t="n">
        <x:f>$B$4*E29*F29/(E29+F29)^2</x:f>
        <x:v>204081632.6530612</x:v>
      </x:c>
      <x:c r="J29" s="238" t="n">
        <x:f>$B$4*E29^2/(E29+F29)^2</x:f>
        <x:v>81632653.06122448</x:v>
      </x:c>
      <x:c r="K29" s="239" t="n">
        <x:f>1-J29/$B$4</x:f>
        <x:v>0.9183673469387755</x:v>
      </x:c>
      <x:c r="L29" s="249" t="str">
        <x:v>Approved</x:v>
      </x:c>
    </x:row>
    <x:row r="30" ht="20" customHeight="1">
      <x:c r="A30" s="246" t="str">
        <x:v>IBM</x:v>
      </x:c>
      <x:c r="B30" s="246" t="str">
        <x:v>IBM</x:v>
      </x:c>
      <x:c r="C30" s="264" t="str">
        <x:v>​0x980dcf6766fa79f5cf0c4aadb3ab477ff15a9619</x:v>
      </x:c>
      <x:c r="D30" s="235" t="n">
        <x:v>18</x:v>
      </x:c>
      <x:c r="E30" s="236" t="n">
        <x:v>17.55644614404079</x:v>
      </x:c>
      <x:c r="F30" s="236" t="n">
        <x:v>43.89111536010198</x:v>
      </x:c>
      <x:c r="G30" s="237" t="n">
        <x:f>F30/E30</x:f>
        <x:v>2.5</x:v>
      </x:c>
      <x:c r="H30" s="238" t="n">
        <x:f>F30</x:f>
        <x:v>43.89111536010198</x:v>
      </x:c>
      <x:c r="I30" s="238" t="n">
        <x:f>$B$4*E30*F30/(E30+F30)^2</x:f>
        <x:v>204081632.6530612</x:v>
      </x:c>
      <x:c r="J30" s="238" t="n">
        <x:f>$B$4*E30^2/(E30+F30)^2</x:f>
        <x:v>81632653.06122449</x:v>
      </x:c>
      <x:c r="K30" s="239" t="n">
        <x:f>1-J30/$B$4</x:f>
        <x:v>0.9183673469387755</x:v>
      </x:c>
      <x:c r="L30" s="249" t="str">
        <x:v>Approved</x:v>
      </x:c>
    </x:row>
    <x:row r="31" ht="20" customHeight="1">
      <x:c r="A31" s="246" t="str">
        <x:v>INDA</x:v>
      </x:c>
      <x:c r="B31" s="246" t="str">
        <x:v>iShares MSCI India ETF</x:v>
      </x:c>
      <x:c r="C31" s="264" t="str">
        <x:v>​0xacef2e09adb47ad6abebad9ff06689e60615c2b6</x:v>
      </x:c>
      <x:c r="D31" s="235" t="n">
        <x:v>18</x:v>
      </x:c>
      <x:c r="E31" s="236" t="n">
        <x:v>82.69607925547884</x:v>
      </x:c>
      <x:c r="F31" s="236" t="n">
        <x:v>206.7401981386971</x:v>
      </x:c>
      <x:c r="G31" s="237" t="n">
        <x:f>F31/E31</x:f>
        <x:v>2.5000000000000004</x:v>
      </x:c>
      <x:c r="H31" s="238" t="n">
        <x:f>F31</x:f>
        <x:v>206.7401981386971</x:v>
      </x:c>
      <x:c r="I31" s="238" t="n">
        <x:f>$B$4*E31*F31/(E31+F31)^2</x:f>
        <x:v>204081632.65306124</x:v>
      </x:c>
      <x:c r="J31" s="238" t="n">
        <x:f>$B$4*E31^2/(E31+F31)^2</x:f>
        <x:v>81632653.06122449</x:v>
      </x:c>
      <x:c r="K31" s="239" t="n">
        <x:f>1-J31/$B$4</x:f>
        <x:v>0.9183673469387755</x:v>
      </x:c>
      <x:c r="L31" s="249" t="str">
        <x:v>Approved</x:v>
      </x:c>
    </x:row>
    <x:row r="32" ht="20" customHeight="1">
      <x:c r="A32" s="246" t="str">
        <x:v>JNJ</x:v>
      </x:c>
      <x:c r="B32" s="246" t="str">
        <x:v>Johnson &amp; Johnson</x:v>
      </x:c>
      <x:c r="C32" s="264" t="str">
        <x:v>​0x03DfbBE0AC4E7bCDaFd08eD41A400326B77D8c80</x:v>
      </x:c>
      <x:c r="D32" s="235" t="n">
        <x:v>18</x:v>
      </x:c>
      <x:c r="E32" s="236" t="n">
        <x:v>14.60973075108</x:v>
      </x:c>
      <x:c r="F32" s="236" t="n">
        <x:v>36.5243268777</x:v>
      </x:c>
      <x:c r="G32" s="237" t="n">
        <x:f>F32/E32</x:f>
        <x:v>2.4999999999999996</x:v>
      </x:c>
      <x:c r="H32" s="238" t="n">
        <x:f>F32</x:f>
        <x:v>36.5243268777</x:v>
      </x:c>
      <x:c r="I32" s="238" t="n">
        <x:f>$B$4*E32*F32/(E32+F32)^2</x:f>
        <x:v>204081632.65306124</x:v>
      </x:c>
      <x:c r="J32" s="238" t="n">
        <x:f>$B$4*E32^2/(E32+F32)^2</x:f>
        <x:v>81632653.0612245</x:v>
      </x:c>
      <x:c r="K32" s="239" t="n">
        <x:f>1-J32/$B$4</x:f>
        <x:v>0.9183673469387755</x:v>
      </x:c>
      <x:c r="L32" s="249" t="str">
        <x:v>Approved</x:v>
      </x:c>
    </x:row>
    <x:row r="33" ht="20" customHeight="1">
      <x:c r="A33" s="246" t="str">
        <x:v>LLY</x:v>
      </x:c>
      <x:c r="B33" s="246" t="str">
        <x:v>Eli Lilly</x:v>
      </x:c>
      <x:c r="C33" s="264" t="str">
        <x:v>​0x8005d266423c7ea827372c9c864491e5786600ea</x:v>
      </x:c>
      <x:c r="D33" s="235" t="n">
        <x:v>18</x:v>
      </x:c>
      <x:c r="E33" s="236" t="n">
        <x:v>3.490909655172</x:v>
      </x:c>
      <x:c r="F33" s="236" t="n">
        <x:v>8.72727413793</x:v>
      </x:c>
      <x:c r="G33" s="237" t="n">
        <x:f>F33/E33</x:f>
        <x:v>2.5</x:v>
      </x:c>
      <x:c r="H33" s="238" t="n">
        <x:f>F33</x:f>
        <x:v>8.72727413793</x:v>
      </x:c>
      <x:c r="I33" s="238" t="n">
        <x:f>$B$4*E33*F33/(E33+F33)^2</x:f>
        <x:v>204081632.6530612</x:v>
      </x:c>
      <x:c r="J33" s="238" t="n">
        <x:f>$B$4*E33^2/(E33+F33)^2</x:f>
        <x:v>81632653.06122449</x:v>
      </x:c>
      <x:c r="K33" s="239" t="n">
        <x:f>1-J33/$B$4</x:f>
        <x:v>0.9183673469387755</x:v>
      </x:c>
      <x:c r="L33" s="249" t="str">
        <x:v>Approved</x:v>
      </x:c>
    </x:row>
    <x:row r="34" ht="20" customHeight="1">
      <x:c r="A34" s="246" t="str">
        <x:v>LULU</x:v>
      </x:c>
      <x:c r="B34" s="246" t="str">
        <x:v>Lululemon Athletica</x:v>
      </x:c>
      <x:c r="C34" s="264" t="str">
        <x:v>​0x4e62068525Ab11FE768e29dfD00ef909B9803016</x:v>
      </x:c>
      <x:c r="D34" s="235" t="n">
        <x:v>18</x:v>
      </x:c>
      <x:c r="E34" s="236" t="n">
        <x:v>33.48666611144</x:v>
      </x:c>
      <x:c r="F34" s="236" t="n">
        <x:v>83.7166652786</x:v>
      </x:c>
      <x:c r="G34" s="237" t="n">
        <x:f>F34/E34</x:f>
        <x:v>2.5</x:v>
      </x:c>
      <x:c r="H34" s="238" t="n">
        <x:f>F34</x:f>
        <x:v>83.7166652786</x:v>
      </x:c>
      <x:c r="I34" s="238" t="n">
        <x:f>$B$4*E34*F34/(E34+F34)^2</x:f>
        <x:v>204081632.65306124</x:v>
      </x:c>
      <x:c r="J34" s="238" t="n">
        <x:f>$B$4*E34^2/(E34+F34)^2</x:f>
        <x:v>81632653.06122449</x:v>
      </x:c>
      <x:c r="K34" s="239" t="n">
        <x:f>1-J34/$B$4</x:f>
        <x:v>0.9183673469387755</x:v>
      </x:c>
      <x:c r="L34" s="249" t="str">
        <x:v>Approved</x:v>
      </x:c>
    </x:row>
    <x:row r="35" ht="20" customHeight="1">
      <x:c r="A35" s="246" t="str">
        <x:v>META</x:v>
      </x:c>
      <x:c r="B35" s="246" t="str">
        <x:v>Meta Platforms</x:v>
      </x:c>
      <x:c r="C35" s="264" t="str">
        <x:v>​0xc0D6457C16Cc70d6790Dd43521C899C87ce02f35</x:v>
      </x:c>
      <x:c r="D35" s="235" t="n">
        <x:v>18</x:v>
      </x:c>
      <x:c r="E35" s="236" t="n">
        <x:v>5.42715804396</x:v>
      </x:c>
      <x:c r="F35" s="236" t="n">
        <x:v>13.5678951099</x:v>
      </x:c>
      <x:c r="G35" s="237" t="n">
        <x:f>F35/E35</x:f>
        <x:v>2.5000000000000004</x:v>
      </x:c>
      <x:c r="H35" s="238" t="n">
        <x:f>F35</x:f>
        <x:v>13.5678951099</x:v>
      </x:c>
      <x:c r="I35" s="238" t="n">
        <x:f>$B$4*E35*F35/(E35+F35)^2</x:f>
        <x:v>204081632.65306124</x:v>
      </x:c>
      <x:c r="J35" s="238" t="n">
        <x:f>$B$4*E35^2/(E35+F35)^2</x:f>
        <x:v>81632653.06122449</x:v>
      </x:c>
      <x:c r="K35" s="239" t="n">
        <x:f>1-J35/$B$4</x:f>
        <x:v>0.9183673469387755</x:v>
      </x:c>
      <x:c r="L35" s="249" t="str">
        <x:v>Approved</x:v>
      </x:c>
    </x:row>
    <x:row r="36" ht="20" customHeight="1">
      <x:c r="A36" s="246" t="str">
        <x:v>MRNA</x:v>
      </x:c>
      <x:c r="B36" s="246" t="str">
        <x:v>Moderna</x:v>
      </x:c>
      <x:c r="C36" s="264" t="str">
        <x:v>​0x43B07D15cE533bEc5476d70C22a78a1B2B662155</x:v>
      </x:c>
      <x:c r="D36" s="235" t="n">
        <x:v>18</x:v>
      </x:c>
      <x:c r="E36" s="236" t="n">
        <x:v>26.66099065048</x:v>
      </x:c>
      <x:c r="F36" s="236" t="n">
        <x:v>66.6524766262</x:v>
      </x:c>
      <x:c r="G36" s="237" t="n">
        <x:f>F36/E36</x:f>
        <x:v>2.5</x:v>
      </x:c>
      <x:c r="H36" s="238" t="n">
        <x:f>F36</x:f>
        <x:v>66.6524766262</x:v>
      </x:c>
      <x:c r="I36" s="238" t="n">
        <x:f>$B$4*E36*F36/(E36+F36)^2</x:f>
        <x:v>204081632.65306118</x:v>
      </x:c>
      <x:c r="J36" s="238" t="n">
        <x:f>$B$4*E36^2/(E36+F36)^2</x:f>
        <x:v>81632653.06122448</x:v>
      </x:c>
      <x:c r="K36" s="239" t="n">
        <x:f>1-J36/$B$4</x:f>
        <x:v>0.9183673469387755</x:v>
      </x:c>
      <x:c r="L36" s="249" t="str">
        <x:v>Approved</x:v>
      </x:c>
    </x:row>
    <x:row r="37" ht="20" customHeight="1">
      <x:c r="A37" s="246" t="str">
        <x:v>MRVL</x:v>
      </x:c>
      <x:c r="B37" s="246" t="str">
        <x:v>Marvell Technology</x:v>
      </x:c>
      <x:c r="C37" s="264" t="str">
        <x:v>​0x62fd0668e10D8B72339BE2DCF7643001688ff13B</x:v>
      </x:c>
      <x:c r="D37" s="235" t="n">
        <x:v>18</x:v>
      </x:c>
      <x:c r="E37" s="236" t="n">
        <x:v>19.47280123984</x:v>
      </x:c>
      <x:c r="F37" s="236" t="n">
        <x:v>48.6820030996</x:v>
      </x:c>
      <x:c r="G37" s="237" t="n">
        <x:f>F37/E37</x:f>
        <x:v>2.5000000000000004</x:v>
      </x:c>
      <x:c r="H37" s="238" t="n">
        <x:f>F37</x:f>
        <x:v>48.6820030996</x:v>
      </x:c>
      <x:c r="I37" s="238" t="n">
        <x:f>$B$4*E37*F37/(E37+F37)^2</x:f>
        <x:v>204081632.6530612</x:v>
      </x:c>
      <x:c r="J37" s="238" t="n">
        <x:f>$B$4*E37^2/(E37+F37)^2</x:f>
        <x:v>81632653.06122446</x:v>
      </x:c>
      <x:c r="K37" s="239" t="n">
        <x:f>1-J37/$B$4</x:f>
        <x:v>0.9183673469387755</x:v>
      </x:c>
      <x:c r="L37" s="249" t="str">
        <x:v>Approved</x:v>
      </x:c>
    </x:row>
    <x:row r="38" ht="20" customHeight="1">
      <x:c r="A38" s="246" t="str">
        <x:v>MSFT</x:v>
      </x:c>
      <x:c r="B38" s="246" t="str">
        <x:v>Microsoft</x:v>
      </x:c>
      <x:c r="C38" s="264" t="str">
        <x:v>​0xe93237C50D904957Cf27E7B1133b510C669c2e74</x:v>
      </x:c>
      <x:c r="D38" s="235" t="n">
        <x:v>18</x:v>
      </x:c>
      <x:c r="E38" s="236" t="n">
        <x:v>6.43145576708</x:v>
      </x:c>
      <x:c r="F38" s="236" t="n">
        <x:v>16.0786394177</x:v>
      </x:c>
      <x:c r="G38" s="237" t="n">
        <x:f>F38/E38</x:f>
        <x:v>2.5</x:v>
      </x:c>
      <x:c r="H38" s="238" t="n">
        <x:f>F38</x:f>
        <x:v>16.0786394177</x:v>
      </x:c>
      <x:c r="I38" s="238" t="n">
        <x:f>$B$4*E38*F38/(E38+F38)^2</x:f>
        <x:v>204081632.65306124</x:v>
      </x:c>
      <x:c r="J38" s="238" t="n">
        <x:f>$B$4*E38^2/(E38+F38)^2</x:f>
        <x:v>81632653.0612245</x:v>
      </x:c>
      <x:c r="K38" s="239" t="n">
        <x:f>1-J38/$B$4</x:f>
        <x:v>0.9183673469387755</x:v>
      </x:c>
      <x:c r="L38" s="249" t="str">
        <x:v>Approved</x:v>
      </x:c>
    </x:row>
    <x:row r="39" ht="20" customHeight="1">
      <x:c r="A39" s="246" t="str">
        <x:v>MSTR</x:v>
      </x:c>
      <x:c r="B39" s="246" t="str">
        <x:v>Strategy</x:v>
      </x:c>
      <x:c r="C39" s="264" t="str">
        <x:v>​0xec262a75e413fAfD0dF80480274532C79D42da09</x:v>
      </x:c>
      <x:c r="D39" s="235" t="n">
        <x:v>18</x:v>
      </x:c>
      <x:c r="E39" s="236" t="n">
        <x:v>31.99209095404</x:v>
      </x:c>
      <x:c r="F39" s="236" t="n">
        <x:v>79.9802273851</x:v>
      </x:c>
      <x:c r="G39" s="237" t="n">
        <x:f>F39/E39</x:f>
        <x:v>2.5</x:v>
      </x:c>
      <x:c r="H39" s="238" t="n">
        <x:f>F39</x:f>
        <x:v>79.9802273851</x:v>
      </x:c>
      <x:c r="I39" s="238" t="n">
        <x:f>$B$4*E39*F39/(E39+F39)^2</x:f>
        <x:v>204081632.6530612</x:v>
      </x:c>
      <x:c r="J39" s="238" t="n">
        <x:f>$B$4*E39^2/(E39+F39)^2</x:f>
        <x:v>81632653.06122449</x:v>
      </x:c>
      <x:c r="K39" s="239" t="n">
        <x:f>1-J39/$B$4</x:f>
        <x:v>0.9183673469387755</x:v>
      </x:c>
      <x:c r="L39" s="249" t="str">
        <x:v>Approved</x:v>
      </x:c>
    </x:row>
    <x:row r="40" ht="20" customHeight="1">
      <x:c r="A40" s="246" t="str">
        <x:v>MU</x:v>
      </x:c>
      <x:c r="B40" s="246" t="str">
        <x:v>Micron Technology</x:v>
      </x:c>
      <x:c r="C40" s="264" t="str">
        <x:v>​0xfF080c8ce2E5feadaCa0Da81314Ae59D232d4afD</x:v>
      </x:c>
      <x:c r="D40" s="235" t="n">
        <x:v>18</x:v>
      </x:c>
      <x:c r="E40" s="236" t="n">
        <x:v>3.671383856716</x:v>
      </x:c>
      <x:c r="F40" s="236" t="n">
        <x:v>9.17845964179</x:v>
      </x:c>
      <x:c r="G40" s="237" t="n">
        <x:f>F40/E40</x:f>
        <x:v>2.5000000000000004</x:v>
      </x:c>
      <x:c r="H40" s="238" t="n">
        <x:f>F40</x:f>
        <x:v>9.17845964179</x:v>
      </x:c>
      <x:c r="I40" s="238" t="n">
        <x:f>$B$4*E40*F40/(E40+F40)^2</x:f>
        <x:v>204081632.6530612</x:v>
      </x:c>
      <x:c r="J40" s="238" t="n">
        <x:f>$B$4*E40^2/(E40+F40)^2</x:f>
        <x:v>81632653.06122448</x:v>
      </x:c>
      <x:c r="K40" s="239" t="n">
        <x:f>1-J40/$B$4</x:f>
        <x:v>0.9183673469387755</x:v>
      </x:c>
      <x:c r="L40" s="249" t="str">
        <x:v>Approved</x:v>
      </x:c>
    </x:row>
    <x:row r="41" ht="20" customHeight="1">
      <x:c r="A41" s="246" t="str">
        <x:v>NFLX</x:v>
      </x:c>
      <x:c r="B41" s="246" t="str">
        <x:v>Netflix</x:v>
      </x:c>
      <x:c r="C41" s="264" t="str">
        <x:v>​0xe0444ef8bf4ed74f74fd73686e2ddf4c1c5591e8</x:v>
      </x:c>
      <x:c r="D41" s="235" t="n">
        <x:v>18</x:v>
      </x:c>
      <x:c r="E41" s="236" t="n">
        <x:v>52.12121854304636</x:v>
      </x:c>
      <x:c r="F41" s="236" t="n">
        <x:v>130.3030463576159</x:v>
      </x:c>
      <x:c r="G41" s="237" t="n">
        <x:f>F41/E41</x:f>
        <x:v>2.5</x:v>
      </x:c>
      <x:c r="H41" s="238" t="n">
        <x:f>F41</x:f>
        <x:v>130.3030463576159</x:v>
      </x:c>
      <x:c r="I41" s="238" t="n">
        <x:f>$B$4*E41*F41/(E41+F41)^2</x:f>
        <x:v>204081632.65306127</x:v>
      </x:c>
      <x:c r="J41" s="238" t="n">
        <x:f>$B$4*E41^2/(E41+F41)^2</x:f>
        <x:v>81632653.0612245</x:v>
      </x:c>
      <x:c r="K41" s="239" t="n">
        <x:f>1-J41/$B$4</x:f>
        <x:v>0.9183673469387755</x:v>
      </x:c>
      <x:c r="L41" s="249" t="str">
        <x:v>Approved</x:v>
      </x:c>
    </x:row>
    <x:row r="42" ht="20" customHeight="1">
      <x:c r="A42" s="246" t="str">
        <x:v>NU</x:v>
      </x:c>
      <x:c r="B42" s="246" t="str">
        <x:v>Nu</x:v>
      </x:c>
      <x:c r="C42" s="264" t="str">
        <x:v>​0x408c14038a04f7bd235329e26d2bf569ee20e250</x:v>
      </x:c>
      <x:c r="D42" s="235" t="n">
        <x:v>18</x:v>
      </x:c>
      <x:c r="E42" s="236" t="n">
        <x:v>267.0054668820678</x:v>
      </x:c>
      <x:c r="F42" s="236" t="n">
        <x:v>667.5136672051697</x:v>
      </x:c>
      <x:c r="G42" s="237" t="n">
        <x:f>F42/E42</x:f>
        <x:v>2.5000000000000004</x:v>
      </x:c>
      <x:c r="H42" s="238" t="n">
        <x:f>F42</x:f>
        <x:v>667.5136672051697</x:v>
      </x:c>
      <x:c r="I42" s="238" t="n">
        <x:f>$B$4*E42*F42/(E42+F42)^2</x:f>
        <x:v>204081632.65306118</x:v>
      </x:c>
      <x:c r="J42" s="238" t="n">
        <x:f>$B$4*E42^2/(E42+F42)^2</x:f>
        <x:v>81632653.06122446</x:v>
      </x:c>
      <x:c r="K42" s="239" t="n">
        <x:f>1-J42/$B$4</x:f>
        <x:v>0.9183673469387755</x:v>
      </x:c>
      <x:c r="L42" s="249" t="str">
        <x:v>Approved</x:v>
      </x:c>
    </x:row>
    <x:row r="43" ht="20" customHeight="1">
      <x:c r="A43" s="246" t="str">
        <x:v>NVDA</x:v>
      </x:c>
      <x:c r="B43" s="246" t="str">
        <x:v>NVIDIA</x:v>
      </x:c>
      <x:c r="C43" s="264" t="str">
        <x:v>​0xd0601CE157Db5bdC3162BbaC2a2C8aF5320D9EEC</x:v>
      </x:c>
      <x:c r="D43" s="235" t="n">
        <x:v>18</x:v>
      </x:c>
      <x:c r="E43" s="236" t="n">
        <x:v>16.64</x:v>
      </x:c>
      <x:c r="F43" s="236" t="n">
        <x:v>41.6</x:v>
      </x:c>
      <x:c r="G43" s="237" t="n">
        <x:f>F43/E43</x:f>
        <x:v>2.5</x:v>
      </x:c>
      <x:c r="H43" s="238" t="n">
        <x:f>F43</x:f>
        <x:v>41.6</x:v>
      </x:c>
      <x:c r="I43" s="238" t="n">
        <x:f>$B$4*E43*F43/(E43+F43)^2</x:f>
        <x:v>204081632.6530612</x:v>
      </x:c>
      <x:c r="J43" s="238" t="n">
        <x:f>$B$4*E43^2/(E43+F43)^2</x:f>
        <x:v>81632653.06122449</x:v>
      </x:c>
      <x:c r="K43" s="239" t="n">
        <x:f>1-J43/$B$4</x:f>
        <x:v>0.9183673469387755</x:v>
      </x:c>
      <x:c r="L43" s="249" t="str">
        <x:v>Approved</x:v>
      </x:c>
    </x:row>
    <x:row r="44" ht="20" customHeight="1">
      <x:c r="A44" s="246" t="str">
        <x:v>PFE</x:v>
      </x:c>
      <x:c r="B44" s="246" t="str">
        <x:v>Pfizer</x:v>
      </x:c>
      <x:c r="C44" s="264" t="str">
        <x:v>​0x7066A64c24e4206CD62E83bf198c1E7EB361F51e</x:v>
      </x:c>
      <x:c r="D44" s="235" t="n">
        <x:v>18</x:v>
      </x:c>
      <x:c r="E44" s="236" t="n">
        <x:v>138.5507925568</x:v>
      </x:c>
      <x:c r="F44" s="236" t="n">
        <x:v>346.376981392</x:v>
      </x:c>
      <x:c r="G44" s="237" t="n">
        <x:f>F44/E44</x:f>
        <x:v>2.5</x:v>
      </x:c>
      <x:c r="H44" s="238" t="n">
        <x:f>F44</x:f>
        <x:v>346.376981392</x:v>
      </x:c>
      <x:c r="I44" s="238" t="n">
        <x:f>$B$4*E44*F44/(E44+F44)^2</x:f>
        <x:v>204081632.6530612</x:v>
      </x:c>
      <x:c r="J44" s="238" t="n">
        <x:f>$B$4*E44^2/(E44+F44)^2</x:f>
        <x:v>81632653.06122448</x:v>
      </x:c>
      <x:c r="K44" s="239" t="n">
        <x:f>1-J44/$B$4</x:f>
        <x:v>0.9183673469387755</x:v>
      </x:c>
      <x:c r="L44" s="249" t="str">
        <x:v>Approved</x:v>
      </x:c>
    </x:row>
    <x:row r="45" ht="20" customHeight="1">
      <x:c r="A45" s="246" t="str">
        <x:v>PLTR</x:v>
      </x:c>
      <x:c r="B45" s="246" t="str">
        <x:v>Palantir Technologies</x:v>
      </x:c>
      <x:c r="C45" s="264" t="str">
        <x:v>​0x894E1EC2D74FFE5AEF8Dc8A9e84686acCB964F2A</x:v>
      </x:c>
      <x:c r="D45" s="235" t="n">
        <x:v>18</x:v>
      </x:c>
      <x:c r="E45" s="236" t="n">
        <x:v>18.82605010536</x:v>
      </x:c>
      <x:c r="F45" s="236" t="n">
        <x:v>47.0651252634</x:v>
      </x:c>
      <x:c r="G45" s="237" t="n">
        <x:f>F45/E45</x:f>
        <x:v>2.5</x:v>
      </x:c>
      <x:c r="H45" s="238" t="n">
        <x:f>F45</x:f>
        <x:v>47.0651252634</x:v>
      </x:c>
      <x:c r="I45" s="238" t="n">
        <x:f>$B$4*E45*F45/(E45+F45)^2</x:f>
        <x:v>204081632.6530612</x:v>
      </x:c>
      <x:c r="J45" s="238" t="n">
        <x:f>$B$4*E45^2/(E45+F45)^2</x:f>
        <x:v>81632653.06122449</x:v>
      </x:c>
      <x:c r="K45" s="239" t="n">
        <x:f>1-J45/$B$4</x:f>
        <x:v>0.9183673469387755</x:v>
      </x:c>
      <x:c r="L45" s="249" t="str">
        <x:v>Approved</x:v>
      </x:c>
    </x:row>
    <x:row r="46" ht="20" customHeight="1">
      <x:c r="A46" s="246" t="str">
        <x:v>QQQ</x:v>
      </x:c>
      <x:c r="B46" s="246" t="str">
        <x:v>Invesco QQQ</x:v>
      </x:c>
      <x:c r="C46" s="264" t="str">
        <x:v>​0xD5f3879160bc7c32ebb4dC785F8a4F505888de68</x:v>
      </x:c>
      <x:c r="D46" s="235" t="n">
        <x:v>18</x:v>
      </x:c>
      <x:c r="E46" s="236" t="n">
        <x:v>4.45858995028</x:v>
      </x:c>
      <x:c r="F46" s="236" t="n">
        <x:v>11.1464748757</x:v>
      </x:c>
      <x:c r="G46" s="237" t="n">
        <x:f>F46/E46</x:f>
        <x:v>2.4999999999999996</x:v>
      </x:c>
      <x:c r="H46" s="238" t="n">
        <x:f>F46</x:f>
        <x:v>11.1464748757</x:v>
      </x:c>
      <x:c r="I46" s="238" t="n">
        <x:f>$B$4*E46*F46/(E46+F46)^2</x:f>
        <x:v>204081632.65306124</x:v>
      </x:c>
      <x:c r="J46" s="238" t="n">
        <x:f>$B$4*E46^2/(E46+F46)^2</x:f>
        <x:v>81632653.0612245</x:v>
      </x:c>
      <x:c r="K46" s="239" t="n">
        <x:f>1-J46/$B$4</x:f>
        <x:v>0.9183673469387755</x:v>
      </x:c>
      <x:c r="L46" s="249" t="str">
        <x:v>Approved</x:v>
      </x:c>
    </x:row>
    <x:row r="47" ht="20" customHeight="1">
      <x:c r="A47" s="246" t="str">
        <x:v>RBLX</x:v>
      </x:c>
      <x:c r="B47" s="246" t="str">
        <x:v>Roblox</x:v>
      </x:c>
      <x:c r="C47" s="264" t="str">
        <x:v>​0xF0C4BF4C582cb3836e98394b1d4e7B7281101bE8</x:v>
      </x:c>
      <x:c r="D47" s="235" t="n">
        <x:v>18</x:v>
      </x:c>
      <x:c r="E47" s="236" t="n">
        <x:v>99.568605852</x:v>
      </x:c>
      <x:c r="F47" s="236" t="n">
        <x:v>248.92151463</x:v>
      </x:c>
      <x:c r="G47" s="237" t="n">
        <x:f>F47/E47</x:f>
        <x:v>2.5</x:v>
      </x:c>
      <x:c r="H47" s="238" t="n">
        <x:f>F47</x:f>
        <x:v>248.92151463</x:v>
      </x:c>
      <x:c r="I47" s="238" t="n">
        <x:f>$B$4*E47*F47/(E47+F47)^2</x:f>
        <x:v>204081632.6530612</x:v>
      </x:c>
      <x:c r="J47" s="238" t="n">
        <x:f>$B$4*E47^2/(E47+F47)^2</x:f>
        <x:v>81632653.06122449</x:v>
      </x:c>
      <x:c r="K47" s="239" t="n">
        <x:f>1-J47/$B$4</x:f>
        <x:v>0.9183673469387755</x:v>
      </x:c>
      <x:c r="L47" s="249" t="str">
        <x:v>Approved</x:v>
      </x:c>
    </x:row>
    <x:row r="48" ht="20" customHeight="1">
      <x:c r="A48" s="246" t="str">
        <x:v>RDDT</x:v>
      </x:c>
      <x:c r="B48" s="246" t="str">
        <x:v>Reddit</x:v>
      </x:c>
      <x:c r="C48" s="264" t="str">
        <x:v>​0x05b37Fb53A299a1b874A619e1c4C404D52C36F4C</x:v>
      </x:c>
      <x:c r="D48" s="235" t="n">
        <x:v>18</x:v>
      </x:c>
      <x:c r="E48" s="236" t="n">
        <x:v>16.93886097152</x:v>
      </x:c>
      <x:c r="F48" s="236" t="n">
        <x:v>42.3471524288</x:v>
      </x:c>
      <x:c r="G48" s="237" t="n">
        <x:f>F48/E48</x:f>
        <x:v>2.5</x:v>
      </x:c>
      <x:c r="H48" s="238" t="n">
        <x:f>F48</x:f>
        <x:v>42.3471524288</x:v>
      </x:c>
      <x:c r="I48" s="238" t="n">
        <x:f>$B$4*E48*F48/(E48+F48)^2</x:f>
        <x:v>204081632.65306124</x:v>
      </x:c>
      <x:c r="J48" s="238" t="n">
        <x:f>$B$4*E48^2/(E48+F48)^2</x:f>
        <x:v>81632653.06122448</x:v>
      </x:c>
      <x:c r="K48" s="239" t="n">
        <x:f>1-J48/$B$4</x:f>
        <x:v>0.9183673469387755</x:v>
      </x:c>
      <x:c r="L48" s="249" t="str">
        <x:v>Approved</x:v>
      </x:c>
    </x:row>
    <x:row r="49" ht="20" customHeight="1">
      <x:c r="A49" s="246" t="str">
        <x:v>RIVN</x:v>
      </x:c>
      <x:c r="B49" s="246" t="str">
        <x:v>Rivian Automotive</x:v>
      </x:c>
      <x:c r="C49" s="264" t="str">
        <x:v>​0xB1BF26c1D20ff267A4f93550d1E0d06ac40a114B</x:v>
      </x:c>
      <x:c r="D49" s="235" t="n">
        <x:v>18</x:v>
      </x:c>
      <x:c r="E49" s="236" t="n">
        <x:v>257.5748878924</x:v>
      </x:c>
      <x:c r="F49" s="236" t="n">
        <x:v>643.937219731</x:v>
      </x:c>
      <x:c r="G49" s="237" t="n">
        <x:f>F49/E49</x:f>
        <x:v>2.5</x:v>
      </x:c>
      <x:c r="H49" s="238" t="n">
        <x:f>F49</x:f>
        <x:v>643.937219731</x:v>
      </x:c>
      <x:c r="I49" s="238" t="n">
        <x:f>$B$4*E49*F49/(E49+F49)^2</x:f>
        <x:v>204081632.65306124</x:v>
      </x:c>
      <x:c r="J49" s="238" t="n">
        <x:f>$B$4*E49^2/(E49+F49)^2</x:f>
        <x:v>81632653.0612245</x:v>
      </x:c>
      <x:c r="K49" s="239" t="n">
        <x:f>1-J49/$B$4</x:f>
        <x:v>0.9183673469387755</x:v>
      </x:c>
      <x:c r="L49" s="249" t="str">
        <x:v>Approved</x:v>
      </x:c>
    </x:row>
    <x:row r="50" ht="20" customHeight="1">
      <x:c r="A50" s="246" t="str">
        <x:v>SGOV</x:v>
      </x:c>
      <x:c r="B50" s="246" t="str">
        <x:v>iShares 0-3 Month Treasury Bond</x:v>
      </x:c>
      <x:c r="C50" s="264" t="str">
        <x:v>​0x92fd66527192e3e61d4ddd13322aa222de86f9b5</x:v>
      </x:c>
      <x:c r="D50" s="235" t="n">
        <x:v>18</x:v>
      </x:c>
      <x:c r="E50" s="236" t="n">
        <x:v>41.12662340247641</x:v>
      </x:c>
      <x:c r="F50" s="236" t="n">
        <x:v>102.81655850619103</x:v>
      </x:c>
      <x:c r="G50" s="237" t="n">
        <x:f>F50/E50</x:f>
        <x:v>2.5</x:v>
      </x:c>
      <x:c r="H50" s="238" t="n">
        <x:f>F50</x:f>
        <x:v>102.81655850619103</x:v>
      </x:c>
      <x:c r="I50" s="238" t="n">
        <x:f>$B$4*E50*F50/(E50+F50)^2</x:f>
        <x:v>204081632.6530612</x:v>
      </x:c>
      <x:c r="J50" s="238" t="n">
        <x:f>$B$4*E50^2/(E50+F50)^2</x:f>
        <x:v>81632653.0612245</x:v>
      </x:c>
      <x:c r="K50" s="239" t="n">
        <x:f>1-J50/$B$4</x:f>
        <x:v>0.9183673469387755</x:v>
      </x:c>
      <x:c r="L50" s="249" t="str">
        <x:v>Approved</x:v>
      </x:c>
    </x:row>
    <x:row r="51" ht="20" customHeight="1">
      <x:c r="A51" s="246" t="str">
        <x:v>SHOP</x:v>
      </x:c>
      <x:c r="B51" s="246" t="str">
        <x:v>Shopify</x:v>
      </x:c>
      <x:c r="C51" s="264" t="str">
        <x:v>​0xf53f66751b1eff985311b693531e3290f600c410</x:v>
      </x:c>
      <x:c r="D51" s="235" t="n">
        <x:v>18</x:v>
      </x:c>
      <x:c r="E51" s="236" t="n">
        <x:v>28.03575519066359</x:v>
      </x:c>
      <x:c r="F51" s="236" t="n">
        <x:v>70.08938797665897</x:v>
      </x:c>
      <x:c r="G51" s="237" t="n">
        <x:f>F51/E51</x:f>
        <x:v>2.5</x:v>
      </x:c>
      <x:c r="H51" s="238" t="n">
        <x:f>F51</x:f>
        <x:v>70.08938797665897</x:v>
      </x:c>
      <x:c r="I51" s="238" t="n">
        <x:f>$B$4*E51*F51/(E51+F51)^2</x:f>
        <x:v>204081632.6530612</x:v>
      </x:c>
      <x:c r="J51" s="238" t="n">
        <x:f>$B$4*E51^2/(E51+F51)^2</x:f>
        <x:v>81632653.06122449</x:v>
      </x:c>
      <x:c r="K51" s="239" t="n">
        <x:f>1-J51/$B$4</x:f>
        <x:v>0.9183673469387755</x:v>
      </x:c>
      <x:c r="L51" s="249" t="str">
        <x:v>Approved</x:v>
      </x:c>
    </x:row>
    <x:row r="52" ht="20" customHeight="1">
      <x:c r="A52" s="246" t="str">
        <x:v>SKHY</x:v>
      </x:c>
      <x:c r="B52" s="246" t="str">
        <x:v>SK hynix</x:v>
      </x:c>
      <x:c r="C52" s="264" t="str">
        <x:v>​0x84CAb63bc87912E71ad199ff14A0bA45de68FeF8</x:v>
      </x:c>
      <x:c r="D52" s="235" t="n">
        <x:v>18</x:v>
      </x:c>
      <x:c r="E52" s="236" t="n">
        <x:v>25.18631173032</x:v>
      </x:c>
      <x:c r="F52" s="236" t="n">
        <x:v>62.9657793258</x:v>
      </x:c>
      <x:c r="G52" s="237" t="n">
        <x:f>F52/E52</x:f>
        <x:v>2.5</x:v>
      </x:c>
      <x:c r="H52" s="238" t="n">
        <x:f>F52</x:f>
        <x:v>62.9657793258</x:v>
      </x:c>
      <x:c r="I52" s="238" t="n">
        <x:f>$B$4*E52*F52/(E52+F52)^2</x:f>
        <x:v>204081632.6530612</x:v>
      </x:c>
      <x:c r="J52" s="238" t="n">
        <x:f>$B$4*E52^2/(E52+F52)^2</x:f>
        <x:v>81632653.06122449</x:v>
      </x:c>
      <x:c r="K52" s="239" t="n">
        <x:f>1-J52/$B$4</x:f>
        <x:v>0.9183673469387755</x:v>
      </x:c>
      <x:c r="L52" s="249" t="str">
        <x:v>Approved</x:v>
      </x:c>
    </x:row>
    <x:row r="53" ht="20" customHeight="1">
      <x:c r="A53" s="246" t="str">
        <x:v>SLV</x:v>
      </x:c>
      <x:c r="B53" s="246" t="str">
        <x:v>iShares Silver Trust</x:v>
      </x:c>
      <x:c r="C53" s="264" t="str">
        <x:v>​0x411efb0e7f985935daec3d4c3ebaea0d0ad7d89f</x:v>
      </x:c>
      <x:c r="D53" s="235" t="n">
        <x:v>18</x:v>
      </x:c>
      <x:c r="E53" s="236" t="n">
        <x:v>69.11859484777517</x:v>
      </x:c>
      <x:c r="F53" s="236" t="n">
        <x:v>172.79648711943796</x:v>
      </x:c>
      <x:c r="G53" s="237" t="n">
        <x:f>F53/E53</x:f>
        <x:v>2.5000000000000004</x:v>
      </x:c>
      <x:c r="H53" s="238" t="n">
        <x:f>F53</x:f>
        <x:v>172.79648711943796</x:v>
      </x:c>
      <x:c r="I53" s="238" t="n">
        <x:f>$B$4*E53*F53/(E53+F53)^2</x:f>
        <x:v>204081632.65306124</x:v>
      </x:c>
      <x:c r="J53" s="238" t="n">
        <x:f>$B$4*E53^2/(E53+F53)^2</x:f>
        <x:v>81632653.06122448</x:v>
      </x:c>
      <x:c r="K53" s="239" t="n">
        <x:f>1-J53/$B$4</x:f>
        <x:v>0.9183673469387755</x:v>
      </x:c>
      <x:c r="L53" s="249" t="str">
        <x:v>Approved</x:v>
      </x:c>
    </x:row>
    <x:row r="54" ht="20" customHeight="1">
      <x:c r="A54" s="246" t="str">
        <x:v>SNAP</x:v>
      </x:c>
      <x:c r="B54" s="246" t="str">
        <x:v>Snap</x:v>
      </x:c>
      <x:c r="C54" s="264" t="str">
        <x:v>​0xF6589F11Bc40b669e584073F428B05562F568733</x:v>
      </x:c>
      <x:c r="D54" s="235" t="n">
        <x:v>18</x:v>
      </x:c>
      <x:c r="E54" s="236" t="n">
        <x:v>719.274418604</x:v>
      </x:c>
      <x:c r="F54" s="236" t="n">
        <x:v>1798.18604651</x:v>
      </x:c>
      <x:c r="G54" s="237" t="n">
        <x:f>F54/E54</x:f>
        <x:v>2.5000000000000004</x:v>
      </x:c>
      <x:c r="H54" s="238" t="n">
        <x:f>F54</x:f>
        <x:v>1798.18604651</x:v>
      </x:c>
      <x:c r="I54" s="238" t="n">
        <x:f>$B$4*E54*F54/(E54+F54)^2</x:f>
        <x:v>204081632.65306124</x:v>
      </x:c>
      <x:c r="J54" s="238" t="n">
        <x:f>$B$4*E54^2/(E54+F54)^2</x:f>
        <x:v>81632653.06122448</x:v>
      </x:c>
      <x:c r="K54" s="239" t="n">
        <x:f>1-J54/$B$4</x:f>
        <x:v>0.9183673469387755</x:v>
      </x:c>
      <x:c r="L54" s="249" t="str">
        <x:v>Approved</x:v>
      </x:c>
    </x:row>
    <x:row r="55" ht="20" customHeight="1">
      <x:c r="A55" s="246" t="str">
        <x:v>SNDK</x:v>
      </x:c>
      <x:c r="B55" s="246" t="str">
        <x:v>SanDisk</x:v>
      </x:c>
      <x:c r="C55" s="264" t="str">
        <x:v>​0xB90A19fF0Af67f7779afF50A882A9CfF42446400</x:v>
      </x:c>
      <x:c r="D55" s="235" t="n">
        <x:v>18</x:v>
      </x:c>
      <x:c r="E55" s="236" t="n">
        <x:v>2.652177326252</x:v>
      </x:c>
      <x:c r="F55" s="236" t="n">
        <x:v>6.63044331563</x:v>
      </x:c>
      <x:c r="G55" s="237" t="n">
        <x:f>F55/E55</x:f>
        <x:v>2.5</x:v>
      </x:c>
      <x:c r="H55" s="238" t="n">
        <x:f>F55</x:f>
        <x:v>6.63044331563</x:v>
      </x:c>
      <x:c r="I55" s="238" t="n">
        <x:f>$B$4*E55*F55/(E55+F55)^2</x:f>
        <x:v>204081632.6530612</x:v>
      </x:c>
      <x:c r="J55" s="238" t="n">
        <x:f>$B$4*E55^2/(E55+F55)^2</x:f>
        <x:v>81632653.06122449</x:v>
      </x:c>
      <x:c r="K55" s="239" t="n">
        <x:f>1-J55/$B$4</x:f>
        <x:v>0.9183673469387755</x:v>
      </x:c>
      <x:c r="L55" s="249" t="str">
        <x:v>Approved</x:v>
      </x:c>
    </x:row>
    <x:row r="56" ht="20" customHeight="1">
      <x:c r="A56" s="246" t="str">
        <x:v>SPCX</x:v>
      </x:c>
      <x:c r="B56" s="246" t="str">
        <x:v>SpaceX Class A</x:v>
      </x:c>
      <x:c r="C56" s="264" t="str">
        <x:v>​0x4a0E65A3EcceC6dBe60AE065F2e7bb85Fae35eEa</x:v>
      </x:c>
      <x:c r="D56" s="235" t="n">
        <x:v>18</x:v>
      </x:c>
      <x:c r="E56" s="236" t="n">
        <x:v>28.88</x:v>
      </x:c>
      <x:c r="F56" s="236" t="n">
        <x:v>72.2</x:v>
      </x:c>
      <x:c r="G56" s="237" t="n">
        <x:f>F56/E56</x:f>
        <x:v>2.5</x:v>
      </x:c>
      <x:c r="H56" s="238" t="n">
        <x:f>F56</x:f>
        <x:v>72.2</x:v>
      </x:c>
      <x:c r="I56" s="238" t="n">
        <x:f>$B$4*E56*F56/(E56+F56)^2</x:f>
        <x:v>204081632.6530612</x:v>
      </x:c>
      <x:c r="J56" s="238" t="n">
        <x:f>$B$4*E56^2/(E56+F56)^2</x:f>
        <x:v>81632653.06122449</x:v>
      </x:c>
      <x:c r="K56" s="239" t="n">
        <x:f>1-J56/$B$4</x:f>
        <x:v>0.9183673469387755</x:v>
      </x:c>
      <x:c r="L56" s="249" t="str">
        <x:v>Approved</x:v>
      </x:c>
    </x:row>
    <x:row r="57" ht="20" customHeight="1">
      <x:c r="A57" s="246" t="str">
        <x:v>SPY</x:v>
      </x:c>
      <x:c r="B57" s="246" t="str">
        <x:v>SPDR S&amp;P 500 ETF</x:v>
      </x:c>
      <x:c r="C57" s="264" t="str">
        <x:v>​0x117cc2133c37B721F49dE2A7a74833232B3B4C0C</x:v>
      </x:c>
      <x:c r="D57" s="235" t="n">
        <x:v>18</x:v>
      </x:c>
      <x:c r="E57" s="236" t="n">
        <x:v>4.36</x:v>
      </x:c>
      <x:c r="F57" s="236" t="n">
        <x:v>10.9</x:v>
      </x:c>
      <x:c r="G57" s="237" t="n">
        <x:f>F57/E57</x:f>
        <x:v>2.5</x:v>
      </x:c>
      <x:c r="H57" s="238" t="n">
        <x:f>F57</x:f>
        <x:v>10.9</x:v>
      </x:c>
      <x:c r="I57" s="238" t="n">
        <x:f>$B$4*E57*F57/(E57+F57)^2</x:f>
        <x:v>204081632.65306118</x:v>
      </x:c>
      <x:c r="J57" s="238" t="n">
        <x:f>$B$4*E57^2/(E57+F57)^2</x:f>
        <x:v>81632653.06122449</x:v>
      </x:c>
      <x:c r="K57" s="239" t="n">
        <x:f>1-J57/$B$4</x:f>
        <x:v>0.9183673469387755</x:v>
      </x:c>
      <x:c r="L57" s="249" t="str">
        <x:v>Approved</x:v>
      </x:c>
    </x:row>
    <x:row r="58" ht="20" customHeight="1">
      <x:c r="A58" s="246" t="str">
        <x:v>TSLA</x:v>
      </x:c>
      <x:c r="B58" s="246" t="str">
        <x:v>Tesla</x:v>
      </x:c>
      <x:c r="C58" s="264" t="str">
        <x:v>​0x322F0929c4625eD5bAd873c95208D54E1c003b2d</x:v>
      </x:c>
      <x:c r="D58" s="235" t="n">
        <x:v>18</x:v>
      </x:c>
      <x:c r="E58" s="236" t="n">
        <x:v>10.4</x:v>
      </x:c>
      <x:c r="F58" s="236" t="n">
        <x:v>26</x:v>
      </x:c>
      <x:c r="G58" s="237" t="n">
        <x:f>F58/E58</x:f>
        <x:v>2.5</x:v>
      </x:c>
      <x:c r="H58" s="238" t="n">
        <x:f>F58</x:f>
        <x:v>26</x:v>
      </x:c>
      <x:c r="I58" s="238" t="n">
        <x:f>$B$4*E58*F58/(E58+F58)^2</x:f>
        <x:v>204081632.65306124</x:v>
      </x:c>
      <x:c r="J58" s="238" t="n">
        <x:f>$B$4*E58^2/(E58+F58)^2</x:f>
        <x:v>81632653.06122452</x:v>
      </x:c>
      <x:c r="K58" s="239" t="n">
        <x:f>1-J58/$B$4</x:f>
        <x:v>0.9183673469387754</x:v>
      </x:c>
      <x:c r="L58" s="249" t="str">
        <x:v>Approved</x:v>
      </x:c>
    </x:row>
    <x:row r="59" ht="20" customHeight="1">
      <x:c r="A59" s="246" t="str">
        <x:v>TSM</x:v>
      </x:c>
      <x:c r="B59" s="246" t="str">
        <x:v>Taiwan Semiconductor Manufacturing</x:v>
      </x:c>
      <x:c r="C59" s="264" t="str">
        <x:v>​0x58FfE4a942d3885bAa22D7520691F611EF09e7AA</x:v>
      </x:c>
      <x:c r="D59" s="235" t="n">
        <x:v>18</x:v>
      </x:c>
      <x:c r="E59" s="236" t="n">
        <x:v>9.78129275364</x:v>
      </x:c>
      <x:c r="F59" s="236" t="n">
        <x:v>24.4532318841</x:v>
      </x:c>
      <x:c r="G59" s="237" t="n">
        <x:f>F59/E59</x:f>
        <x:v>2.4999999999999996</x:v>
      </x:c>
      <x:c r="H59" s="238" t="n">
        <x:f>F59</x:f>
        <x:v>24.4532318841</x:v>
      </x:c>
      <x:c r="I59" s="238" t="n">
        <x:f>$B$4*E59*F59/(E59+F59)^2</x:f>
        <x:v>204081632.65306124</x:v>
      </x:c>
      <x:c r="J59" s="238" t="n">
        <x:f>$B$4*E59^2/(E59+F59)^2</x:f>
        <x:v>81632653.06122449</x:v>
      </x:c>
      <x:c r="K59" s="239" t="n">
        <x:f>1-J59/$B$4</x:f>
        <x:v>0.9183673469387755</x:v>
      </x:c>
      <x:c r="L59" s="249" t="str">
        <x:v>Approved</x:v>
      </x:c>
    </x:row>
    <x:row r="60" ht="20" customHeight="1">
      <x:c r="A60" s="246" t="str">
        <x:v>TTWO</x:v>
      </x:c>
      <x:c r="B60" s="246" t="str">
        <x:v>Take-Two Interactive</x:v>
      </x:c>
      <x:c r="C60" s="264" t="str">
        <x:v>​0x5e81213613b6B86EaB4c6c50d718d34359459786</x:v>
      </x:c>
      <x:c r="D60" s="235" t="n">
        <x:v>18</x:v>
      </x:c>
      <x:c r="E60" s="236" t="n">
        <x:v>10.6556027528</x:v>
      </x:c>
      <x:c r="F60" s="236" t="n">
        <x:v>26.639006882</x:v>
      </x:c>
      <x:c r="G60" s="237" t="n">
        <x:f>F60/E60</x:f>
        <x:v>2.5</x:v>
      </x:c>
      <x:c r="H60" s="238" t="n">
        <x:f>F60</x:f>
        <x:v>26.639006882</x:v>
      </x:c>
      <x:c r="I60" s="238" t="n">
        <x:f>$B$4*E60*F60/(E60+F60)^2</x:f>
        <x:v>204081632.65306124</x:v>
      </x:c>
      <x:c r="J60" s="238" t="n">
        <x:f>$B$4*E60^2/(E60+F60)^2</x:f>
        <x:v>81632653.0612245</x:v>
      </x:c>
      <x:c r="K60" s="239" t="n">
        <x:f>1-J60/$B$4</x:f>
        <x:v>0.9183673469387755</x:v>
      </x:c>
      <x:c r="L60" s="249" t="str">
        <x:v>Approved</x:v>
      </x:c>
    </x:row>
    <x:row r="61" ht="20" customHeight="1">
      <x:c r="A61" s="246" t="str">
        <x:v>UPS</x:v>
      </x:c>
      <x:c r="B61" s="246" t="str">
        <x:v>UPS</x:v>
      </x:c>
      <x:c r="C61" s="264" t="str">
        <x:v>​0xf23250dac154d05bb671cb0d0ebef3c635c79ce2</x:v>
      </x:c>
      <x:c r="D61" s="235" t="n">
        <x:v>18</x:v>
      </x:c>
      <x:c r="E61" s="236" t="n">
        <x:v>40.12341813944455</x:v>
      </x:c>
      <x:c r="F61" s="236" t="n">
        <x:v>100.30854534861137</x:v>
      </x:c>
      <x:c r="G61" s="237" t="n">
        <x:f>F61/E61</x:f>
        <x:v>2.5</x:v>
      </x:c>
      <x:c r="H61" s="238" t="n">
        <x:f>F61</x:f>
        <x:v>100.30854534861137</x:v>
      </x:c>
      <x:c r="I61" s="238" t="n">
        <x:f>$B$4*E61*F61/(E61+F61)^2</x:f>
        <x:v>204081632.65306118</x:v>
      </x:c>
      <x:c r="J61" s="238" t="n">
        <x:f>$B$4*E61^2/(E61+F61)^2</x:f>
        <x:v>81632653.06122448</x:v>
      </x:c>
      <x:c r="K61" s="239" t="n">
        <x:f>1-J61/$B$4</x:f>
        <x:v>0.9183673469387755</x:v>
      </x:c>
      <x:c r="L61" s="249" t="str">
        <x:v>Approved</x:v>
      </x:c>
    </x:row>
    <x:row r="62" ht="20" customHeight="1">
      <x:c r="A62" s="246" t="str">
        <x:v>USO</x:v>
      </x:c>
      <x:c r="B62" s="246" t="str">
        <x:v>United States Oil Fund</x:v>
      </x:c>
      <x:c r="C62" s="264" t="str">
        <x:v>​0xa30FA36Db767ad9eD3f7a60fC79526fB4d56D344</x:v>
      </x:c>
      <x:c r="D62" s="235" t="n">
        <x:v>18</x:v>
      </x:c>
      <x:c r="E62" s="236" t="n">
        <x:v>28.71954042552</x:v>
      </x:c>
      <x:c r="F62" s="236" t="n">
        <x:v>71.7988510638</x:v>
      </x:c>
      <x:c r="G62" s="237" t="n">
        <x:f>F62/E62</x:f>
        <x:v>2.5</x:v>
      </x:c>
      <x:c r="H62" s="238" t="n">
        <x:f>F62</x:f>
        <x:v>71.7988510638</x:v>
      </x:c>
      <x:c r="I62" s="238" t="n">
        <x:f>$B$4*E62*F62/(E62+F62)^2</x:f>
        <x:v>204081632.6530612</x:v>
      </x:c>
      <x:c r="J62" s="238" t="n">
        <x:f>$B$4*E62^2/(E62+F62)^2</x:f>
        <x:v>81632653.06122449</x:v>
      </x:c>
      <x:c r="K62" s="239" t="n">
        <x:f>1-J62/$B$4</x:f>
        <x:v>0.9183673469387755</x:v>
      </x:c>
      <x:c r="L62" s="249" t="str">
        <x:v>Approved</x:v>
      </x:c>
    </x:row>
    <x:row r="63" ht="20" customHeight="1">
      <x:c r="A63" s="247" t="str">
        <x:v>WYFI</x:v>
      </x:c>
      <x:c r="B63" s="247" t="str">
        <x:v>WhiteFiber</x:v>
      </x:c>
      <x:c r="C63" s="265" t="str">
        <x:v>​0x9e7ABD3C9139D14E4c86DcE0e455AAB7A0C2FB3E</x:v>
      </x:c>
      <x:c r="D63" s="240" t="n">
        <x:v>18</x:v>
      </x:c>
      <x:c r="E63" s="241" t="n">
        <x:v>231.39744</x:v>
      </x:c>
      <x:c r="F63" s="241" t="n">
        <x:v>578.4936</x:v>
      </x:c>
      <x:c r="G63" s="242" t="n">
        <x:f>F63/E63</x:f>
        <x:v>2.5</x:v>
      </x:c>
      <x:c r="H63" s="243" t="n">
        <x:f>F63</x:f>
        <x:v>578.4936</x:v>
      </x:c>
      <x:c r="I63" s="243" t="n">
        <x:f>$B$4*E63*F63/(E63+F63)^2</x:f>
        <x:v>204081632.65306124</x:v>
      </x:c>
      <x:c r="J63" s="243" t="n">
        <x:f>$B$4*E63^2/(E63+F63)^2</x:f>
        <x:v>81632653.06122449</x:v>
      </x:c>
      <x:c r="K63" s="244" t="n">
        <x:f>1-J63/$B$4</x:f>
        <x:v>0.9183673469387755</x:v>
      </x:c>
      <x:c r="L63" s="250" t="str">
        <x:v>Approved</x:v>
      </x:c>
    </x:row>
  </x:sheetData>
  <x:mergeCells>
    <x:mergeCell ref="A1:L1"/>
    <x:mergeCell ref="B7:L7"/>
    <x:mergeCell ref="B8:L8"/>
    <x:mergeCell ref="B9:L9"/>
  </x:mergeCells>
  <x:pageMargins left="0.7" right="0.7" top="0.75" bottom="0.75" header="0.3" footer="0.3"/>
</x:worksheet>
</file>