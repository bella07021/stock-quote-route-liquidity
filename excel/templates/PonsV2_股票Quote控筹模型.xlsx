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6b8eceeb0949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d7aedc8ed7d34244"/>
    <x:sheet xmlns:r="http://schemas.openxmlformats.org/officeDocument/2006/relationships" name="Quote参数" sheetId="2" r:id="R2337eec321c940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04978b65ad413e" /><Relationship Type="http://schemas.openxmlformats.org/officeDocument/2006/relationships/theme" Target="/xl/theme/theme1.xml" Id="Rff22bf0c910a4b46" /><Relationship Type="http://schemas.openxmlformats.org/officeDocument/2006/relationships/sharedStrings" Target="/xl/sharedStrings.xml" Id="Rfdb43a5a9a3f4147" /><Relationship Type="http://schemas.openxmlformats.org/officeDocument/2006/relationships/worksheet" Target="/xl/worksheets/sheet1.xml" Id="Rd7aedc8ed7d34244" /><Relationship Type="http://schemas.openxmlformats.org/officeDocument/2006/relationships/worksheet" Target="/xl/worksheets/sheet2.xml" Id="R2337eec321c940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 t="n">
        <f>IF(AND(ISNUMBER($D$55),$D$55&gt;0),ROUNDUP($G$56/$D$55,0),"")</f>
        <v>9997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 t="n">
        <f>IF(ISNUMBER($D$26),(IF(LEFT($D$51,2)&lt;&gt;"可达","",IF($D$22="","",SUM($D$22,$D$23,$D$24,$D$25))))+$D$26,"")</f>
        <v>689114.8230851085</v>
      </c>
      <c r="E18" s="62" t="str">
        <f>$D$7</f>
        <v>USDG</v>
      </c>
      <c r="F18" s="107" t="str">
        <v>原生币 Gas 储备</v>
      </c>
      <c r="G18" s="74" t="n">
        <f>$D$53*MAX(0,$G$11)</f>
        <v>1.1</v>
      </c>
      <c r="H18" s="62" t="str">
        <v>ETH</v>
      </c>
      <c r="I18" s="107" t="str">
        <v>总折算 / USDT</v>
      </c>
      <c r="J18" s="121" t="n">
        <f>IF(AND(ISNUMBER($D$19),ISNUMBER($G$19)),SUM(D19,G19),"")</f>
        <v>692117.7246077446</v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 t="n">
        <f>IF(ISNUMBER($D$18),IF($D$18=0,0,IF($D$55&gt;0,$D$18*$D$55,"")),"")</f>
        <v>689387.8206620907</v>
      </c>
      <c r="E19" s="106" t="str">
        <v>USDT</v>
      </c>
      <c r="F19" s="107" t="str">
        <v>Gas 折算 / USDT</v>
      </c>
      <c r="G19" s="122" t="n">
        <f>IF($G$18=0,0,IF($J$19="","",$G$18*$J$19))</f>
        <v>2729.9039456539363</v>
      </c>
      <c r="H19" s="106" t="str">
        <v>USDT</v>
      </c>
      <c r="I19" s="107" t="str">
        <v>原生币价格 / USDT</v>
      </c>
      <c r="J19" s="123" t="n">
        <f>IF($D$7="ETH",$D$55,IF(VLOOKUP("ETH",'Quote参数'!$E$9:$S$63,15,FALSE)&gt;0,VLOOKUP("ETH",'Quote参数'!$E$9:$S$63,15,FALSE),""))</f>
        <v>2481.7308596853964</v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 t="str">
        <f>"预算 "&amp;TEXT($D$52,"0%")&amp;" 理论资金"</f>
        <v>预算 91% 理论资金</v>
      </c>
      <c r="D22" s="122" t="n">
        <f>IF(LEFT($D$51,2)&lt;&gt;"可达","",IF($J$45="","",$J$41+$J$45))</f>
        <v>199310.17491993174</v>
      </c>
      <c r="E22" s="106" t="str">
        <f>$D$7</f>
        <v>USDG</v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 t="n">
        <f>IF(LEFT($D$51,2)&lt;&gt;"可达","",IF($J$41="","",$J$41*MAX(0,$G$7-1)))</f>
        <v>8171.717171717171</v>
      </c>
      <c r="E23" s="106" t="str">
        <f>$D$7</f>
        <v>USDG</v>
      </c>
      <c r="F23" s="106"/>
      <c r="G23" s="106"/>
      <c r="H23" s="106"/>
      <c r="I23" s="107" t="str">
        <v>基础手续费</v>
      </c>
      <c r="J23" s="124" t="n">
        <f>$G$41</f>
        <v>0.01</v>
      </c>
      <c r="K23" s="106"/>
      <c r="L23" s="106"/>
    </row>
    <row r="24" ht="20" customHeight="1">
      <c r="A24" s="2"/>
      <c r="B24" s="2"/>
      <c r="C24" s="107" t="str">
        <v>洗筹损耗</v>
      </c>
      <c r="D24" s="122" t="n">
        <f>IF(LEFT($D$51,2)&lt;&gt;"可达","",IF($J$46="","",$J$46*($G$42+$J$7)*2))</f>
        <v>471635.93099345965</v>
      </c>
      <c r="E24" s="106" t="str">
        <f>$D$7</f>
        <v>USDG</v>
      </c>
      <c r="F24" s="106"/>
      <c r="G24" s="106"/>
      <c r="H24" s="106"/>
      <c r="I24" s="107" t="str">
        <v>买入含税费率</v>
      </c>
      <c r="J24" s="124" t="n">
        <f>$G$41+$J$7</f>
        <v>0.01</v>
      </c>
      <c r="K24" s="106"/>
      <c r="L24" s="106"/>
    </row>
    <row r="25" ht="20" customHeight="1">
      <c r="A25" s="2"/>
      <c r="B25" s="2"/>
      <c r="C25" s="107" t="str">
        <v>资金预留</v>
      </c>
      <c r="D25" s="122" t="n">
        <f>$G$12</f>
        <v>9997</v>
      </c>
      <c r="E25" s="106" t="str">
        <f>$D$7</f>
        <v>USDG</v>
      </c>
      <c r="F25" s="106"/>
      <c r="G25" s="106"/>
      <c r="H25" s="106"/>
      <c r="I25" s="107" t="str">
        <v>卖出含税费率</v>
      </c>
      <c r="J25" s="124" t="n">
        <f>$G$41+$J$7</f>
        <v>0.01</v>
      </c>
      <c r="K25" s="106"/>
      <c r="L25" s="106"/>
    </row>
    <row r="26" ht="20" customHeight="1">
      <c r="A26" s="2"/>
      <c r="B26" s="2"/>
      <c r="C26" s="107" t="str">
        <v>恢复目标控筹预留</v>
      </c>
      <c r="D26" s="122" t="n">
        <f>IF(LEFT($D$51,2)&lt;&gt;"可达","",0)</f>
        <v>0</v>
      </c>
      <c r="E26" s="106" t="str">
        <f>$D$7</f>
        <v>USDG</v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 t="n">
        <f>$D$8*$J$54</f>
        <v>0.9</v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 t="n">
        <f>$D$8</f>
        <v>0.9</v>
      </c>
      <c r="E28" s="106"/>
      <c r="F28" s="106"/>
      <c r="G28" s="106"/>
      <c r="H28" s="106"/>
      <c r="I28" s="107" t="str">
        <v>基础手续费</v>
      </c>
      <c r="J28" s="124" t="n">
        <f>$G$42</f>
        <v>0.01</v>
      </c>
      <c r="K28" s="106"/>
      <c r="L28" s="106"/>
    </row>
    <row r="29" ht="20" customHeight="1">
      <c r="A29" s="2"/>
      <c r="B29" s="2"/>
      <c r="C29" s="107" t="str">
        <v>洗筹双边总费率</v>
      </c>
      <c r="D29" s="124" t="n">
        <f>$J$47*2</f>
        <v>0.02</v>
      </c>
      <c r="E29" s="106"/>
      <c r="F29" s="106"/>
      <c r="G29" s="106"/>
      <c r="H29" s="106"/>
      <c r="I29" s="107" t="str">
        <v>买入含税费率</v>
      </c>
      <c r="J29" s="124" t="n">
        <f>$G$42+$J$7</f>
        <v>0.01</v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 t="n">
        <f>$G$42+$J$7</f>
        <v>0.01</v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Pons V2 外盘手续费始终按 Quote leg 计收；Hook 某些方向暂存的 Meme 费用会在池内转换回 Quote，属于内部归集路径。按本模型口径不降低 TOKEN 控筹率，因此恢复目标控筹预留为 0。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 t="n">
        <f>E98</f>
        <v>1797.7777777777776</v>
      </c>
      <c r="H37" s="127" t="str">
        <f>$D$7</f>
        <v>USDG</v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 t="str">
        <f>VLOOKUP($D$7,'Quote参数'!$E$9:$J$63,2,FALSE)</f>
        <v>Global Dollar</v>
      </c>
      <c r="E41" s="107"/>
      <c r="F41" s="107" t="str">
        <v>内盘基础费</v>
      </c>
      <c r="G41" s="112" t="n">
        <f>1%</f>
        <v>0.01</v>
      </c>
      <c r="H41" s="107"/>
      <c r="I41" s="107" t="str">
        <v>一套内盘打满 / Quote</v>
      </c>
      <c r="J41" s="108" t="n">
        <f>IF(1-$G$41-$J$7&gt;0,$G$44/(1-$G$41-$J$7),"")</f>
        <v>8171.717171717171</v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 t="str">
        <f>VLOOKUP($D$7,'Quote参数'!$E$9:$J$63,3,FALSE)</f>
        <v>​0x5fc5360D0400a0Fd4f2af552ADD042D716F1d168</v>
      </c>
      <c r="E42" s="107"/>
      <c r="F42" s="107" t="str">
        <v>外盘 Hook 费</v>
      </c>
      <c r="G42" s="112" t="n">
        <f>1%</f>
        <v>0.01</v>
      </c>
      <c r="H42" s="107"/>
      <c r="I42" s="107" t="str">
        <v>目标+1% Pool TOKEN</v>
      </c>
      <c r="J42" s="108" t="n">
        <f>IF($D$52&lt;$D$54,$D$45*(1-$D$52)-$G$51,"")</f>
        <v>8367346.93877548</v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 t="n">
        <f>$G$44/($G$46+$G$44)</f>
        <v>0.7142857142857143</v>
      </c>
      <c r="H43" s="107"/>
      <c r="I43" s="107" t="str">
        <v>目标+1% Pool Quote</v>
      </c>
      <c r="J43" s="108" t="n">
        <f>IF($J$42="","",$G$50/$J$42)</f>
        <v>197317.07317073242</v>
      </c>
      <c r="K43" s="107"/>
      <c r="L43" s="107"/>
    </row>
    <row r="44" ht="30" hidden="1" customHeight="1" outlineLevel="1">
      <c r="A44"/>
      <c r="B44"/>
      <c r="C44" s="107" t="str">
        <v>Decimals</v>
      </c>
      <c r="D44" s="110" t="n">
        <f>VLOOKUP($D$7,'Quote参数'!$E$9:$J$63,4,FALSE)</f>
        <v>6</v>
      </c>
      <c r="E44" s="107"/>
      <c r="F44" s="107" t="str">
        <v>毕业真实 Quote</v>
      </c>
      <c r="G44" s="108" t="n">
        <f>VLOOKUP($D$7,'Quote参数'!$E$9:$J$63,6,FALSE)</f>
        <v>8090</v>
      </c>
      <c r="H44" s="107"/>
      <c r="I44" s="107" t="str">
        <v>外盘净增加 / Quote</v>
      </c>
      <c r="J44" s="108" t="n">
        <f>IF($J$43="","",MAX(0,$J$43-$G$44))</f>
        <v>189227.07317073242</v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 t="n">
        <f>1000000000</f>
        <v>1000000000</v>
      </c>
      <c r="E45" s="107"/>
      <c r="F45" s="107" t="str">
        <v>内盘初始 TOKEN</v>
      </c>
      <c r="G45" s="108" t="n">
        <f>$D$45</f>
        <v>1000000000</v>
      </c>
      <c r="H45" s="107"/>
      <c r="I45" s="107" t="str">
        <v>外盘含费投入 / Quote</v>
      </c>
      <c r="J45" s="108" t="n">
        <f>IF($J$42="","",($J$43-$G$44)/MAX(0.000000001,1-$G$42-$J$7))</f>
        <v>191138.45774821457</v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 t="n">
        <f>VLOOKUP($D$7,'Quote参数'!$E$9:$P$63,12,FALSE)</f>
        <v>69045064</v>
      </c>
      <c r="E46" s="107"/>
      <c r="F46" s="107" t="str">
        <v>phantom Quote</v>
      </c>
      <c r="G46" s="108" t="n">
        <f>VLOOKUP($D$7,'Quote参数'!$E$9:$J$63,5,FALSE)</f>
        <v>3236</v>
      </c>
      <c r="H46" s="107"/>
      <c r="I46" s="107" t="str">
        <v>目标+1% FDV / Quote</v>
      </c>
      <c r="J46" s="108" t="n">
        <f>IF($J$43="","",$J$43/$J$42*$D$45)</f>
        <v>23581796.549672984</v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 t="n">
        <f>$G$46*$D$45</f>
        <v>3236000000000</v>
      </c>
      <c r="H47" s="107"/>
      <c r="I47" s="107" t="str">
        <v>洗筹单边费率</v>
      </c>
      <c r="J47" s="112" t="n">
        <f>$G$42+$J$7</f>
        <v>0.01</v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 t="n">
        <f>$D$45*$G$46*$G$44/($G$46+$G$44)^2</f>
        <v>204081632.6530612</v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 t="n">
        <f>$G$44</f>
        <v>8090</v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 t="n">
        <f>$G$48*$G$44</f>
        <v>1651020408163.2651</v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 t="str">
        <f>IF($J$51&lt;&gt;"参数有效",$J$51,IF(OR($D$8&lt;0,$D$8&gt;=1),"目标控筹率无效",IF(OR($J$7&lt;0,$J$7&gt;$G$53),"Creator Tax无效",IF($D$52&gt;=$D$54,"目标+1%不可达",IF($J$9="否","可达；Snipe税未计","可达")))))</f>
        <v>可达</v>
      </c>
      <c r="E51" s="107"/>
      <c r="F51" s="107" t="str">
        <v>Locker TOKEN</v>
      </c>
      <c r="G51" s="108" t="n">
        <f>$D$45*$G$46^2/($G$46+$G$44)^2</f>
        <v>81632653.06122449</v>
      </c>
      <c r="H51" s="107"/>
      <c r="I51" s="107" t="str">
        <v>输入检查</v>
      </c>
      <c r="J51" s="108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  <v>参数有效</v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 t="n">
        <f>$D$8+1%</f>
        <v>0.91</v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 t="n">
        <f>MAX(0,$G$8)*MAX(0,$G$7)+MAX(0,$G$9)+MAX(0,$G$10)</f>
        <v>220</v>
      </c>
      <c r="E53" s="107"/>
      <c r="F53" s="107" t="str">
        <v>Creator Tax 上限</v>
      </c>
      <c r="G53" s="112" t="n">
        <f>10%</f>
        <v>0.1</v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 t="n">
        <f>1-$G$51/$D$45</f>
        <v>0.9183673469387755</v>
      </c>
      <c r="E54" s="107"/>
      <c r="F54" s="107" t="str">
        <v>价格采用方式</v>
      </c>
      <c r="G54" s="108" t="str">
        <f>IF($D$9&lt;&gt;"","手动覆盖","每日行情")</f>
        <v>每日行情</v>
      </c>
      <c r="H54" s="107"/>
      <c r="I54" s="107" t="str">
        <v>洗后持仓保留比例</v>
      </c>
      <c r="J54" s="112" t="n">
        <f>1</f>
        <v>1</v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 t="n">
        <f>IF($D$9&lt;&gt;"",IF(AND(ISNUMBER($D$9),$D$9&gt;0),$D$9,""),IF(VLOOKUP($D$7,'Quote参数'!$E$9:$S$63,15,FALSE)&gt;0,VLOOKUP($D$7,'Quote参数'!$E$9:$S$63,15,FALSE),""))</f>
        <v>1.0003961568781237</v>
      </c>
      <c r="E55" s="107"/>
      <c r="F55" s="107" t="str">
        <v>价格状态</v>
      </c>
      <c r="G55" s="108" t="str">
        <f>IF($D$9&lt;&gt;"",IF($D$55="","手动价格无效","手动价格"),IF($D$55="","缺少价格","每日行情"))</f>
        <v>每日行情</v>
      </c>
      <c r="H55" s="107"/>
      <c r="I55" s="107" t="str">
        <v>目标外盘 Pool TOKEN</v>
      </c>
      <c r="J55" s="108" t="n">
        <f>$G$48-MAX(0,($D$8-$G$43)*$D$45)</f>
        <v>18367346.93877548</v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 t="n">
        <f>IF(VLOOKUP($D$7,'Quote参数'!$E$9:$T$63,16,FALSE)=0,"",VLOOKUP($D$7,'Quote参数'!$E$9:$T$63,16,FALSE))</f>
        <v>46285.27349457176</v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 t="n">
        <f>$G$48-MAX(0,($D$27-$G$43)*$D$45)</f>
        <v>18367346.93877548</v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 t="n">
        <f>$D$45*(1-C59)</f>
        <v>1000000000</v>
      </c>
      <c r="E59" s="144" t="n">
        <f>$G$47/D59</f>
        <v>3236</v>
      </c>
      <c r="F59" s="135" t="n">
        <f>IF(OR(D59="",E59=""),"",E59/D59)</f>
        <v>0.000003236</v>
      </c>
      <c r="G59" s="135" t="n">
        <f>IF(OR($D$55="",NOT(ISNUMBER(F59))),"",F59*$D$55)</f>
        <v>0.0000032372819636576082</v>
      </c>
      <c r="H59" s="144" t="n">
        <f>IF(NOT(ISNUMBER(F59)),"",F59*$D$45)</f>
        <v>3236</v>
      </c>
      <c r="I59" s="144" t="n">
        <f>IF(OR($D$55="",NOT(ISNUMBER(H59))),"",H59*$D$55)</f>
        <v>3237.2819636576082</v>
      </c>
      <c r="J59" s="144" t="n">
        <f>0</f>
        <v>0</v>
      </c>
      <c r="K59" s="144" t="n">
        <f>J59/(1-$G$41-$J$7)</f>
        <v>0</v>
      </c>
      <c r="L59" s="147" t="n">
        <f>SUM($K$59:K59)</f>
        <v>0</v>
      </c>
    </row>
    <row r="60" ht="20" customHeight="1">
      <c r="A60"/>
      <c r="B60"/>
      <c r="C60" s="133" t="n">
        <v>0.1</v>
      </c>
      <c r="D60" s="145" t="n">
        <f>$D$45*(1-C60)</f>
        <v>900000000</v>
      </c>
      <c r="E60" s="145" t="n">
        <f>$G$47/D60</f>
        <v>3595.5555555555557</v>
      </c>
      <c r="F60" s="136" t="n">
        <f>IF(OR(D60="",E60=""),"",E60/D60)</f>
        <v>0.000003995061728395062</v>
      </c>
      <c r="G60" s="136" t="n">
        <f>IF(OR($D$55="",NOT(ISNUMBER(F60))),"",F60*$D$55)</f>
        <v>0.000003996644399577294</v>
      </c>
      <c r="H60" s="145" t="n">
        <f>IF(NOT(ISNUMBER(F60)),"",F60*$D$45)</f>
        <v>3995.0617283950623</v>
      </c>
      <c r="I60" s="145" t="n">
        <f>IF(OR($D$55="",NOT(ISNUMBER(H60))),"",H60*$D$55)</f>
        <v>3996.6443995772947</v>
      </c>
      <c r="J60" s="145" t="n">
        <f>E60-E59</f>
        <v>359.55555555555566</v>
      </c>
      <c r="K60" s="145" t="n">
        <f>J60/(1-$G$41-$J$7)</f>
        <v>363.18742985409665</v>
      </c>
      <c r="L60" s="148" t="n">
        <f>SUM($K$59:K60)</f>
        <v>363.18742985409665</v>
      </c>
    </row>
    <row r="61" ht="20" customHeight="1">
      <c r="A61"/>
      <c r="B61"/>
      <c r="C61" s="133" t="n">
        <v>0.2</v>
      </c>
      <c r="D61" s="145" t="n">
        <f>$D$45*(1-C61)</f>
        <v>800000000</v>
      </c>
      <c r="E61" s="145" t="n">
        <f>$G$47/D61</f>
        <v>4045</v>
      </c>
      <c r="F61" s="136" t="n">
        <f>IF(OR(D61="",E61=""),"",E61/D61)</f>
        <v>0.00000505625</v>
      </c>
      <c r="G61" s="136" t="n">
        <f>IF(OR($D$55="",NOT(ISNUMBER(F61))),"",F61*$D$55)</f>
        <v>0.0000050582530682150125</v>
      </c>
      <c r="H61" s="145" t="n">
        <f>IF(NOT(ISNUMBER(F61)),"",F61*$D$45)</f>
        <v>5056.25</v>
      </c>
      <c r="I61" s="145" t="n">
        <f>IF(OR($D$55="",NOT(ISNUMBER(H61))),"",H61*$D$55)</f>
        <v>5058.253068215013</v>
      </c>
      <c r="J61" s="145" t="n">
        <f>E61-E60</f>
        <v>449.44444444444434</v>
      </c>
      <c r="K61" s="145" t="n">
        <f>J61/(1-$G$41-$J$7)</f>
        <v>453.98428731762056</v>
      </c>
      <c r="L61" s="148" t="n">
        <f>SUM($K$59:K61)</f>
        <v>817.1717171717172</v>
      </c>
    </row>
    <row r="62" ht="20" customHeight="1">
      <c r="A62"/>
      <c r="B62"/>
      <c r="C62" s="133" t="n">
        <v>0.3</v>
      </c>
      <c r="D62" s="145" t="n">
        <f>$D$45*(1-C62)</f>
        <v>700000000</v>
      </c>
      <c r="E62" s="145" t="n">
        <f>$G$47/D62</f>
        <v>4622.857142857143</v>
      </c>
      <c r="F62" s="136" t="n">
        <f>IF(OR(D62="",E62=""),"",E62/D62)</f>
        <v>0.000006604081632653062</v>
      </c>
      <c r="G62" s="136" t="n">
        <f>IF(OR($D$55="",NOT(ISNUMBER(F62))),"",F62*$D$55)</f>
        <v>0.0000066066978850155274</v>
      </c>
      <c r="H62" s="145" t="n">
        <f>IF(NOT(ISNUMBER(F62)),"",F62*$D$45)</f>
        <v>6604.081632653062</v>
      </c>
      <c r="I62" s="145" t="n">
        <f>IF(OR($D$55="",NOT(ISNUMBER(H62))),"",H62*$D$55)</f>
        <v>6606.697885015527</v>
      </c>
      <c r="J62" s="145" t="n">
        <f>E62-E61</f>
        <v>577.8571428571431</v>
      </c>
      <c r="K62" s="145" t="n">
        <f>J62/(1-$G$41-$J$7)</f>
        <v>583.6940836940839</v>
      </c>
      <c r="L62" s="148" t="n">
        <f>SUM($K$59:K62)</f>
        <v>1400.8658008658012</v>
      </c>
    </row>
    <row r="63" ht="20" customHeight="1">
      <c r="A63"/>
      <c r="B63"/>
      <c r="C63" s="133" t="n">
        <v>0.4</v>
      </c>
      <c r="D63" s="145" t="n">
        <f>$D$45*(1-C63)</f>
        <v>600000000</v>
      </c>
      <c r="E63" s="145" t="n">
        <f>$G$47/D63</f>
        <v>5393.333333333333</v>
      </c>
      <c r="F63" s="136" t="n">
        <f>IF(OR(D63="",E63=""),"",E63/D63)</f>
        <v>0.000008988888888888889</v>
      </c>
      <c r="G63" s="136" t="n">
        <f>IF(OR($D$55="",NOT(ISNUMBER(F63))),"",F63*$D$55)</f>
        <v>0.000008992449899048911</v>
      </c>
      <c r="H63" s="145" t="n">
        <f>IF(NOT(ISNUMBER(F63)),"",F63*$D$45)</f>
        <v>8988.888888888889</v>
      </c>
      <c r="I63" s="145" t="n">
        <f>IF(OR($D$55="",NOT(ISNUMBER(H63))),"",H63*$D$55)</f>
        <v>8992.449899048912</v>
      </c>
      <c r="J63" s="145" t="n">
        <f>E63-E62</f>
        <v>770.4761904761899</v>
      </c>
      <c r="K63" s="145" t="n">
        <f>J63/(1-$G$41-$J$7)</f>
        <v>778.2587782587777</v>
      </c>
      <c r="L63" s="148" t="n">
        <f>SUM($K$59:K63)</f>
        <v>2179.124579124579</v>
      </c>
    </row>
    <row r="64" ht="20" customHeight="1">
      <c r="A64"/>
      <c r="B64"/>
      <c r="C64" s="133" t="n">
        <v>0.5</v>
      </c>
      <c r="D64" s="145" t="n">
        <f>$D$45*(1-C64)</f>
        <v>500000000</v>
      </c>
      <c r="E64" s="145" t="n">
        <f>$G$47/D64</f>
        <v>6472</v>
      </c>
      <c r="F64" s="136" t="n">
        <f>IF(OR(D64="",E64=""),"",E64/D64)</f>
        <v>0.000012944</v>
      </c>
      <c r="G64" s="136" t="n">
        <f>IF(OR($D$55="",NOT(ISNUMBER(F64))),"",F64*$D$55)</f>
        <v>0.000012949127854630433</v>
      </c>
      <c r="H64" s="145" t="n">
        <f>IF(NOT(ISNUMBER(F64)),"",F64*$D$45)</f>
        <v>12944</v>
      </c>
      <c r="I64" s="145" t="n">
        <f>IF(OR($D$55="",NOT(ISNUMBER(H64))),"",H64*$D$55)</f>
        <v>12949.127854630433</v>
      </c>
      <c r="J64" s="145" t="n">
        <f>E64-E63</f>
        <v>1078.666666666667</v>
      </c>
      <c r="K64" s="145" t="n">
        <f>J64/(1-$G$41-$J$7)</f>
        <v>1089.5622895622898</v>
      </c>
      <c r="L64" s="148" t="n">
        <f>SUM($K$59:K64)</f>
        <v>3268.6868686868693</v>
      </c>
    </row>
    <row r="65" ht="20" customHeight="1">
      <c r="A65"/>
      <c r="B65"/>
      <c r="C65" s="133" t="n">
        <v>0.6</v>
      </c>
      <c r="D65" s="145" t="n">
        <f>$D$45*(1-C65)</f>
        <v>400000000</v>
      </c>
      <c r="E65" s="145" t="n">
        <f>$G$47/D65</f>
        <v>8090</v>
      </c>
      <c r="F65" s="136" t="n">
        <f>IF(OR(D65="",E65=""),"",E65/D65)</f>
        <v>0.000020225</v>
      </c>
      <c r="G65" s="136" t="n">
        <f>IF(OR($D$55="",NOT(ISNUMBER(F65))),"",F65*$D$55)</f>
        <v>0.00002023301227286005</v>
      </c>
      <c r="H65" s="145" t="n">
        <f>IF(NOT(ISNUMBER(F65)),"",F65*$D$45)</f>
        <v>20225</v>
      </c>
      <c r="I65" s="145" t="n">
        <f>IF(OR($D$55="",NOT(ISNUMBER(H65))),"",H65*$D$55)</f>
        <v>20233.01227286005</v>
      </c>
      <c r="J65" s="145" t="n">
        <f>E65-E64</f>
        <v>1618</v>
      </c>
      <c r="K65" s="145" t="n">
        <f>J65/(1-$G$41-$J$7)</f>
        <v>1634.3434343434344</v>
      </c>
      <c r="L65" s="148" t="n">
        <f>SUM($K$59:K65)</f>
        <v>4903.030303030304</v>
      </c>
    </row>
    <row r="66" ht="20" customHeight="1">
      <c r="A66"/>
      <c r="B66"/>
      <c r="C66" s="133" t="n">
        <v>0.7</v>
      </c>
      <c r="D66" s="145" t="n">
        <f>$D$45*(1-C66)</f>
        <v>300000000.00000006</v>
      </c>
      <c r="E66" s="145" t="n">
        <f>$G$47/D66</f>
        <v>10786.666666666664</v>
      </c>
      <c r="F66" s="136" t="n">
        <f>IF(OR(D66="",E66=""),"",E66/D66)</f>
        <v>0.00003595555555555554</v>
      </c>
      <c r="G66" s="136" t="n">
        <f>IF(OR($D$55="",NOT(ISNUMBER(F66))),"",F66*$D$55)</f>
        <v>0.00003596979959619563</v>
      </c>
      <c r="H66" s="145" t="n">
        <f>IF(NOT(ISNUMBER(F66)),"",F66*$D$45)</f>
        <v>35955.55555555554</v>
      </c>
      <c r="I66" s="145" t="n">
        <f>IF(OR($D$55="",NOT(ISNUMBER(H66))),"",H66*$D$55)</f>
        <v>35969.79959619563</v>
      </c>
      <c r="J66" s="145" t="n">
        <f>E66-E65</f>
        <v>2696.6666666666642</v>
      </c>
      <c r="K66" s="145" t="n">
        <f>J66/(1-$G$41-$J$7)</f>
        <v>2723.9057239057215</v>
      </c>
      <c r="L66" s="148" t="n">
        <f>SUM($K$59:K66)</f>
        <v>7626.936026936026</v>
      </c>
    </row>
    <row r="67" ht="20" customHeight="1">
      <c r="A67"/>
      <c r="B67"/>
      <c r="C67" s="134" t="n">
        <f>$G$43</f>
        <v>0.7142857142857143</v>
      </c>
      <c r="D67" s="146" t="n">
        <f>$D$45*(1-C67)</f>
        <v>285714285.7142857</v>
      </c>
      <c r="E67" s="146" t="n">
        <f>$G$47/D67</f>
        <v>11326.000000000002</v>
      </c>
      <c r="F67" s="137" t="n">
        <f>IF(OR(D67="",E67=""),"",E67/D67)</f>
        <v>0.00003964100000000001</v>
      </c>
      <c r="G67" s="137" t="n">
        <f>IF(OR($D$55="",NOT(ISNUMBER(F67))),"",F67*$D$55)</f>
        <v>0.00003965670405480571</v>
      </c>
      <c r="H67" s="146" t="n">
        <f>IF(NOT(ISNUMBER(F67)),"",F67*$D$45)</f>
        <v>39641.00000000001</v>
      </c>
      <c r="I67" s="146" t="n">
        <f>IF(OR($D$55="",NOT(ISNUMBER(H67))),"",H67*$D$55)</f>
        <v>39656.704054805705</v>
      </c>
      <c r="J67" s="146" t="n">
        <f>E67-E66</f>
        <v>539.3333333333376</v>
      </c>
      <c r="K67" s="146" t="n">
        <f>J67/(1-$G$41-$J$7)</f>
        <v>544.7811447811491</v>
      </c>
      <c r="L67" s="149" t="n">
        <f>SUM($K$59:K67)</f>
        <v>8171.717171717175</v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 t="n">
        <f>$G$43</f>
        <v>0.7142857142857143</v>
      </c>
      <c r="D72" s="144" t="n">
        <f>$G$48</f>
        <v>204081632.6530612</v>
      </c>
      <c r="E72" s="144" t="n">
        <f>$G$44</f>
        <v>8090</v>
      </c>
      <c r="F72" s="135" t="n">
        <f>IF(OR(D72="",E72=""),"",E72/D72)</f>
        <v>0.000039641</v>
      </c>
      <c r="G72" s="135" t="n">
        <f>IF(OR($D$55="",NOT(ISNUMBER(F72))),"",F72*$D$55)</f>
        <v>0.0000396567040548057</v>
      </c>
      <c r="H72" s="144" t="n">
        <f>IF(NOT(ISNUMBER(F72)),"",F72*$D$45)</f>
        <v>39641</v>
      </c>
      <c r="I72" s="144" t="n">
        <f>IF(OR($D$55="",NOT(ISNUMBER(H72))),"",H72*$D$55)</f>
        <v>39656.7040548057</v>
      </c>
      <c r="J72" s="144" t="n">
        <f>0</f>
        <v>0</v>
      </c>
      <c r="K72" s="144" t="n">
        <f>0</f>
        <v>0</v>
      </c>
      <c r="L72" s="147" t="n">
        <f>$J$41</f>
        <v>8171.717171717171</v>
      </c>
    </row>
    <row r="73" ht="20" customHeight="1">
      <c r="A73"/>
      <c r="B73"/>
      <c r="C73" s="133" t="n">
        <v>0.75</v>
      </c>
      <c r="D73" s="145" t="n">
        <f>IF(C73&lt;$D$54,$D$45*(1-C73)-$G$51,"")</f>
        <v>168367346.9387755</v>
      </c>
      <c r="E73" s="145" t="n">
        <f>IF(D73="","",$G$50/D73)</f>
        <v>9806.060606060604</v>
      </c>
      <c r="F73" s="136" t="n">
        <f>IF(OR(D73="",E73=""),"",E73/D73)</f>
        <v>0.000058242056932966014</v>
      </c>
      <c r="G73" s="136" t="n">
        <f>IF(OR($D$55="",NOT(ISNUMBER(F73))),"",F73*$D$55)</f>
        <v>0.00005826512992441608</v>
      </c>
      <c r="H73" s="145" t="n">
        <f>IF(NOT(ISNUMBER(F73)),"",F73*$D$45)</f>
        <v>58242.056932966014</v>
      </c>
      <c r="I73" s="145" t="n">
        <f>IF(OR($D$55="",NOT(ISNUMBER(H73))),"",H73*$D$55)</f>
        <v>58265.12992441608</v>
      </c>
      <c r="J73" s="145" t="n">
        <f>IF(E73="","",MAX(0,E73-$G$44))</f>
        <v>1716.0606060606042</v>
      </c>
      <c r="K73" s="145" t="n">
        <f>IF(D73="","",MAX(0,$G$50/D73-$G$44)/MAX(0.000000001,1-$G$42-$J$7))</f>
        <v>1733.3945515763678</v>
      </c>
      <c r="L73" s="148" t="n">
        <f>IF(K73="","",$J$41+K73)</f>
        <v>9905.11172329354</v>
      </c>
    </row>
    <row r="74" ht="20" customHeight="1">
      <c r="A74"/>
      <c r="B74"/>
      <c r="C74" s="133" t="n">
        <v>0.8</v>
      </c>
      <c r="D74" s="145" t="n">
        <f>IF(C74&lt;$D$54,$D$45*(1-C74)-$G$51,"")</f>
        <v>118367346.93877548</v>
      </c>
      <c r="E74" s="145" t="n">
        <f>IF(D74="","",$G$50/D74)</f>
        <v>13948.275862068967</v>
      </c>
      <c r="F74" s="136" t="n">
        <f>IF(OR(D74="",E74=""),"",E74/D74)</f>
        <v>0.00011783888228299648</v>
      </c>
      <c r="G74" s="136" t="n">
        <f>IF(OR($D$55="",NOT(ISNUMBER(F74))),"",F74*$D$55)</f>
        <v>0.0001178855649667233</v>
      </c>
      <c r="H74" s="145" t="n">
        <f>IF(NOT(ISNUMBER(F74)),"",F74*$D$45)</f>
        <v>117838.88228299648</v>
      </c>
      <c r="I74" s="145" t="n">
        <f>IF(OR($D$55="",NOT(ISNUMBER(H74))),"",H74*$D$55)</f>
        <v>117885.5649667233</v>
      </c>
      <c r="J74" s="145" t="n">
        <f>IF(E74="","",MAX(0,E74-$G$44))</f>
        <v>5858.275862068967</v>
      </c>
      <c r="K74" s="145" t="n">
        <f>IF(D74="","",MAX(0,$G$50/D74-$G$44)/MAX(0.000000001,1-$G$42-$J$7))</f>
        <v>5917.450365726229</v>
      </c>
      <c r="L74" s="148" t="n">
        <f>IF(K74="","",$J$41+K74)</f>
        <v>14089.167537443402</v>
      </c>
    </row>
    <row r="75" ht="20" customHeight="1">
      <c r="A75"/>
      <c r="B75"/>
      <c r="C75" s="133" t="n">
        <v>0.82</v>
      </c>
      <c r="D75" s="145" t="n">
        <f>IF(C75&lt;$D$54,$D$45*(1-C75)-$G$51,"")</f>
        <v>98367346.93877557</v>
      </c>
      <c r="E75" s="145" t="n">
        <f>IF(D75="","",$G$50/D75)</f>
        <v>16784.232365145217</v>
      </c>
      <c r="F75" s="136" t="n">
        <f>IF(OR(D75="",E75=""),"",E75/D75)</f>
        <v>0.00017062808835935998</v>
      </c>
      <c r="G75" s="136" t="n">
        <f>IF(OR($D$55="",NOT(ISNUMBER(F75))),"",F75*$D$55)</f>
        <v>0.00017069568385016462</v>
      </c>
      <c r="H75" s="145" t="n">
        <f>IF(NOT(ISNUMBER(F75)),"",F75*$D$45)</f>
        <v>170628.08835935997</v>
      </c>
      <c r="I75" s="145" t="n">
        <f>IF(OR($D$55="",NOT(ISNUMBER(H75))),"",H75*$D$55)</f>
        <v>170695.6838501646</v>
      </c>
      <c r="J75" s="145" t="n">
        <f>IF(E75="","",MAX(0,E75-$G$44))</f>
        <v>8694.232365145217</v>
      </c>
      <c r="K75" s="145" t="n">
        <f>IF(D75="","",MAX(0,$G$50/D75-$G$44)/MAX(0.000000001,1-$G$42-$J$7))</f>
        <v>8782.052894086079</v>
      </c>
      <c r="L75" s="148" t="n">
        <f>IF(K75="","",$J$41+K75)</f>
        <v>16953.770065803248</v>
      </c>
    </row>
    <row r="76" ht="20" customHeight="1">
      <c r="A76"/>
      <c r="B76"/>
      <c r="C76" s="133" t="n">
        <v>0.84</v>
      </c>
      <c r="D76" s="145" t="n">
        <f>IF(C76&lt;$D$54,$D$45*(1-C76)-$G$51,"")</f>
        <v>78367346.93877554</v>
      </c>
      <c r="E76" s="145" t="n">
        <f>IF(D76="","",$G$50/D76)</f>
        <v>21067.708333333325</v>
      </c>
      <c r="F76" s="136" t="n">
        <f>IF(OR(D76="",E76=""),"",E76/D76)</f>
        <v>0.00026883273654513867</v>
      </c>
      <c r="G76" s="136" t="n">
        <f>IF(OR($D$55="",NOT(ISNUMBER(F76))),"",F76*$D$55)</f>
        <v>0.0002689392364827858</v>
      </c>
      <c r="H76" s="145" t="n">
        <f>IF(NOT(ISNUMBER(F76)),"",F76*$D$45)</f>
        <v>268832.73654513864</v>
      </c>
      <c r="I76" s="145" t="n">
        <f>IF(OR($D$55="",NOT(ISNUMBER(H76))),"",H76*$D$55)</f>
        <v>268939.2364827858</v>
      </c>
      <c r="J76" s="145" t="n">
        <f>IF(E76="","",MAX(0,E76-$G$44))</f>
        <v>12977.708333333325</v>
      </c>
      <c r="K76" s="145" t="n">
        <f>IF(D76="","",MAX(0,$G$50/D76-$G$44)/MAX(0.000000001,1-$G$42-$J$7))</f>
        <v>13108.796296296288</v>
      </c>
      <c r="L76" s="148" t="n">
        <f>IF(K76="","",$J$41+K76)</f>
        <v>21280.513468013458</v>
      </c>
    </row>
    <row r="77" ht="20" customHeight="1">
      <c r="A77"/>
      <c r="B77"/>
      <c r="C77" s="133" t="n">
        <v>0.86</v>
      </c>
      <c r="D77" s="145" t="n">
        <f>IF(C77&lt;$D$54,$D$45*(1-C77)-$G$51,"")</f>
        <v>58367346.93877551</v>
      </c>
      <c r="E77" s="145" t="n">
        <f>IF(D77="","",$G$50/D77)</f>
        <v>28286.713286713286</v>
      </c>
      <c r="F77" s="136" t="n">
        <f>IF(OR(D77="",E77=""),"",E77/D77)</f>
        <v>0.0004846325003667661</v>
      </c>
      <c r="G77" s="136" t="n">
        <f>IF(OR($D$55="",NOT(ISNUMBER(F77))),"",F77*$D$55)</f>
        <v>0.0004848244908651487</v>
      </c>
      <c r="H77" s="145" t="n">
        <f>IF(NOT(ISNUMBER(F77)),"",F77*$D$45)</f>
        <v>484632.5003667661</v>
      </c>
      <c r="I77" s="145" t="n">
        <f>IF(OR($D$55="",NOT(ISNUMBER(H77))),"",H77*$D$55)</f>
        <v>484824.49086514866</v>
      </c>
      <c r="J77" s="145" t="n">
        <f>IF(E77="","",MAX(0,E77-$G$44))</f>
        <v>20196.713286713286</v>
      </c>
      <c r="K77" s="145" t="n">
        <f>IF(D77="","",MAX(0,$G$50/D77-$G$44)/MAX(0.000000001,1-$G$42-$J$7))</f>
        <v>20400.72049162958</v>
      </c>
      <c r="L77" s="148" t="n">
        <f>IF(K77="","",$J$41+K77)</f>
        <v>28572.437663346755</v>
      </c>
    </row>
    <row r="78" ht="20" customHeight="1">
      <c r="A78"/>
      <c r="B78"/>
      <c r="C78" s="133" t="n">
        <v>0.88</v>
      </c>
      <c r="D78" s="145" t="n">
        <f>IF(C78&lt;$D$54,$D$45*(1-C78)-$G$51,"")</f>
        <v>38367346.93877551</v>
      </c>
      <c r="E78" s="145" t="n">
        <f>IF(D78="","",$G$50/D78)</f>
        <v>43031.91489361702</v>
      </c>
      <c r="F78" s="136" t="n">
        <f>IF(OR(D78="",E78=""),"",E78/D78)</f>
        <v>0.0011215765052059754</v>
      </c>
      <c r="G78" s="136" t="n">
        <f>IF(OR($D$55="",NOT(ISNUMBER(F78))),"",F78*$D$55)</f>
        <v>0.0011220208254528546</v>
      </c>
      <c r="H78" s="145" t="n">
        <f>IF(NOT(ISNUMBER(F78)),"",F78*$D$45)</f>
        <v>1121576.5052059754</v>
      </c>
      <c r="I78" s="145" t="n">
        <f>IF(OR($D$55="",NOT(ISNUMBER(H78))),"",H78*$D$55)</f>
        <v>1122020.8254528546</v>
      </c>
      <c r="J78" s="145" t="n">
        <f>IF(E78="","",MAX(0,E78-$G$44))</f>
        <v>34941.91489361702</v>
      </c>
      <c r="K78" s="145" t="n">
        <f>IF(D78="","",MAX(0,$G$50/D78-$G$44)/MAX(0.000000001,1-$G$42-$J$7))</f>
        <v>35294.86352890608</v>
      </c>
      <c r="L78" s="148" t="n">
        <f>IF(K78="","",$J$41+K78)</f>
        <v>43466.58070062325</v>
      </c>
    </row>
    <row r="79" ht="20" customHeight="1">
      <c r="A79"/>
      <c r="B79"/>
      <c r="C79" s="133" t="n">
        <v>0.89</v>
      </c>
      <c r="D79" s="145" t="n">
        <f>IF(C79&lt;$D$54,$D$45*(1-C79)-$G$51,"")</f>
        <v>28367346.938775495</v>
      </c>
      <c r="E79" s="145" t="n">
        <f>IF(D79="","",$G$50/D79)</f>
        <v>58201.43884892089</v>
      </c>
      <c r="F79" s="136" t="n">
        <f>IF(OR(D79="",E79=""),"",E79/D79)</f>
        <v>0.002051705398271313</v>
      </c>
      <c r="G79" s="136" t="n">
        <f>IF(OR($D$55="",NOT(ISNUMBER(F79))),"",F79*$D$55)</f>
        <v>0.0020525181954767218</v>
      </c>
      <c r="H79" s="145" t="n">
        <f>IF(NOT(ISNUMBER(F79)),"",F79*$D$45)</f>
        <v>2051705.3982713132</v>
      </c>
      <c r="I79" s="145" t="n">
        <f>IF(OR($D$55="",NOT(ISNUMBER(H79))),"",H79*$D$55)</f>
        <v>2052518.1954767217</v>
      </c>
      <c r="J79" s="145" t="n">
        <f>IF(E79="","",MAX(0,E79-$G$44))</f>
        <v>50111.43884892089</v>
      </c>
      <c r="K79" s="145" t="n">
        <f>IF(D79="","",MAX(0,$G$50/D79-$G$44)/MAX(0.000000001,1-$G$42-$J$7))</f>
        <v>50617.61499890999</v>
      </c>
      <c r="L79" s="148" t="n">
        <f>IF(K79="","",$J$41+K79)</f>
        <v>58789.33217062716</v>
      </c>
    </row>
    <row r="80" ht="20" customHeight="1">
      <c r="A80"/>
      <c r="B80"/>
      <c r="C80" s="133" t="n">
        <v>0.9</v>
      </c>
      <c r="D80" s="145" t="n">
        <f>IF(C80&lt;$D$54,$D$45*(1-C80)-$G$51,"")</f>
        <v>18367346.938775495</v>
      </c>
      <c r="E80" s="145" t="n">
        <f>IF(D80="","",$G$50/D80)</f>
        <v>89888.88888888895</v>
      </c>
      <c r="F80" s="136" t="n">
        <f>IF(OR(D80="",E80=""),"",E80/D80)</f>
        <v>0.004893950617283958</v>
      </c>
      <c r="G80" s="136" t="n">
        <f>IF(OR($D$55="",NOT(ISNUMBER(F80))),"",F80*$D$55)</f>
        <v>0.004895889389482193</v>
      </c>
      <c r="H80" s="145" t="n">
        <f>IF(NOT(ISNUMBER(F80)),"",F80*$D$45)</f>
        <v>4893950.617283958</v>
      </c>
      <c r="I80" s="145" t="n">
        <f>IF(OR($D$55="",NOT(ISNUMBER(H80))),"",H80*$D$55)</f>
        <v>4895889.389482193</v>
      </c>
      <c r="J80" s="145" t="n">
        <f>IF(E80="","",MAX(0,E80-$G$44))</f>
        <v>81798.88888888895</v>
      </c>
      <c r="K80" s="145" t="n">
        <f>IF(D80="","",MAX(0,$G$50/D80-$G$44)/MAX(0.000000001,1-$G$42-$J$7))</f>
        <v>82625.14029180702</v>
      </c>
      <c r="L80" s="148" t="n">
        <f>IF(K80="","",$J$41+K80)</f>
        <v>90796.8574635242</v>
      </c>
    </row>
    <row r="81" ht="20" customHeight="1">
      <c r="A81"/>
      <c r="B81"/>
      <c r="C81" s="133" t="n">
        <v>0.905</v>
      </c>
      <c r="D81" s="145" t="n">
        <f>IF(C81&lt;$D$54,$D$45*(1-C81)-$G$51,"")</f>
        <v>13367346.93877548</v>
      </c>
      <c r="E81" s="145" t="n">
        <f>IF(D81="","",$G$50/D81)</f>
        <v>123511.45038167966</v>
      </c>
      <c r="F81" s="136" t="n">
        <f>IF(OR(D81="",E81=""),"",E81/D81)</f>
        <v>0.009239787891148576</v>
      </c>
      <c r="G81" s="136" t="n">
        <f>IF(OR($D$55="",NOT(ISNUMBER(F81))),"",F81*$D$55)</f>
        <v>0.009243448296674058</v>
      </c>
      <c r="H81" s="145" t="n">
        <f>IF(NOT(ISNUMBER(F81)),"",F81*$D$45)</f>
        <v>9239787.891148577</v>
      </c>
      <c r="I81" s="145" t="n">
        <f>IF(OR($D$55="",NOT(ISNUMBER(H81))),"",H81*$D$55)</f>
        <v>9243448.29667406</v>
      </c>
      <c r="J81" s="145" t="n">
        <f>IF(E81="","",MAX(0,E81-$G$44))</f>
        <v>115421.45038167966</v>
      </c>
      <c r="K81" s="145" t="n">
        <f>IF(D81="","",MAX(0,$G$50/D81-$G$44)/MAX(0.000000001,1-$G$42-$J$7))</f>
        <v>116587.32361785824</v>
      </c>
      <c r="L81" s="148" t="n">
        <f>IF(K81="","",$J$41+K81)</f>
        <v>124759.04078957542</v>
      </c>
    </row>
    <row r="82" ht="20" customHeight="1">
      <c r="A82"/>
      <c r="B82"/>
      <c r="C82" s="133" t="n">
        <v>0.91</v>
      </c>
      <c r="D82" s="145" t="n">
        <f>IF(C82&lt;$D$54,$D$45*(1-C82)-$G$51,"")</f>
        <v>8367346.93877548</v>
      </c>
      <c r="E82" s="145" t="n">
        <f>IF(D82="","",$G$50/D82)</f>
        <v>197317.07317073242</v>
      </c>
      <c r="F82" s="136" t="n">
        <f>IF(OR(D82="",E82=""),"",E82/D82)</f>
        <v>0.023581796549672983</v>
      </c>
      <c r="G82" s="136" t="n">
        <f>IF(OR($D$55="",NOT(ISNUMBER(F82))),"",F82*$D$55)</f>
        <v>0.02359113864057465</v>
      </c>
      <c r="H82" s="145" t="n">
        <f>IF(NOT(ISNUMBER(F82)),"",F82*$D$45)</f>
        <v>23581796.549672984</v>
      </c>
      <c r="I82" s="145" t="n">
        <f>IF(OR($D$55="",NOT(ISNUMBER(H82))),"",H82*$D$55)</f>
        <v>23591138.64057465</v>
      </c>
      <c r="J82" s="145" t="n">
        <f>IF(E82="","",MAX(0,E82-$G$44))</f>
        <v>189227.07317073242</v>
      </c>
      <c r="K82" s="145" t="n">
        <f>IF(D82="","",MAX(0,$G$50/D82-$G$44)/MAX(0.000000001,1-$G$42-$J$7))</f>
        <v>191138.45774821457</v>
      </c>
      <c r="L82" s="148" t="n">
        <f>IF(K82="","",$J$41+K82)</f>
        <v>199310.17491993174</v>
      </c>
    </row>
    <row r="83" ht="20" customHeight="1">
      <c r="A83"/>
      <c r="B83"/>
      <c r="C83" s="133" t="n">
        <v>0.915</v>
      </c>
      <c r="D83" s="145" t="n">
        <f>IF(C83&lt;$D$54,$D$45*(1-C83)-$G$51,"")</f>
        <v>3367346.93877548</v>
      </c>
      <c r="E83" s="145" t="n">
        <f>IF(D83="","",$G$50/D83)</f>
        <v>490303.0303030347</v>
      </c>
      <c r="F83" s="136" t="n">
        <f>IF(OR(D83="",E83=""),"",E83/D83)</f>
        <v>0.14560514233241767</v>
      </c>
      <c r="G83" s="136" t="n">
        <f>IF(OR($D$55="",NOT(ISNUMBER(F83))),"",F83*$D$55)</f>
        <v>0.14566282481104284</v>
      </c>
      <c r="H83" s="145" t="n">
        <f>IF(NOT(ISNUMBER(F83)),"",F83*$D$45)</f>
        <v>145605142.33241767</v>
      </c>
      <c r="I83" s="145" t="n">
        <f>IF(OR($D$55="",NOT(ISNUMBER(H83))),"",H83*$D$55)</f>
        <v>145662824.81104282</v>
      </c>
      <c r="J83" s="145" t="n">
        <f>IF(E83="","",MAX(0,E83-$G$44))</f>
        <v>482213.0303030347</v>
      </c>
      <c r="K83" s="145" t="n">
        <f>IF(D83="","",MAX(0,$G$50/D83-$G$44)/MAX(0.000000001,1-$G$42-$J$7))</f>
        <v>487083.86899296433</v>
      </c>
      <c r="L83" s="148" t="n">
        <f>IF(K83="","",$J$41+K83)</f>
        <v>495255.5861646815</v>
      </c>
    </row>
    <row r="84" ht="20" customHeight="1">
      <c r="A84"/>
      <c r="B84"/>
      <c r="C84" s="133" t="n">
        <v>0.918</v>
      </c>
      <c r="D84" s="145" t="n">
        <f>IF(C84&lt;$D$54,$D$45*(1-C84)-$G$51,"")</f>
        <v>367346.9387754649</v>
      </c>
      <c r="E84" s="145" t="n">
        <f>IF(D84="","",$G$50/D84)</f>
        <v>4494444.444444998</v>
      </c>
      <c r="F84" s="136" t="n">
        <f>IF(OR(D84="",E84=""),"",E84/D84)</f>
        <v>12.234876543212893</v>
      </c>
      <c r="G84" s="136" t="n">
        <f>IF(OR($D$55="",NOT(ISNUMBER(F84))),"",F84*$D$55)</f>
        <v>12.23972347370848</v>
      </c>
      <c r="H84" s="145" t="n">
        <f>IF(NOT(ISNUMBER(F84)),"",F84*$D$45)</f>
        <v>12234876543.212893</v>
      </c>
      <c r="I84" s="145" t="n">
        <f>IF(OR($D$55="",NOT(ISNUMBER(H84))),"",H84*$D$55)</f>
        <v>12239723473.70848</v>
      </c>
      <c r="J84" s="145" t="n">
        <f>IF(E84="","",MAX(0,E84-$G$44))</f>
        <v>4486354.444444998</v>
      </c>
      <c r="K84" s="145" t="n">
        <f>IF(D84="","",MAX(0,$G$50/D84-$G$44)/MAX(0.000000001,1-$G$42-$J$7))</f>
        <v>4531671.156005049</v>
      </c>
      <c r="L84" s="148" t="n">
        <f>IF(K84="","",$J$41+K84)</f>
        <v>4539842.873176767</v>
      </c>
    </row>
    <row r="85" ht="20" customHeight="1">
      <c r="A85"/>
      <c r="B85"/>
      <c r="C85" s="134" t="n">
        <v>0.9183673469387755</v>
      </c>
      <c r="D85" s="146" t="str">
        <f>IF(C85&lt;$D$54,$D$45*(1-C85)-$G$51,"")</f>
      </c>
      <c r="E85" s="146" t="str">
        <f>IF(D85="","",$G$50/D85)</f>
      </c>
      <c r="F85" s="137" t="str">
        <f>IF(OR(D85="",E85=""),"",E85/D85)</f>
      </c>
      <c r="G85" s="137" t="str">
        <f>IF(OR($D$55="",NOT(ISNUMBER(F85))),"",F85*$D$55)</f>
      </c>
      <c r="H85" s="146" t="str">
        <f>IF(NOT(ISNUMBER(F85)),"",F85*$D$45)</f>
      </c>
      <c r="I85" s="146" t="str">
        <f>IF(OR($D$55="",NOT(ISNUMBER(H85))),"",H85*$D$55)</f>
      </c>
      <c r="J85" s="146" t="str">
        <f>IF(E85="","",MAX(0,E85-$G$44))</f>
      </c>
      <c r="K85" s="146" t="str">
        <f>IF(D85="","",MAX(0,$G$50/D85-$G$44)/MAX(0.000000001,1-$G$42-$J$7))</f>
      </c>
      <c r="L85" s="149" t="str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 t="n">
        <f>$D$45*(1-C90)-$G$51</f>
        <v>204081632.65306118</v>
      </c>
      <c r="E90" s="144" t="n">
        <f>$G$50/D90</f>
        <v>8090.000000000001</v>
      </c>
      <c r="F90" s="135" t="n">
        <f>IF(OR(D90="",E90=""),"",E90/D90)</f>
        <v>0.000039641000000000016</v>
      </c>
      <c r="G90" s="135" t="n">
        <f>IF(OR($D$55="",NOT(ISNUMBER(F90))),"",F90*$D$55)</f>
        <v>0.000039656704054805715</v>
      </c>
      <c r="H90" s="144" t="n">
        <f>IF(NOT(ISNUMBER(F90)),"",F90*$D$45)</f>
        <v>39641.000000000015</v>
      </c>
      <c r="I90" s="144" t="n">
        <f>IF(OR($D$55="",NOT(ISNUMBER(H90))),"",H90*$D$55)</f>
        <v>39656.70405480571</v>
      </c>
      <c r="J90" s="132" t="n">
        <f>IF($H$90&gt;0,1-H90/$H$90,0)</f>
        <v>0</v>
      </c>
      <c r="K90" s="129"/>
      <c r="L90" s="129"/>
    </row>
    <row r="91" ht="20" customHeight="1">
      <c r="A91"/>
      <c r="B91"/>
      <c r="C91" s="133" t="n">
        <v>0.7</v>
      </c>
      <c r="D91" s="145" t="n">
        <f>$D$45*(1-C91)-$G$51</f>
        <v>218367346.93877557</v>
      </c>
      <c r="E91" s="145" t="n">
        <f>$G$50/D91</f>
        <v>7560.7476635513995</v>
      </c>
      <c r="F91" s="136" t="n">
        <f>IF(OR(D91="",E91=""),"",E91/D91)</f>
        <v>0.000034623984627478364</v>
      </c>
      <c r="G91" s="136" t="n">
        <f>IF(OR($D$55="",NOT(ISNUMBER(F91))),"",F91*$D$55)</f>
        <v>0.00003463770115713659</v>
      </c>
      <c r="H91" s="145" t="n">
        <f>IF(NOT(ISNUMBER(F91)),"",F91*$D$45)</f>
        <v>34623.98462747836</v>
      </c>
      <c r="I91" s="145" t="n">
        <f>IF(OR($D$55="",NOT(ISNUMBER(H91))),"",H91*$D$55)</f>
        <v>34637.70115713659</v>
      </c>
      <c r="J91" s="133" t="n">
        <f>IF($H$90&gt;0,1-H91/$H$90,0)</f>
        <v>0.12656127172678922</v>
      </c>
      <c r="K91" s="130"/>
      <c r="L91" s="130"/>
    </row>
    <row r="92" ht="20" customHeight="1">
      <c r="A92"/>
      <c r="B92"/>
      <c r="C92" s="133" t="n">
        <v>0.6</v>
      </c>
      <c r="D92" s="145" t="n">
        <f>$D$45*(1-C92)-$G$51</f>
        <v>318367346.93877554</v>
      </c>
      <c r="E92" s="145" t="n">
        <f>$G$50/D92</f>
        <v>5185.897435897435</v>
      </c>
      <c r="F92" s="136" t="n">
        <f>IF(OR(D92="",E92=""),"",E92/D92)</f>
        <v>0.000016289036817882967</v>
      </c>
      <c r="G92" s="136" t="n">
        <f>IF(OR($D$55="",NOT(ISNUMBER(F92))),"",F92*$D$55)</f>
        <v>0.00001629548983185638</v>
      </c>
      <c r="H92" s="145" t="n">
        <f>IF(NOT(ISNUMBER(F92)),"",F92*$D$45)</f>
        <v>16289.036817882967</v>
      </c>
      <c r="I92" s="145" t="n">
        <f>IF(OR($D$55="",NOT(ISNUMBER(H92))),"",H92*$D$55)</f>
        <v>16295.489831856381</v>
      </c>
      <c r="J92" s="133" t="n">
        <f>IF($H$90&gt;0,1-H92/$H$90,0)</f>
        <v>0.5890861275476662</v>
      </c>
      <c r="K92" s="130"/>
      <c r="L92" s="130"/>
    </row>
    <row r="93" ht="20" customHeight="1">
      <c r="A93"/>
      <c r="B93"/>
      <c r="C93" s="133" t="n">
        <v>0.5</v>
      </c>
      <c r="D93" s="145" t="n">
        <f>$D$45*(1-C93)-$G$51</f>
        <v>418367346.93877554</v>
      </c>
      <c r="E93" s="145" t="n">
        <f>$G$50/D93</f>
        <v>3946.3414634146334</v>
      </c>
      <c r="F93" s="136" t="n">
        <f>IF(OR(D93="",E93=""),"",E93/D93)</f>
        <v>0.000009432718619869124</v>
      </c>
      <c r="G93" s="136" t="n">
        <f>IF(OR($D$55="",NOT(ISNUMBER(F93))),"",F93*$D$55)</f>
        <v>0.00000943645545622979</v>
      </c>
      <c r="H93" s="145" t="n">
        <f>IF(NOT(ISNUMBER(F93)),"",F93*$D$45)</f>
        <v>9432.718619869123</v>
      </c>
      <c r="I93" s="145" t="n">
        <f>IF(OR($D$55="",NOT(ISNUMBER(H93))),"",H93*$D$55)</f>
        <v>9436.455456229789</v>
      </c>
      <c r="J93" s="133" t="n">
        <f>IF($H$90&gt;0,1-H93/$H$90,0)</f>
        <v>0.7620464009518145</v>
      </c>
      <c r="K93" s="130"/>
      <c r="L93" s="130"/>
    </row>
    <row r="94" ht="20" customHeight="1">
      <c r="A94"/>
      <c r="B94"/>
      <c r="C94" s="133" t="n">
        <v>0.4</v>
      </c>
      <c r="D94" s="145" t="n">
        <f>$D$45*(1-C94)-$G$51</f>
        <v>518367346.93877554</v>
      </c>
      <c r="E94" s="145" t="n">
        <f>$G$50/D94</f>
        <v>3185.0393700787395</v>
      </c>
      <c r="F94" s="136" t="n">
        <f>IF(OR(D94="",E94=""),"",E94/D94)</f>
        <v>0.000006144367288734576</v>
      </c>
      <c r="G94" s="136" t="n">
        <f>IF(OR($D$55="",NOT(ISNUMBER(F94))),"",F94*$D$55)</f>
        <v>0.000006146801422097726</v>
      </c>
      <c r="H94" s="145" t="n">
        <f>IF(NOT(ISNUMBER(F94)),"",F94*$D$45)</f>
        <v>6144.367288734576</v>
      </c>
      <c r="I94" s="145" t="n">
        <f>IF(OR($D$55="",NOT(ISNUMBER(H94))),"",H94*$D$55)</f>
        <v>6146.801422097726</v>
      </c>
      <c r="J94" s="133" t="n">
        <f>IF($H$90&gt;0,1-H94/$H$90,0)</f>
        <v>0.8449996899993801</v>
      </c>
      <c r="K94" s="130"/>
      <c r="L94" s="130"/>
    </row>
    <row r="95" ht="20" customHeight="1">
      <c r="A95"/>
      <c r="B95"/>
      <c r="C95" s="133" t="n">
        <v>0.3</v>
      </c>
      <c r="D95" s="145" t="n">
        <f>$D$45*(1-C95)-$G$51</f>
        <v>618367346.9387755</v>
      </c>
      <c r="E95" s="145" t="n">
        <f>$G$50/D95</f>
        <v>2669.9669966996694</v>
      </c>
      <c r="F95" s="136" t="n">
        <f>IF(OR(D95="",E95=""),"",E95/D95)</f>
        <v>0.000004317768410504416</v>
      </c>
      <c r="G95" s="136" t="n">
        <f>IF(OR($D$55="",NOT(ISNUMBER(F95))),"",F95*$D$55)</f>
        <v>0.000004319478924158382</v>
      </c>
      <c r="H95" s="145" t="n">
        <f>IF(NOT(ISNUMBER(F95)),"",F95*$D$45)</f>
        <v>4317.768410504415</v>
      </c>
      <c r="I95" s="145" t="n">
        <f>IF(OR($D$55="",NOT(ISNUMBER(H95))),"",H95*$D$55)</f>
        <v>4319.478924158382</v>
      </c>
      <c r="J95" s="133" t="n">
        <f>IF($H$90&gt;0,1-H95/$H$90,0)</f>
        <v>0.8910782167325644</v>
      </c>
      <c r="K95" s="130"/>
      <c r="L95" s="130"/>
    </row>
    <row r="96" ht="20" customHeight="1">
      <c r="A96"/>
      <c r="B96"/>
      <c r="C96" s="133" t="n">
        <v>0.2</v>
      </c>
      <c r="D96" s="145" t="n">
        <f>$D$45*(1-C96)-$G$51</f>
        <v>718367346.9387755</v>
      </c>
      <c r="E96" s="145" t="n">
        <f>$G$50/D96</f>
        <v>2298.295454545454</v>
      </c>
      <c r="F96" s="136" t="n">
        <f>IF(OR(D96="",E96=""),"",E96/D96)</f>
        <v>0.0000031993317407024787</v>
      </c>
      <c r="G96" s="136" t="n">
        <f>IF(OR($D$55="",NOT(ISNUMBER(F96))),"",F96*$D$55)</f>
        <v>0.0000032005991779769574</v>
      </c>
      <c r="H96" s="145" t="n">
        <f>IF(NOT(ISNUMBER(F96)),"",F96*$D$45)</f>
        <v>3199.331740702479</v>
      </c>
      <c r="I96" s="145" t="n">
        <f>IF(OR($D$55="",NOT(ISNUMBER(H96))),"",H96*$D$55)</f>
        <v>3200.5991779769574</v>
      </c>
      <c r="J96" s="133" t="n">
        <f>IF($H$90&gt;0,1-H96/$H$90,0)</f>
        <v>0.9192923553719009</v>
      </c>
      <c r="K96" s="130"/>
      <c r="L96" s="130"/>
    </row>
    <row r="97" ht="20" customHeight="1">
      <c r="A97"/>
      <c r="B97"/>
      <c r="C97" s="133" t="n">
        <v>0.1</v>
      </c>
      <c r="D97" s="145" t="n">
        <f>$D$45*(1-C97)-$G$51</f>
        <v>818367346.9387755</v>
      </c>
      <c r="E97" s="145" t="n">
        <f>$G$50/D97</f>
        <v>2017.456359102244</v>
      </c>
      <c r="F97" s="136" t="n">
        <f>IF(OR(D97="",E97=""),"",E97/D97)</f>
        <v>0.0000024652209874316697</v>
      </c>
      <c r="G97" s="136" t="n">
        <f>IF(OR($D$55="",NOT(ISNUMBER(F97))),"",F97*$D$55)</f>
        <v>0.0000024661976016819355</v>
      </c>
      <c r="H97" s="145" t="n">
        <f>IF(NOT(ISNUMBER(F97)),"",F97*$D$45)</f>
        <v>2465.2209874316695</v>
      </c>
      <c r="I97" s="145" t="n">
        <f>IF(OR($D$55="",NOT(ISNUMBER(H97))),"",H97*$D$55)</f>
        <v>2466.1976016819353</v>
      </c>
      <c r="J97" s="133" t="n">
        <f>IF($H$90&gt;0,1-H97/$H$90,0)</f>
        <v>0.9378113320190795</v>
      </c>
      <c r="K97" s="130"/>
      <c r="L97" s="130"/>
    </row>
    <row r="98" ht="20" customHeight="1">
      <c r="A98"/>
      <c r="B98"/>
      <c r="C98" s="134" t="n">
        <v>0</v>
      </c>
      <c r="D98" s="146" t="n">
        <f>$D$45*(1-C98)-$G$51</f>
        <v>918367346.9387755</v>
      </c>
      <c r="E98" s="146" t="n">
        <f>$G$50/D98</f>
        <v>1797.7777777777776</v>
      </c>
      <c r="F98" s="137" t="n">
        <f>IF(OR(D98="",E98=""),"",E98/D98)</f>
        <v>0.00000195758024691358</v>
      </c>
      <c r="G98" s="137" t="n">
        <f>IF(OR($D$55="",NOT(ISNUMBER(F98))),"",F98*$D$55)</f>
        <v>0.000001958355755792874</v>
      </c>
      <c r="H98" s="146" t="n">
        <f>IF(NOT(ISNUMBER(F98)),"",F98*$D$45)</f>
        <v>1957.58024691358</v>
      </c>
      <c r="I98" s="146" t="n">
        <f>IF(OR($D$55="",NOT(ISNUMBER(H98))),"",H98*$D$55)</f>
        <v>1958.3557557928737</v>
      </c>
      <c r="J98" s="134" t="n">
        <f>IF($H$90&gt;0,1-H98/$H$90,0)</f>
        <v>0.9506172839506173</v>
      </c>
      <c r="K98" s="131" t="str">
        <v>沉没成本 / Quote</v>
      </c>
      <c r="L98" s="131" t="n">
        <f>E98</f>
        <v>1797.7777777777776</v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ETH、USDG 与股票 / ETF Quote。USDG 采用 TRAIN 发行参数快照，外盘 8,090 USDG；新币参数可变。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48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153" t="str">
        <x:v>外盘扣费依据</x:v>
      </x:c>
      <x:c r="I6" s="153"/>
      <x:c r="J6" s="153" t="str">
        <x:v>费用始终按 Quote leg 计收；Hook 暂存的 Meme 费用会转换回 Quote。</x:v>
      </x:c>
      <x:c r="K6" s="153"/>
      <x:c r="L6" s="153"/>
      <x:c r="M6" s="153"/>
      <x:c r="N6" s="153"/>
      <x:c r="O6" s="153"/>
      <x:c r="P6" s="153"/>
      <x:c r="Q6" s="153"/>
      <x:c r="R6" s="153" t="str">
        <x:v>https://docs.ponsfamily.com/v2</x:v>
      </x:c>
      <x:c r="S6" s="153"/>
      <x:c r="T6" s="153"/>
      <x:c r="U6" s="153"/>
      <x:c r="V6" s="153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USDG 参数依据</x:v>
      </x:c>
      <x:c r="I7" s="35" t="str">
        <x:v>https://robin.etherscan.io/tx/0x387e3237904e4822075066331564561c373b691fd47ad2d52b4f64fb4f398c84#eventlog</x:v>
      </x:c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2481.7308596853964</x:v>
      </x:c>
      <x:c r="T9" s="29">
        <x:v>46283.229076828706</x:v>
      </x:c>
      <x:c r="U9" s="32" t="inlineStr">
        <x:is>
          <x:t xml:space="preserve">https://api.coingecko.com/api/v3/simple/price?ids=tether,ethereum,binancecoin&amp;vs_currencies=usd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336.2102267154778</x:v>
      </x:c>
      <x:c r="T10" s="30">
        <x:v>46283.22877545139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2.7120991647535195</x:v>
      </x:c>
      <x:c r="T11" s="30">
        <x:v>46283.228781875005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/>
      <x:c r="T12" s="30">
        <x:v>46283.228786747684</x:v>
      </x:c>
      <x:c r="U12" s="33"/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/>
      <x:c r="T13" s="30">
        <x:v>46283.22879292824</x:v>
      </x:c>
      <x:c r="U13" s="33"/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/>
      <x:c r="T14" s="30">
        <x:v>46283.22879886574</x:v>
      </x:c>
      <x:c r="U14" s="33"/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/>
      <x:c r="T15" s="30">
        <x:v>46283.22880457176</x:v>
      </x:c>
      <x:c r="U15" s="33"/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/>
      <x:c r="T16" s="30">
        <x:v>46283.228810706016</x:v>
      </x:c>
      <x:c r="U16" s="33"/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/>
      <x:c r="T17" s="30">
        <x:v>46283.228815891205</x:v>
      </x:c>
      <x:c r="U17" s="33"/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176.24641472499718</x:v>
      </x:c>
      <x:c r="T18" s="30">
        <x:v>46283.22882157408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/>
      <x:c r="T19" s="30">
        <x:v>46283.2288278588</x:v>
      </x:c>
      <x:c r="U19" s="33"/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86.246754988361</x:v>
      </x:c>
      <x:c r="T20" s="30">
        <x:v>46283.228835625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/>
      <x:c r="T21" s="30">
        <x:v>46283.22883954861</x:v>
      </x:c>
      <x:c r="U21" s="33"/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8.766785491970786</x:v>
      </x:c>
      <x:c r="T22" s="30">
        <x:v>46283.228845150465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/>
      <x:c r="T23" s="30">
        <x:v>46283.22885092592</x:v>
      </x:c>
      <x:c r="U23" s="33"/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/>
      <x:c r="T24" s="30">
        <x:v>46283.228857256945</x:v>
      </x:c>
      <x:c r="U24" s="33"/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402.5115439350057</x:v>
      </x:c>
      <x:c r="T25" s="30">
        <x:v>46283.228863055556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/>
      <x:c r="T26" s="30">
        <x:v>46283.22886776621</x:v>
      </x:c>
      <x:c r="U26" s="33"/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349.14023454153516</x:v>
      </x:c>
      <x:c r="T27" s="30">
        <x:v>46283.22887355324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28.281890183001646</x:v>
      </x:c>
      <x:c r="T28" s="30">
        <x:v>46283.228878981485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/>
      <x:c r="T29" s="30">
        <x:v>46283.22888631944</x:v>
      </x:c>
      <x:c r="U29" s="33"/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/>
      <x:c r="T30" s="30">
        <x:v>46283.22889162037</x:v>
      </x:c>
      <x:c r="U30" s="33"/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/>
      <x:c r="T31" s="30">
        <x:v>46283.228897395835</x:v>
      </x:c>
      <x:c r="U31" s="33"/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1157.4858940820195</x:v>
      </x:c>
      <x:c r="T32" s="30">
        <x:v>46283.22890365741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/>
      <x:c r="T33" s="30">
        <x:v>46283.22890925926</x:v>
      </x:c>
      <x:c r="U33" s="33"/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683.7392141517536</x:v>
      </x:c>
      <x:c r="T34" s="30">
        <x:v>46283.228914872685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/>
      <x:c r="T35" s="30">
        <x:v>46283.22892003472</x:v>
      </x:c>
      <x:c r="U35" s="33"/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/>
      <x:c r="T36" s="30">
        <x:v>46283.22892554398</x:v>
      </x:c>
      <x:c r="U36" s="33"/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/>
      <x:c r="T37" s="30">
        <x:v>46283.22893216435</x:v>
      </x:c>
      <x:c r="U37" s="33"/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134.80433855804392</x:v>
      </x:c>
      <x:c r="T38" s="30">
        <x:v>46283.22893792824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995.5105251464635</x:v>
      </x:c>
      <x:c r="T39" s="30">
        <x:v>46283.22894375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/>
      <x:c r="T40" s="30">
        <x:v>46283.22895483796</x:v>
      </x:c>
      <x:c r="U40" s="33"/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/>
      <x:c r="T41" s="30">
        <x:v>46283.2289609838</x:v>
      </x:c>
      <x:c r="U41" s="33"/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220.8209153885107</x:v>
      </x:c>
      <x:c r="T42" s="30">
        <x:v>46283.228949687495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/>
      <x:c r="T43" s="30">
        <x:v>46283.22896710648</x:v>
      </x:c>
      <x:c r="U43" s="33"/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/>
      <x:c r="T44" s="30">
        <x:v>46283.22897207176</x:v>
      </x:c>
      <x:c r="U44" s="33"/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717.2751709823403</x:v>
      </x:c>
      <x:c r="T45" s="30">
        <x:v>46283.22897837963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47.88706458799111</x:v>
      </x:c>
      <x:c r="T46" s="30">
        <x:v>46283.22898378472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154.6897298509046</x:v>
      </x:c>
      <x:c r="T47" s="30">
        <x:v>46283.228990069445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/>
      <x:c r="T48" s="30">
        <x:v>46283.228996226855</x:v>
      </x:c>
      <x:c r="U48" s="33"/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101.59863734530526</x:v>
      </x:c>
      <x:c r="T49" s="30">
        <x:v>46283.22900111111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/>
      <x:c r="T50" s="30">
        <x:v>46283.22900706019</x:v>
      </x:c>
      <x:c r="U50" s="33"/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/>
      <x:c r="T51" s="30">
        <x:v>46283.22901306713</x:v>
      </x:c>
      <x:c r="U51" s="33"/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/>
      <x:c r="T52" s="30">
        <x:v>46283.229019363425</x:v>
      </x:c>
      <x:c r="U52" s="33"/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/>
      <x:c r="T53" s="30">
        <x:v>46283.22902486111</x:v>
      </x:c>
      <x:c r="U53" s="33"/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/>
      <x:c r="T54" s="30">
        <x:v>46283.22903109954</x:v>
      </x:c>
      <x:c r="U54" s="33"/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155.17810785548014</x:v>
      </x:c>
      <x:c r="T55" s="30">
        <x:v>46283.22903584491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763.9713137968788</x:v>
      </x:c>
      <x:c r="T56" s="30">
        <x:v>46283.229042175924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368.1749674247868</x:v>
      </x:c>
      <x:c r="T57" s="30">
        <x:v>46283.22904818287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/>
      <x:c r="T58" s="30">
        <x:v>46283.22905378472</x:v>
      </x:c>
      <x:c r="U58" s="33"/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/>
      <x:c r="T59" s="30">
        <x:v>46283.22905945602</x:v>
      </x:c>
      <x:c r="U59" s="33"/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/>
      <x:c r="T60" s="30">
        <x:v>46283.22906563657</x:v>
      </x:c>
      <x:c r="U60" s="33"/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/>
      <x:c r="T61" s="30">
        <x:v>46283.229071168986</x:v>
      </x:c>
      <x:c r="U61" s="33"/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/>
      <x:c r="T62" s="31">
        <x:v>46283.229076828706</x:v>
      </x:c>
      <x:c r="U62" s="34"/>
      <x:c r="V62" s="34" t="inlineStr">
        <x:is>
          <x:t xml:space="preserve">暂无合格池价；可手动输入</x:t>
        </x:is>
      </x:c>
    </x:row>
    <x:row r="63" ht="42" customHeight="1">
      <x:c r="C63" t="n">
        <x:v>55</x:v>
      </x:c>
      <x:c r="D63" t="str">
        <x:v>稳定币</x:v>
      </x:c>
      <x:c r="E63" t="str">
        <x:v>USDG</x:v>
      </x:c>
      <x:c r="F63" t="str">
        <x:v>Global Dollar</x:v>
      </x:c>
      <x:c r="G63" t="str">
        <x:v>​0x5fc5360D0400a0Fd4f2af552ADD042D716F1d168</x:v>
      </x:c>
      <x:c r="H63" t="n">
        <x:v>6</x:v>
      </x:c>
      <x:c r="I63" t="n">
        <x:v>3236</x:v>
      </x:c>
      <x:c r="J63" t="n">
        <x:v>8090</x:v>
      </x:c>
      <x:c r="K63" t="n">
        <x:f>J63/I63</x:f>
        <x:v>2.5</x:v>
      </x:c>
      <x:c r="L63" t="n">
        <x:f>J63</x:f>
        <x:v>8090</x:v>
      </x:c>
      <x:c r="M63" t="n">
        <x:f>1000000000*I63*J63/(I63+J63)^2</x:f>
        <x:v>204081632.6530612</x:v>
      </x:c>
      <x:c r="N63" t="n">
        <x:f>1000000000*I63^2/(I63+J63)^2</x:f>
        <x:v>81632653.06122449</x:v>
      </x:c>
      <x:c r="O63" t="n">
        <x:f>1-N63/1000000000</x:f>
        <x:v>0.9183673469387755</x:v>
      </x:c>
      <x:c r="P63" t="n">
        <x:v>69045064</x:v>
      </x:c>
      <x:c r="Q63" t="str">
        <x:v>已发行实例 / ERC-20</x:v>
      </x:c>
      <x:c r="R63" t="str">
        <x:v>https://robinhoodchain.blockscout.com/address/0x5fc5360d0400a0fd4f2af552add042d716f1d168</x:v>
      </x:c>
      <x:c r="S63" s="155" t="n">
        <x:v>1.0003961568781237</x:v>
      </x:c>
      <x:c r="T63" s="156" t="n">
        <x:v>46285.27349457176</x:v>
      </x:c>
      <x:c r="U63" t="str">
        <x:v>https://www.coingecko.com/en/coins/global-dollar</x:v>
      </x:c>
      <x:c r="V63" s="157" t="str">
        <x:v>TRAIN 创建时 phantom 3,236、门槛 8,090 USDG；PERC 迁池同为 8,090。其他币按发行时参数核对。</x:v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