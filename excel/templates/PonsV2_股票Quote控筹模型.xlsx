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ce0124208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控筹模型" sheetId="1" r:id="R29bd439ea94449d8"/>
    <x:sheet xmlns:r="http://schemas.openxmlformats.org/officeDocument/2006/relationships" name="Quote参数" sheetId="2" r:id="R75525efca1a9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@"/>
    <x:numFmt numFmtId="201" formatCode="0"/>
    <x:numFmt numFmtId="202" formatCode="#,##0.000000"/>
    <x:numFmt numFmtId="203" formatCode="yyyy-mm-dd hh:mm:ss"/>
    <x:numFmt numFmtId="204" formatCode="0.0000&quot;x&quot;"/>
    <x:numFmt numFmtId="205" formatCode="#,##0.000"/>
    <x:numFmt numFmtId="206" formatCode="0.0000%"/>
    <x:numFmt numFmtId="207" formatCode="#,##0"/>
    <x:numFmt numFmtId="208" formatCode="0.00%"/>
    <x:numFmt numFmtId="209" formatCode="0.000000E+00"/>
    <x:numFmt numFmtId="210" formatCode="0.0000000000"/>
    <x:numFmt numFmtId="211" formatCode=";;;"/>
  </x:numFmts>
  <x:fonts count="12">
    <x:font>
      <x:sz val="11"/>
      <x:name val="Carlito"/>
    </x:font>
    <x:font>
      <x:sz val="10"/>
      <x:color rgb="FF172033"/>
      <x:name val="Arial"/>
    </x:font>
    <x:font>
      <x:b/>
      <x:sz val="16"/>
      <x:color rgb="FF20557D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b/>
      <x:sz val="10"/>
      <x:color rgb="FF172033"/>
      <x:name val="Arial"/>
    </x:font>
    <x:font>
      <x:b/>
      <x:sz val="10"/>
      <x:color rgb="FF20557D"/>
      <x:name val="Arial"/>
    </x:font>
    <x:font>
      <x:i/>
      <x:sz val="9"/>
      <x:color rgb="FF667085"/>
      <x:name val="Arial"/>
    </x:font>
    <x:font>
      <x:sz val="9"/>
      <x:color rgb="FF667085"/>
      <x:name val="Arial"/>
    </x:font>
    <x:font>
      <x:b/>
      <x:sz val="12"/>
      <x:color rgb="FF365F20"/>
      <x:name val="Arial"/>
    </x:font>
    <x:font>
      <x:b/>
      <x:sz val="10"/>
      <x:color rgb="FF365F2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557D"/>
      </x:patternFill>
    </x:fill>
    <x:fill>
      <x:patternFill patternType="solid">
        <x:fgColor rgb="FFD9EAF7"/>
      </x:patternFill>
    </x:fill>
    <x:fill>
      <x:patternFill patternType="solid">
        <x:fgColor rgb="FFEAF3FA"/>
      </x:patternFill>
    </x:fill>
    <x:fill>
      <x:patternFill patternType="solid">
        <x:fgColor rgb="FFE8F3DD"/>
      </x:patternFill>
    </x:fill>
    <x:fill>
      <x:patternFill patternType="solid">
        <x:fgColor rgb="FF7D2638"/>
      </x:patternFill>
    </x:fill>
    <x:fill>
      <x:patternFill patternType="solid">
        <x:fgColor rgb="FFFFFFFF"/>
      </x:patternFill>
    </x:fill>
  </x:fills>
  <x:borders count="5">
    <x:border/>
    <x:border>
      <x:bottom style="thin">
        <x:color rgb="FF20557D"/>
      </x:bottom>
    </x:border>
    <x:border>
      <x:bottom style="thin">
        <x:color rgb="FFD4E0E8"/>
      </x:bottom>
    </x:border>
    <x:border>
      <x:top style="thin">
        <x:color rgb="FFD4E0E8"/>
      </x:top>
      <x:bottom style="thin">
        <x:color rgb="FFD4E0E8"/>
      </x:bottom>
    </x:border>
    <x:border>
      <x:top style="thin">
        <x:color rgb="FFD4E0E8"/>
      </x:top>
    </x:border>
  </x:borders>
  <x:cellStyleXfs count="1">
    <x:xf numFmtId="0" fontId="0" fillId="0" borderId="0"/>
  </x:cellStyleXfs>
  <x:cellXfs count="1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4" fontId="5" fillId="0" borderId="2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4" fontId="5" fillId="0" borderId="4" xfId="0" applyNumberFormat="1" applyFont="1" applyFill="1" applyBorder="1" applyAlignment="1">
      <x:alignment vertical="center"/>
    </x:xf>
    <x:xf numFmtId="205" fontId="5" fillId="0" borderId="2" xfId="0" applyNumberFormat="1" applyFont="1" applyFill="1" applyBorder="1" applyAlignment="1">
      <x:alignment vertical="center"/>
    </x:xf>
    <x:xf numFmtId="205" fontId="5" fillId="0" borderId="3" xfId="0" applyNumberFormat="1" applyFont="1" applyFill="1" applyBorder="1" applyAlignment="1">
      <x:alignment vertical="center"/>
    </x:xf>
    <x:xf numFmtId="205" fontId="5" fillId="0" borderId="4" xfId="0" applyNumberFormat="1" applyFont="1" applyFill="1" applyBorder="1" applyAlignment="1">
      <x:alignment vertical="center"/>
    </x:xf>
    <x:xf numFmtId="206" fontId="1" fillId="0" borderId="2" xfId="0" applyNumberFormat="1" applyFont="1" applyFill="1" applyBorder="1" applyAlignment="1">
      <x:alignment vertical="center"/>
    </x:xf>
    <x:xf numFmtId="206" fontId="1" fillId="0" borderId="3" xfId="0" applyNumberFormat="1" applyFont="1" applyFill="1" applyBorder="1" applyAlignment="1">
      <x:alignment vertical="center"/>
    </x:xf>
    <x:xf numFmtId="206" fontId="1" fillId="0" borderId="4" xfId="0" applyNumberFormat="1" applyFont="1" applyFill="1" applyBorder="1" applyAlignment="1">
      <x:alignment vertical="center"/>
    </x:xf>
    <x:xf numFmtId="207" fontId="1" fillId="0" borderId="2" xfId="0" applyNumberFormat="1" applyFont="1" applyFill="1" applyBorder="1" applyAlignment="1">
      <x:alignment vertical="center"/>
    </x:xf>
    <x:xf numFmtId="207" fontId="1" fillId="0" borderId="3" xfId="0" applyNumberFormat="1" applyFont="1" applyFill="1" applyBorder="1" applyAlignment="1">
      <x:alignment vertical="center"/>
    </x:xf>
    <x:xf numFmtId="207" fontId="1" fillId="0" borderId="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0"/>
    </x:xf>
    <x:xf numFmtId="0" fontId="7" fillId="3" borderId="0" xfId="0" applyNumberFormat="1" applyFont="1" applyFill="1" applyBorder="1" applyAlignment="1">
      <x:alignment vertical="center" wrapText="1"/>
    </x:xf>
    <x:xf numFmtId="208" fontId="7" fillId="3" borderId="0" xfId="0" applyNumberFormat="1" applyFont="1" applyFill="1" applyBorder="1" applyAlignment="1">
      <x:alignment vertical="center" wrapText="0"/>
    </x:xf>
    <x:xf numFmtId="202" fontId="7" fillId="3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08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left" vertical="center" wrapText="1"/>
    </x:xf>
    <x:xf numFmtId="205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2" fontId="10" fillId="5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208" fontId="1" fillId="0" borderId="2" xfId="0" applyNumberFormat="1" applyFont="1" applyFill="1" applyBorder="1" applyAlignment="1">
      <x:alignment vertical="center"/>
    </x:xf>
    <x:xf numFmtId="208" fontId="1" fillId="0" borderId="3" xfId="0" applyNumberFormat="1" applyFont="1" applyFill="1" applyBorder="1" applyAlignment="1">
      <x:alignment vertical="center"/>
    </x:xf>
    <x:xf numFmtId="208" fontId="1" fillId="0" borderId="4" xfId="0" applyNumberFormat="1" applyFont="1" applyFill="1" applyBorder="1" applyAlignment="1">
      <x:alignment vertical="center"/>
    </x:xf>
    <x:xf numFmtId="205" fontId="1" fillId="0" borderId="2" xfId="0" applyNumberFormat="1" applyFont="1" applyFill="1" applyBorder="1" applyAlignment="1">
      <x:alignment vertical="center"/>
    </x:xf>
    <x:xf numFmtId="205" fontId="1" fillId="0" borderId="3" xfId="0" applyNumberFormat="1" applyFont="1" applyFill="1" applyBorder="1" applyAlignment="1">
      <x:alignment vertical="center"/>
    </x:xf>
    <x:xf numFmtId="205" fontId="1" fillId="0" borderId="4" xfId="0" applyNumberFormat="1" applyFont="1" applyFill="1" applyBorder="1" applyAlignment="1">
      <x:alignment vertical="center"/>
    </x:xf>
    <x:xf numFmtId="210" fontId="1" fillId="0" borderId="2" xfId="0" applyNumberFormat="1" applyFont="1" applyFill="1" applyBorder="1" applyAlignment="1">
      <x:alignment vertical="center"/>
    </x:xf>
    <x:xf numFmtId="210" fontId="1" fillId="0" borderId="3" xfId="0" applyNumberFormat="1" applyFont="1" applyFill="1" applyBorder="1" applyAlignment="1">
      <x:alignment vertical="center"/>
    </x:xf>
    <x:xf numFmtId="210" fontId="1" fillId="0" borderId="4" xfId="0" applyNumberFormat="1" applyFont="1" applyFill="1" applyBorder="1" applyAlignment="1">
      <x:alignment vertical="center"/>
    </x:xf>
    <x:xf numFmtId="202" fontId="1" fillId="5" borderId="2" xfId="0" applyNumberFormat="1" applyFont="1" applyFill="1" applyBorder="1" applyAlignment="1">
      <x:alignment vertical="center"/>
    </x:xf>
    <x:xf numFmtId="202" fontId="1" fillId="5" borderId="3" xfId="0" applyNumberFormat="1" applyFont="1" applyFill="1" applyBorder="1" applyAlignment="1">
      <x:alignment vertical="center"/>
    </x:xf>
    <x:xf numFmtId="202" fontId="1" fillId="5" borderId="4" xfId="0" applyNumberFormat="1" applyFont="1" applyFill="1" applyBorder="1" applyAlignment="1">
      <x:alignment vertical="center"/>
    </x:xf>
    <x:xf numFmtId="202" fontId="11" fillId="5" borderId="2" xfId="0" applyNumberFormat="1" applyFont="1" applyFill="1" applyBorder="1" applyAlignment="1">
      <x:alignment vertical="center"/>
    </x:xf>
    <x:xf numFmtId="202" fontId="11" fillId="5" borderId="3" xfId="0" applyNumberFormat="1" applyFont="1" applyFill="1" applyBorder="1" applyAlignment="1">
      <x:alignment vertical="center"/>
    </x:xf>
    <x:xf numFmtId="202" fontId="11" fillId="5" borderId="4" xfId="0" applyNumberFormat="1" applyFont="1" applyFill="1" applyBorder="1" applyAlignment="1">
      <x:alignment vertical="center"/>
    </x:xf>
    <x:xf numFmtId="208" fontId="6" fillId="0" borderId="4" xfId="0" applyNumberFormat="1" applyFont="1" applyFill="1" applyBorder="1" applyAlignment="1">
      <x:alignment vertical="center"/>
    </x:xf>
    <x:xf numFmtId="205" fontId="6" fillId="0" borderId="4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vertical="center"/>
    </x:xf>
    <x:xf numFmtId="210" fontId="6" fillId="0" borderId="4" xfId="0" applyNumberFormat="1" applyFont="1" applyFill="1" applyBorder="1" applyAlignment="1">
      <x:alignment vertical="center"/>
    </x:xf>
    <x:xf numFmtId="208" fontId="6" fillId="0" borderId="2" xfId="0" applyNumberFormat="1" applyFont="1" applyFill="1" applyBorder="1" applyAlignment="1">
      <x:alignment vertical="center"/>
    </x:xf>
    <x:xf numFmtId="205" fontId="6" fillId="0" borderId="2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10" fontId="6" fillId="0" borderId="2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202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1" fontId="1" fillId="7" borderId="0" xfId="0" applyNumberFormat="1" applyFont="1" applyFill="1" applyBorder="1" applyAlignment="1">
      <x:alignment vertical="center" wrapText="1"/>
    </x:xf>
    <x:xf numFmtId="207" fontId="1" fillId="7" borderId="0" xfId="0" applyNumberFormat="1" applyFont="1" applyFill="1" applyBorder="1" applyAlignment="1">
      <x:alignment vertical="center" wrapText="1"/>
    </x:xf>
    <x:xf numFmtId="206" fontId="1" fillId="7" borderId="0" xfId="0" applyNumberFormat="1" applyFont="1" applyFill="1" applyBorder="1" applyAlignment="1">
      <x:alignment vertical="center" wrapText="1"/>
    </x:xf>
    <x:xf numFmtId="208" fontId="1" fillId="7" borderId="0" xfId="0" applyNumberFormat="1" applyFont="1" applyFill="1" applyBorder="1" applyAlignment="1">
      <x:alignment vertical="center" wrapText="1"/>
    </x:xf>
    <x:xf numFmtId="209" fontId="1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/>
    </x:xf>
    <x:xf numFmtId="207" fontId="10" fillId="5" borderId="0" xfId="0" applyNumberFormat="1" applyFont="1" applyFill="1" applyBorder="1" applyAlignment="1">
      <x:alignment vertical="center"/>
    </x:xf>
    <x:xf numFmtId="207" fontId="1" fillId="7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8" fontId="1" fillId="7" borderId="0" xfId="0" applyNumberFormat="1" applyFont="1" applyFill="1" applyBorder="1" applyAlignment="1">
      <x:alignment vertical="center"/>
    </x:xf>
    <x:xf numFmtId="206" fontId="1" fillId="7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207" fontId="9" fillId="7" borderId="0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7" borderId="4" xfId="0" applyNumberFormat="1" applyFont="1" applyFill="1" applyBorder="1" applyAlignment="1">
      <x:alignment vertical="center"/>
    </x:xf>
    <x:xf numFmtId="208" fontId="1" fillId="7" borderId="2" xfId="0" applyNumberFormat="1" applyFont="1" applyFill="1" applyBorder="1" applyAlignment="1">
      <x:alignment vertical="center"/>
    </x:xf>
    <x:xf numFmtId="208" fontId="1" fillId="7" borderId="3" xfId="0" applyNumberFormat="1" applyFont="1" applyFill="1" applyBorder="1" applyAlignment="1">
      <x:alignment vertical="center"/>
    </x:xf>
    <x:xf numFmtId="208" fontId="1" fillId="7" borderId="4" xfId="0" applyNumberFormat="1" applyFont="1" applyFill="1" applyBorder="1" applyAlignment="1">
      <x:alignment vertical="center"/>
    </x:xf>
    <x:xf numFmtId="210" fontId="1" fillId="7" borderId="2" xfId="0" applyNumberFormat="1" applyFont="1" applyFill="1" applyBorder="1" applyAlignment="1">
      <x:alignment vertical="center"/>
    </x:xf>
    <x:xf numFmtId="210" fontId="1" fillId="7" borderId="3" xfId="0" applyNumberFormat="1" applyFont="1" applyFill="1" applyBorder="1" applyAlignment="1">
      <x:alignment vertical="center"/>
    </x:xf>
    <x:xf numFmtId="210" fontId="1" fillId="7" borderId="4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vertical="center"/>
    </x:xf>
    <x:xf numFmtId="0" fontId="11" fillId="5" borderId="3" xfId="0" applyNumberFormat="1" applyFont="1" applyFill="1" applyBorder="1" applyAlignment="1">
      <x:alignment vertical="center"/>
    </x:xf>
    <x:xf numFmtId="0" fontId="11" fillId="5" borderId="4" xfId="0" applyNumberFormat="1" applyFont="1" applyFill="1" applyBorder="1" applyAlignment="1">
      <x:alignment vertical="center"/>
    </x:xf>
    <x:xf numFmtId="207" fontId="1" fillId="7" borderId="2" xfId="0" applyNumberFormat="1" applyFont="1" applyFill="1" applyBorder="1" applyAlignment="1">
      <x:alignment vertical="center"/>
    </x:xf>
    <x:xf numFmtId="207" fontId="1" fillId="7" borderId="3" xfId="0" applyNumberFormat="1" applyFont="1" applyFill="1" applyBorder="1" applyAlignment="1">
      <x:alignment vertical="center"/>
    </x:xf>
    <x:xf numFmtId="207" fontId="1" fillId="7" borderId="4" xfId="0" applyNumberFormat="1" applyFont="1" applyFill="1" applyBorder="1" applyAlignment="1">
      <x:alignment vertical="center"/>
    </x:xf>
    <x:xf numFmtId="207" fontId="11" fillId="5" borderId="2" xfId="0" applyNumberFormat="1" applyFont="1" applyFill="1" applyBorder="1" applyAlignment="1">
      <x:alignment vertical="center"/>
    </x:xf>
    <x:xf numFmtId="207" fontId="11" fillId="5" borderId="3" xfId="0" applyNumberFormat="1" applyFont="1" applyFill="1" applyBorder="1" applyAlignment="1">
      <x:alignment vertical="center"/>
    </x:xf>
    <x:xf numFmtId="207" fontId="11" fillId="5" borderId="4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 wrapText="1"/>
    </x:xf>
    <x:xf numFmtId="207" fontId="7" fillId="3" borderId="0" xfId="0" applyNumberFormat="1" applyFont="1" applyFill="1" applyBorder="1" applyAlignment="1">
      <x:alignment vertical="center" wrapText="0"/>
    </x:xf>
    <x:xf numFmtId="207" fontId="6" fillId="3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21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11" fontId="1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7"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a40a4a23d4c1b" /><Relationship Type="http://schemas.openxmlformats.org/officeDocument/2006/relationships/theme" Target="/xl/theme/theme1.xml" Id="Rf2523e5597f04fa4" /><Relationship Type="http://schemas.openxmlformats.org/officeDocument/2006/relationships/sharedStrings" Target="/xl/sharedStrings.xml" Id="R28025a8df59e49f9" /><Relationship Type="http://schemas.openxmlformats.org/officeDocument/2006/relationships/worksheet" Target="/xl/worksheets/sheet1.xml" Id="R29bd439ea94449d8" /><Relationship Type="http://schemas.openxmlformats.org/officeDocument/2006/relationships/worksheet" Target="/xl/worksheets/sheet2.xml" Id="R75525efca1a94d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howOutlineSymbols="1"/>
  </sheetPr>
  <sheetViews>
    <sheetView showGridLines="0" workbookViewId="0" showOutlineSymbols="1">
      <pane ySplit="3" topLeftCell="A4" activePane="bottomLeft" state="frozen"/>
    </sheetView>
  </sheetViews>
  <sheetFormatPr defaultRowHeight="15" outlineLevelRow="1"/>
  <cols>
    <col min="1" max="1" width="2" hidden="0" customWidth="1"/>
    <col min="2" max="2" width="2" hidden="0" customWidth="1"/>
    <col min="3" max="3" width="25" hidden="0" customWidth="1"/>
    <col min="4" max="4" width="21" hidden="0" customWidth="1"/>
    <col min="5" max="5" width="14" hidden="0" customWidth="1"/>
    <col min="6" max="6" width="25" hidden="0" customWidth="1"/>
    <col min="7" max="7" width="21" hidden="0" customWidth="1"/>
    <col min="8" max="8" width="14" hidden="0" customWidth="1"/>
    <col min="9" max="9" width="25" hidden="0" customWidth="1"/>
    <col min="10" max="10" width="21" hidden="0" customWidth="1"/>
    <col min="11" max="11" width="14" hidden="0" customWidth="1"/>
    <col min="12" max="12" width="17" hidden="0" customWidth="1"/>
  </cols>
  <sheetData>
    <row r="1" ht="6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8" customHeight="1">
      <c r="A2" s="2"/>
      <c r="B2" s="2"/>
      <c r="C2" s="4" t="str">
        <v>Pons V2 控筹模型</v>
      </c>
      <c r="D2" s="3"/>
      <c r="E2" s="3"/>
      <c r="F2" s="3"/>
      <c r="G2" s="3"/>
      <c r="H2" s="3"/>
      <c r="I2" s="3"/>
      <c r="J2" s="3"/>
      <c r="K2" s="3"/>
      <c r="L2" s="3"/>
    </row>
    <row r="3" ht="20" customHeight="1">
      <c r="A3" s="2"/>
      <c r="B3" s="2"/>
      <c r="C3" s="5" t="str">
        <v>蓝色格可编辑。Quote 资金与原生币 Gas 分开准备；总折算价值包含 Gas。</v>
      </c>
      <c r="D3" s="5"/>
      <c r="E3" s="5"/>
      <c r="F3" s="5"/>
      <c r="G3" s="5"/>
      <c r="H3" s="5"/>
      <c r="I3" s="5"/>
      <c r="J3" s="5"/>
      <c r="K3" s="5"/>
      <c r="L3" s="5"/>
    </row>
    <row r="4" ht="6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4" customHeight="1">
      <c r="A5" s="2"/>
      <c r="B5" s="2"/>
      <c r="C5" s="8" t="str">
        <v>一、可编辑参数</v>
      </c>
      <c r="D5" s="8"/>
      <c r="E5" s="8"/>
      <c r="F5" s="8"/>
      <c r="G5" s="8"/>
      <c r="H5" s="8"/>
      <c r="I5" s="8"/>
      <c r="J5" s="8"/>
      <c r="K5" s="8"/>
      <c r="L5" s="8"/>
    </row>
    <row r="6" ht="20" customHeight="1">
      <c r="A6" s="2"/>
      <c r="B6" s="2"/>
      <c r="C6" s="48" t="str">
        <v>交易参数</v>
      </c>
      <c r="D6" s="2"/>
      <c r="E6" s="2"/>
      <c r="F6" s="48" t="str">
        <v>地址与 Gas</v>
      </c>
      <c r="G6" s="2"/>
      <c r="H6" s="2"/>
      <c r="I6" s="48" t="str">
        <v>平台设置</v>
      </c>
      <c r="J6" s="2"/>
      <c r="K6" s="2"/>
      <c r="L6" s="2"/>
    </row>
    <row r="7" ht="20" customHeight="1">
      <c r="A7" s="2"/>
      <c r="B7" s="2"/>
      <c r="C7" s="35" t="str">
        <v>Quote</v>
      </c>
      <c r="D7" s="51" t="str">
        <v>USDG</v>
      </c>
      <c r="E7" s="2"/>
      <c r="F7" s="35" t="str">
        <v>内盘套数</v>
      </c>
      <c r="G7" s="51" t="n">
        <v>2</v>
      </c>
      <c r="H7" s="2"/>
      <c r="I7" s="35" t="str">
        <v>Creator Tax</v>
      </c>
      <c r="J7" s="53" t="n">
        <v>0</v>
      </c>
      <c r="K7" s="2"/>
      <c r="L7" s="2"/>
    </row>
    <row r="8" ht="20" customHeight="1">
      <c r="A8" s="2"/>
      <c r="B8" s="2"/>
      <c r="C8" s="35" t="str">
        <v>目标控筹率</v>
      </c>
      <c r="D8" s="53" t="n">
        <v>0.9</v>
      </c>
      <c r="E8" s="35" t="str">
        <v>预算沿用 +1%</v>
      </c>
      <c r="F8" s="35" t="str">
        <v>内盘地址 / 套</v>
      </c>
      <c r="G8" s="51" t="n">
        <v>20</v>
      </c>
      <c r="H8" s="2"/>
      <c r="I8" s="35" t="str">
        <v>滑点假设</v>
      </c>
      <c r="J8" s="53" t="n">
        <v>0</v>
      </c>
      <c r="K8" s="35" t="str">
        <v>现有预算未计滑点</v>
      </c>
      <c r="L8" s="35"/>
    </row>
    <row r="9" ht="20" customHeight="1">
      <c r="A9" s="2"/>
      <c r="B9" s="2"/>
      <c r="C9" s="35" t="str">
        <v>手动价格 / USDT</v>
      </c>
      <c r="D9" s="54"/>
      <c r="E9" s="35" t="str">
        <v>留空用日更价</v>
      </c>
      <c r="F9" s="35" t="str">
        <v>外盘地址数</v>
      </c>
      <c r="G9" s="51" t="n">
        <v>30</v>
      </c>
      <c r="H9" s="2"/>
      <c r="I9" s="35" t="str">
        <v>Snipe Tax 豁免</v>
      </c>
      <c r="J9" s="51" t="str">
        <v>是</v>
      </c>
      <c r="K9" s="35"/>
      <c r="L9" s="35"/>
    </row>
    <row r="10" ht="20" customHeight="1">
      <c r="A10" s="2"/>
      <c r="B10" s="2"/>
      <c r="C10" s="2"/>
      <c r="D10" s="2"/>
      <c r="E10" s="2"/>
      <c r="F10" s="35" t="str">
        <v>Holder 地址数</v>
      </c>
      <c r="G10" s="51" t="n">
        <v>150</v>
      </c>
      <c r="H10" s="2"/>
      <c r="I10" s="35" t="str">
        <v>Buyback enabled</v>
      </c>
      <c r="J10" s="51" t="str">
        <v>否</v>
      </c>
      <c r="K10" s="35" t="str">
        <v>不抵扣回购收益</v>
      </c>
      <c r="L10" s="35"/>
    </row>
    <row r="11" ht="24" customHeight="1">
      <c r="A11" s="2"/>
      <c r="B11" s="2"/>
      <c r="C11" s="2"/>
      <c r="D11" s="2"/>
      <c r="E11" s="2"/>
      <c r="F11" s="35" t="str">
        <v>单地址 Gas / ETH</v>
      </c>
      <c r="G11" s="54" t="n">
        <v>0.005</v>
      </c>
      <c r="H11" s="2"/>
      <c r="I11" s="35" t="str">
        <v>Creator recipient</v>
      </c>
      <c r="J11" s="52"/>
      <c r="K11" s="35" t="str">
        <v>仅记录收款地址，不抵扣分红收益</v>
      </c>
      <c r="L11" s="35"/>
    </row>
    <row r="12" ht="24" customHeight="1">
      <c r="A12" s="2"/>
      <c r="B12" s="2"/>
      <c r="C12" s="2"/>
      <c r="D12" s="2"/>
      <c r="E12" s="2"/>
      <c r="F12" s="35" t="str">
        <v>资金预留 / Quote</v>
      </c>
      <c r="G12" s="152" t="n">
        <f>IF(AND(ISNUMBER($D$55),$D$55&gt;0),ROUNDUP($G$56/$D$55,0),"")</f>
        <v>9997</v>
      </c>
      <c r="H12" s="2"/>
      <c r="I12" s="2"/>
      <c r="J12" s="2"/>
      <c r="K12" s="35"/>
      <c r="L12" s="35"/>
    </row>
    <row r="13" ht="20" customHeight="1">
      <c r="A13" s="2"/>
      <c r="B13" s="2"/>
      <c r="C13" s="55" t="str">
        <v>预留资金 = 10,000 USDT ÷ Quote 价格，向上取整。手动价格会同时调整预留与折算价值；清空后恢复每日价。</v>
      </c>
      <c r="D13" s="55"/>
      <c r="E13" s="55"/>
      <c r="F13" s="55"/>
      <c r="G13" s="55"/>
      <c r="H13" s="55"/>
      <c r="I13" s="55"/>
      <c r="J13" s="55"/>
      <c r="K13" s="55"/>
      <c r="L13" s="55"/>
    </row>
    <row r="14" ht="6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6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6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4" customHeight="1">
      <c r="A17" s="2"/>
      <c r="B17" s="2"/>
      <c r="C17" s="9" t="str">
        <v>二、测算结果</v>
      </c>
      <c r="D17" s="8"/>
      <c r="E17" s="8"/>
      <c r="F17" s="8"/>
      <c r="G17" s="8"/>
      <c r="H17" s="8"/>
      <c r="I17" s="8"/>
      <c r="J17" s="8"/>
      <c r="K17" s="8"/>
      <c r="L17" s="8"/>
    </row>
    <row r="18" ht="30" customHeight="1">
      <c r="A18" s="2"/>
      <c r="B18" s="2"/>
      <c r="C18" s="107" t="str">
        <v>建议 Quote 资金</v>
      </c>
      <c r="D18" s="121" t="n">
        <f>IF(AND(LEFT($D$51,2)="可达",ISNUMBER($D$22),ISNUMBER($D$23),ISNUMBER($D$25),ISNUMBER($D$26)),SUM($D$22:$D$23,$D$25:$D$26),"")</f>
        <v>262304.984802237</v>
      </c>
      <c r="E18" s="62" t="str">
        <f>$D$7</f>
        <v>USDG</v>
      </c>
      <c r="F18" s="107" t="str">
        <v>原生币 Gas 储备</v>
      </c>
      <c r="G18" s="74" t="n">
        <f>$D$53*MAX(0,$G$11)</f>
        <v>1.1</v>
      </c>
      <c r="H18" s="62" t="str">
        <v>ETH</v>
      </c>
      <c r="I18" s="107" t="str">
        <v>总折算 / USDT</v>
      </c>
      <c r="J18" s="121" t="n">
        <f>IF(AND(ISNUMBER($D$19),ISNUMBER($G$19)),SUM(D19,G19),"")</f>
        <v>265246.9886097264</v>
      </c>
      <c r="K18" s="62" t="str">
        <v>USDT</v>
      </c>
      <c r="L18" s="62"/>
    </row>
    <row r="19" ht="20" customHeight="1">
      <c r="A19" s="2"/>
      <c r="B19" s="2"/>
      <c r="C19" s="107" t="str">
        <v>Quote 折算 / USDT</v>
      </c>
      <c r="D19" s="122" t="n">
        <f>IF(ISNUMBER($D$18),IF($D$18=0,0,IF($D$55&gt;0,$D$18*$D$55,"")),"")</f>
        <v>262408.8987261325</v>
      </c>
      <c r="E19" s="106" t="str">
        <v>USDT</v>
      </c>
      <c r="F19" s="107" t="str">
        <v>Gas 折算 / USDT</v>
      </c>
      <c r="G19" s="122" t="n">
        <f>IF($G$18=0,0,IF($J$19="","",$G$18*$J$19))</f>
        <v>2838.0898835939033</v>
      </c>
      <c r="H19" s="106" t="str">
        <v>USDT</v>
      </c>
      <c r="I19" s="107" t="str">
        <v>原生币价格 / USDT</v>
      </c>
      <c r="J19" s="123" t="n">
        <f>IF($D$7="ETH",$D$55,IF(VLOOKUP("ETH",'Quote参数'!$E$9:$S$63,15,FALSE)&gt;0,VLOOKUP("ETH",'Quote参数'!$E$9:$S$63,15,FALSE),""))</f>
        <v>2580.0817123580937</v>
      </c>
      <c r="K19" s="106"/>
      <c r="L19" s="106"/>
    </row>
    <row r="20" ht="6" customHeight="1">
      <c r="A20" s="2"/>
      <c r="B20" s="2"/>
      <c r="C20" s="106"/>
      <c r="D20" s="106"/>
      <c r="E20" s="106"/>
      <c r="F20" s="106"/>
      <c r="G20" s="106"/>
      <c r="H20" s="106"/>
      <c r="I20" s="106"/>
      <c r="J20" s="106"/>
      <c r="K20" s="106"/>
      <c r="L20" s="106"/>
    </row>
    <row r="21" ht="24" customHeight="1">
      <c r="A21" s="2"/>
      <c r="B21" s="2"/>
      <c r="C21" s="76" t="str">
        <v>Quote 资金构成</v>
      </c>
      <c r="D21" s="75"/>
      <c r="E21" s="75"/>
      <c r="F21" s="75"/>
      <c r="G21" s="106"/>
      <c r="H21" s="106"/>
      <c r="I21" s="76" t="str">
        <v>手续费</v>
      </c>
      <c r="J21" s="75"/>
      <c r="K21" s="75"/>
      <c r="L21" s="75"/>
    </row>
    <row r="22" ht="20" customHeight="1">
      <c r="A22" s="2"/>
      <c r="B22" s="2"/>
      <c r="C22" s="106" t="str">
        <f>"预算 "&amp;TEXT($D$52,"0%")&amp;" 理论资金"</f>
        <v>预算 91% 理论资金</v>
      </c>
      <c r="D22" s="122" t="n">
        <f>IF(LEFT($D$51,2)&lt;&gt;"可达","",IF($J$45="","",$J$41+$J$45))</f>
        <v>199310.17491993174</v>
      </c>
      <c r="E22" s="106" t="str">
        <f>$D$7</f>
        <v>USDG</v>
      </c>
      <c r="F22" s="106"/>
      <c r="G22" s="106"/>
      <c r="H22" s="106"/>
      <c r="I22" s="119" t="str">
        <v>内盘</v>
      </c>
      <c r="J22" s="120"/>
      <c r="K22" s="120"/>
      <c r="L22" s="120"/>
    </row>
    <row r="23" ht="20" customHeight="1">
      <c r="A23" s="2"/>
      <c r="B23" s="2"/>
      <c r="C23" s="107" t="str">
        <v>额外内盘资金</v>
      </c>
      <c r="D23" s="122" t="n">
        <f>IF(LEFT($D$51,2)&lt;&gt;"可达","",IF($J$41="","",$J$41*MAX(0,$G$7-1)))</f>
        <v>8171.717171717171</v>
      </c>
      <c r="E23" s="106" t="str">
        <f>$D$7</f>
        <v>USDG</v>
      </c>
      <c r="F23" s="106"/>
      <c r="G23" s="106"/>
      <c r="H23" s="106"/>
      <c r="I23" s="107" t="str">
        <v>基础手续费</v>
      </c>
      <c r="J23" s="124" t="n">
        <f>$G$41</f>
        <v>0.01</v>
      </c>
      <c r="K23" s="106"/>
      <c r="L23" s="106"/>
    </row>
    <row r="24" customHeight="1" hidden="1">
      <c r="A24" s="2"/>
      <c r="B24" s="2"/>
      <c r="C24" s="107"/>
      <c r="D24" s="158"/>
      <c r="E24" s="106" t="str">
        <f>$D$7</f>
        <v>USDG</v>
      </c>
      <c r="F24" s="106"/>
      <c r="G24" s="106"/>
      <c r="H24" s="106"/>
      <c r="I24" s="107" t="str">
        <v>买入含税费率</v>
      </c>
      <c r="J24" s="124" t="n">
        <f>$G$41+$J$7</f>
        <v>0.01</v>
      </c>
      <c r="K24" s="106"/>
      <c r="L24" s="106"/>
    </row>
    <row r="25" ht="20" customHeight="1">
      <c r="A25" s="2"/>
      <c r="B25" s="2"/>
      <c r="C25" s="107" t="str">
        <v>资金预留</v>
      </c>
      <c r="D25" s="122" t="n">
        <f>$G$12</f>
        <v>9997</v>
      </c>
      <c r="E25" s="106" t="str">
        <f>$D$7</f>
        <v>USDG</v>
      </c>
      <c r="F25" s="106"/>
      <c r="G25" s="106"/>
      <c r="H25" s="106"/>
      <c r="I25" s="107" t="str">
        <v>卖出含税费率</v>
      </c>
      <c r="J25" s="124" t="n">
        <f>$G$41+$J$7</f>
        <v>0.01</v>
      </c>
      <c r="K25" s="106"/>
      <c r="L25" s="106"/>
    </row>
    <row r="26" ht="20" customHeight="1">
      <c r="A26" s="2"/>
      <c r="B26" s="2"/>
      <c r="C26" s="107" t="str">
        <v>恢复目标控筹预留</v>
      </c>
      <c r="D26" s="122" t="n">
        <f>IF($D$51&lt;&gt;"可达","",IF(AND($J$55&gt;0,$J$56&gt;0),MAX(0,($G$50/$J$55-$G$50/$J$56)*(1/(1-$G$42-$J$7))),""))</f>
        <v>44826.09271058811</v>
      </c>
      <c r="E26" s="106" t="str">
        <f>$D$7</f>
        <v>USDG</v>
      </c>
      <c r="F26" s="106"/>
      <c r="G26" s="106"/>
      <c r="H26" s="106"/>
      <c r="I26" s="106"/>
      <c r="J26" s="106"/>
      <c r="K26" s="106"/>
      <c r="L26" s="106"/>
    </row>
    <row r="27" ht="20" customHeight="1">
      <c r="A27" s="2"/>
      <c r="B27" s="2"/>
      <c r="C27" s="107" t="str">
        <v>洗后控筹率（估算）</v>
      </c>
      <c r="D27" s="125" t="n">
        <f>$D$8*$J$54</f>
        <v>0.88209</v>
      </c>
      <c r="E27" s="106"/>
      <c r="F27" s="106"/>
      <c r="G27" s="106"/>
      <c r="H27" s="106"/>
      <c r="I27" s="119" t="str">
        <v>外盘 · Hook</v>
      </c>
      <c r="J27" s="120"/>
      <c r="K27" s="120"/>
      <c r="L27" s="120"/>
    </row>
    <row r="28" ht="20" customHeight="1">
      <c r="A28" s="2"/>
      <c r="B28" s="2"/>
      <c r="C28" s="107" t="str">
        <v>原目标控筹率</v>
      </c>
      <c r="D28" s="124" t="n">
        <f>$D$8</f>
        <v>0.9</v>
      </c>
      <c r="E28" s="106"/>
      <c r="F28" s="106"/>
      <c r="G28" s="106"/>
      <c r="H28" s="106"/>
      <c r="I28" s="107" t="str">
        <v>基础手续费</v>
      </c>
      <c r="J28" s="124" t="n">
        <f>$G$42</f>
        <v>0.01</v>
      </c>
      <c r="K28" s="106"/>
      <c r="L28" s="106"/>
    </row>
    <row r="29" ht="20" customHeight="1">
      <c r="A29" s="2"/>
      <c r="B29" s="2"/>
      <c r="C29" s="107" t="str">
        <v>洗筹双边总费率</v>
      </c>
      <c r="D29" s="124" t="n">
        <f>$J$47*2</f>
        <v>0.02</v>
      </c>
      <c r="E29" s="106"/>
      <c r="F29" s="106"/>
      <c r="G29" s="106"/>
      <c r="H29" s="106"/>
      <c r="I29" s="107" t="str">
        <v>买入含税费率</v>
      </c>
      <c r="J29" s="124" t="n">
        <f>$G$42+$J$7</f>
        <v>0.01</v>
      </c>
      <c r="K29" s="106"/>
      <c r="L29" s="106"/>
    </row>
    <row r="30" ht="32" customHeight="1">
      <c r="A30" s="2"/>
      <c r="B30" s="2"/>
      <c r="C30"/>
      <c r="D30"/>
      <c r="E30"/>
      <c r="F30"/>
      <c r="G30"/>
      <c r="H30"/>
      <c r="I30" s="107" t="str">
        <v>卖出含税费率</v>
      </c>
      <c r="J30" s="124" t="n">
        <f>$G$42+$J$7</f>
        <v>0.01</v>
      </c>
      <c r="K30" s="106"/>
      <c r="L30" s="106"/>
    </row>
    <row r="31" hidden="1" customHeight="1">
      <c r="A31" s="2"/>
      <c r="B31" s="2"/>
      <c r="C31"/>
      <c r="D31"/>
      <c r="E31"/>
      <c r="F31"/>
      <c r="G31"/>
      <c r="H31"/>
      <c r="I31" s="106"/>
      <c r="J31" s="106"/>
      <c r="K31" s="106"/>
      <c r="L31" s="106"/>
    </row>
    <row r="32" hidden="1" customHeight="1">
      <c r="A32" s="2"/>
      <c r="B32" s="2"/>
      <c r="C32"/>
      <c r="D32"/>
      <c r="E32"/>
      <c r="F32"/>
      <c r="G32"/>
      <c r="H32"/>
      <c r="I32" s="106"/>
      <c r="J32" s="106"/>
      <c r="K32" s="106"/>
      <c r="L32" s="106"/>
    </row>
    <row r="33" hidden="1" customHeight="1">
      <c r="A33" s="2"/>
      <c r="B33" s="2"/>
      <c r="C33"/>
      <c r="D33"/>
      <c r="E33"/>
      <c r="F33"/>
      <c r="G33"/>
      <c r="H33"/>
      <c r="I33" s="106"/>
      <c r="J33" s="106"/>
      <c r="K33" s="106"/>
      <c r="L33" s="106"/>
    </row>
    <row r="34" hidden="1" customHeight="1">
      <c r="A34" s="2"/>
      <c r="B34" s="2"/>
      <c r="C34"/>
      <c r="D34"/>
      <c r="E34"/>
      <c r="F34"/>
      <c r="G34"/>
      <c r="H34"/>
      <c r="I34" s="106"/>
      <c r="J34" s="106"/>
      <c r="K34" s="106"/>
      <c r="L34" s="106"/>
    </row>
    <row r="35" hidden="1" customHeight="1">
      <c r="A35" s="2"/>
      <c r="B35" s="2"/>
      <c r="C35"/>
      <c r="D35"/>
      <c r="E35"/>
      <c r="F35"/>
      <c r="G35"/>
      <c r="H35"/>
      <c r="I35" s="106"/>
      <c r="J35" s="106"/>
      <c r="K35" s="106"/>
      <c r="L35" s="106"/>
    </row>
    <row r="36" ht="36" customHeight="1">
      <c r="A36" s="2"/>
      <c r="B36" s="2"/>
      <c r="C36" s="115" t="str">
        <v>外盘一卖一买使用卖出所得 Quote 回买；手续费仅降低洗后持币，不另列资金。洗后若低于目标，再按外盘曲线差额及买入费预留恢复所需 Quote；未模拟成交量、滑点与价格冲击。</v>
      </c>
      <c r="D36" s="115"/>
      <c r="E36" s="115"/>
      <c r="F36" s="115"/>
      <c r="G36" s="115"/>
      <c r="H36" s="115"/>
      <c r="I36" s="115"/>
      <c r="J36" s="115"/>
      <c r="K36" s="115"/>
      <c r="L36" s="115"/>
    </row>
    <row r="37" ht="22" customHeight="1">
      <c r="A37" s="2"/>
      <c r="B37" s="2"/>
      <c r="C37" s="127" t="str">
        <v>沉没成本（模型参考，不重复计入预算）</v>
      </c>
      <c r="D37" s="127"/>
      <c r="E37" s="127"/>
      <c r="F37" s="127"/>
      <c r="G37" s="128" t="n">
        <f>E98</f>
        <v>1797.7777777777776</v>
      </c>
      <c r="H37" s="127" t="str">
        <f>$D$7</f>
        <v>USDG</v>
      </c>
      <c r="I37" s="106"/>
      <c r="J37" s="106"/>
      <c r="K37" s="106"/>
      <c r="L37" s="106"/>
    </row>
    <row r="38" ht="6" customHeight="1">
      <c r="A38" s="2"/>
      <c r="B38" s="2"/>
      <c r="C38" s="106"/>
      <c r="D38" s="106"/>
      <c r="E38" s="106"/>
      <c r="F38" s="106"/>
      <c r="G38" s="106"/>
      <c r="H38" s="106"/>
      <c r="I38" s="106"/>
      <c r="J38" s="106"/>
      <c r="K38" s="106"/>
      <c r="L38" s="106"/>
    </row>
    <row r="39" ht="24" customHeight="1" collapsed="1">
      <c r="A39"/>
      <c r="B39"/>
      <c r="C39" s="8" t="str">
        <v>三、模型信息与计算口径（默认折叠，点左侧 + 展开）</v>
      </c>
      <c r="D39" s="8"/>
      <c r="E39" s="8"/>
      <c r="F39" s="8"/>
      <c r="G39" s="8"/>
      <c r="H39" s="8"/>
      <c r="I39" s="8"/>
      <c r="J39" s="8"/>
      <c r="K39" s="8"/>
      <c r="L39" s="8"/>
    </row>
    <row r="40" ht="30" hidden="1" customHeight="1" outlineLevel="1">
      <c r="A40"/>
      <c r="B40"/>
      <c r="C40" s="107" t="str">
        <v>Quote 信息</v>
      </c>
      <c r="D40" s="107"/>
      <c r="E40" s="107"/>
      <c r="F40" s="107" t="str">
        <v>协议与曲线参数</v>
      </c>
      <c r="G40" s="107"/>
      <c r="H40" s="107"/>
      <c r="I40" s="107" t="str">
        <v>预算中间计算</v>
      </c>
      <c r="J40" s="107"/>
      <c r="K40" s="107"/>
      <c r="L40" s="107"/>
    </row>
    <row r="41" ht="30" hidden="1" customHeight="1" outlineLevel="1">
      <c r="A41"/>
      <c r="B41"/>
      <c r="C41" s="107" t="str">
        <v>Quote 名称</v>
      </c>
      <c r="D41" s="108" t="str">
        <f>VLOOKUP($D$7,'Quote参数'!$E$9:$J$63,2,FALSE)</f>
        <v>Global Dollar</v>
      </c>
      <c r="E41" s="107"/>
      <c r="F41" s="107" t="str">
        <v>内盘基础费</v>
      </c>
      <c r="G41" s="112" t="n">
        <f>1%</f>
        <v>0.01</v>
      </c>
      <c r="H41" s="107"/>
      <c r="I41" s="107" t="str">
        <v>一套内盘打满 / Quote</v>
      </c>
      <c r="J41" s="108" t="n">
        <f>IF(1-$G$41-$J$7&gt;0,$G$44/(1-$G$41-$J$7),"")</f>
        <v>8171.717171717171</v>
      </c>
      <c r="K41" s="107"/>
      <c r="L41" s="107"/>
    </row>
    <row r="42" ht="30" hidden="1" customHeight="1" outlineLevel="1">
      <c r="A42"/>
      <c r="B42"/>
      <c r="C42" s="107" t="str">
        <v>Quote 合约</v>
      </c>
      <c r="D42" s="109" t="str">
        <f>VLOOKUP($D$7,'Quote参数'!$E$9:$J$63,3,FALSE)</f>
        <v>​0x5fc5360D0400a0Fd4f2af552ADD042D716F1d168</v>
      </c>
      <c r="E42" s="107"/>
      <c r="F42" s="107" t="str">
        <v>外盘 Hook 费</v>
      </c>
      <c r="G42" s="112" t="n">
        <f>1%</f>
        <v>0.01</v>
      </c>
      <c r="H42" s="107"/>
      <c r="I42" s="107" t="str">
        <v>目标+1% Pool TOKEN</v>
      </c>
      <c r="J42" s="108" t="n">
        <f>IF($D$52&lt;$D$54,$D$45*(1-$D$52)-$G$51,"")</f>
        <v>8367346.93877548</v>
      </c>
      <c r="K42" s="107"/>
      <c r="L42" s="107"/>
    </row>
    <row r="43" ht="30" hidden="1" customHeight="1" outlineLevel="1">
      <c r="A43"/>
      <c r="B43"/>
      <c r="C43" s="107"/>
      <c r="D43" s="108"/>
      <c r="E43" s="107"/>
      <c r="F43" s="107" t="str">
        <v>毕业控筹率</v>
      </c>
      <c r="G43" s="112" t="n">
        <f>$G$44/($G$46+$G$44)</f>
        <v>0.7142857142857143</v>
      </c>
      <c r="H43" s="107"/>
      <c r="I43" s="107" t="str">
        <v>目标+1% Pool Quote</v>
      </c>
      <c r="J43" s="108" t="n">
        <f>IF($J$42="","",$G$50/$J$42)</f>
        <v>197317.07317073242</v>
      </c>
      <c r="K43" s="107"/>
      <c r="L43" s="107"/>
    </row>
    <row r="44" ht="30" hidden="1" customHeight="1" outlineLevel="1">
      <c r="A44"/>
      <c r="B44"/>
      <c r="C44" s="107" t="str">
        <v>Decimals</v>
      </c>
      <c r="D44" s="110" t="n">
        <f>VLOOKUP($D$7,'Quote参数'!$E$9:$J$63,4,FALSE)</f>
        <v>6</v>
      </c>
      <c r="E44" s="107"/>
      <c r="F44" s="107" t="str">
        <v>毕业真实 Quote</v>
      </c>
      <c r="G44" s="108" t="n">
        <f>VLOOKUP($D$7,'Quote参数'!$E$9:$J$63,6,FALSE)</f>
        <v>8090</v>
      </c>
      <c r="H44" s="107"/>
      <c r="I44" s="107" t="str">
        <v>外盘净增加 / Quote</v>
      </c>
      <c r="J44" s="108" t="n">
        <f>IF($J$43="","",MAX(0,$J$43-$G$44))</f>
        <v>189227.07317073242</v>
      </c>
      <c r="K44" s="107"/>
      <c r="L44" s="107"/>
    </row>
    <row r="45" ht="30" hidden="1" customHeight="1" outlineLevel="1">
      <c r="A45"/>
      <c r="B45"/>
      <c r="C45" s="107" t="str">
        <v>总供应量</v>
      </c>
      <c r="D45" s="111" t="n">
        <f>1000000000</f>
        <v>1000000000</v>
      </c>
      <c r="E45" s="107"/>
      <c r="F45" s="107" t="str">
        <v>内盘初始 TOKEN</v>
      </c>
      <c r="G45" s="108" t="n">
        <f>$D$45</f>
        <v>1000000000</v>
      </c>
      <c r="H45" s="107"/>
      <c r="I45" s="107" t="str">
        <v>外盘含费投入 / Quote</v>
      </c>
      <c r="J45" s="108" t="n">
        <f>IF($J$42="","",($J$43-$G$44)/MAX(0.000000001,1-$G$42-$J$7))</f>
        <v>191138.45774821457</v>
      </c>
      <c r="K45" s="107"/>
      <c r="L45" s="107"/>
    </row>
    <row r="46" ht="30" hidden="1" customHeight="1" outlineLevel="1">
      <c r="A46"/>
      <c r="B46"/>
      <c r="C46" s="107" t="str">
        <v>协议参数证据</v>
      </c>
      <c r="D46" s="108" t="n">
        <f>VLOOKUP($D$7,'Quote参数'!$E$9:$P$63,12,FALSE)</f>
        <v>69045064</v>
      </c>
      <c r="E46" s="107"/>
      <c r="F46" s="107" t="str">
        <v>phantom Quote</v>
      </c>
      <c r="G46" s="108" t="n">
        <f>VLOOKUP($D$7,'Quote参数'!$E$9:$J$63,5,FALSE)</f>
        <v>3236</v>
      </c>
      <c r="H46" s="107"/>
      <c r="I46" s="107" t="str">
        <v>目标+1% FDV / Quote</v>
      </c>
      <c r="J46" s="108" t="n">
        <f>IF($J$43="","",$J$43/$J$42*$D$45)</f>
        <v>23581796.549672984</v>
      </c>
      <c r="K46" s="107"/>
      <c r="L46" s="107"/>
    </row>
    <row r="47" ht="30" hidden="1" customHeight="1" outlineLevel="1">
      <c r="A47"/>
      <c r="B47"/>
      <c r="C47" s="107" t="str">
        <v>外盘机制</v>
      </c>
      <c r="D47" s="108" t="str">
        <v>Uniswap V4 / exact-input</v>
      </c>
      <c r="E47" s="107"/>
      <c r="F47" s="107" t="str">
        <v>内盘 k</v>
      </c>
      <c r="G47" s="114" t="n">
        <f>$G$46*$D$45</f>
        <v>3236000000000</v>
      </c>
      <c r="H47" s="107"/>
      <c r="I47" s="107" t="str">
        <v>洗筹单边费率</v>
      </c>
      <c r="J47" s="112" t="n">
        <f>$G$42+$J$7</f>
        <v>0.01</v>
      </c>
      <c r="K47" s="107"/>
      <c r="L47" s="107"/>
    </row>
    <row r="48" ht="30" hidden="1" customHeight="1" outlineLevel="1">
      <c r="A48"/>
      <c r="B48"/>
      <c r="C48" s="107" t="str">
        <v>费用方向</v>
      </c>
      <c r="D48" s="108" t="str">
        <v>Hook + Creator Tax 从 Meme 输出扣除</v>
      </c>
      <c r="E48" s="107"/>
      <c r="F48" s="107" t="str">
        <v>外盘初始 TOKEN</v>
      </c>
      <c r="G48" s="108" t="n">
        <f>$D$45*$G$46*$G$44/($G$46+$G$44)^2</f>
        <v>204081632.6530612</v>
      </c>
      <c r="H48" s="107"/>
      <c r="I48" s="107" t="str">
        <v>预算缓冲</v>
      </c>
      <c r="J48" s="113" t="n">
        <v>0.01</v>
      </c>
      <c r="K48" s="107"/>
      <c r="L48" s="107"/>
    </row>
    <row r="49" ht="30" hidden="1" customHeight="1" outlineLevel="1">
      <c r="A49"/>
      <c r="B49"/>
      <c r="C49" s="107" t="str">
        <v>洗筹口径</v>
      </c>
      <c r="D49" s="108" t="str">
        <v>目标+1% FDV ×（Hook + Creator Tax）×2</v>
      </c>
      <c r="E49" s="107"/>
      <c r="F49" s="107" t="str">
        <v>外盘初始 Quote</v>
      </c>
      <c r="G49" s="108" t="n">
        <f>$G$44</f>
        <v>8090</v>
      </c>
      <c r="H49" s="107"/>
      <c r="I49" s="107" t="str">
        <v>分红与回购口径</v>
      </c>
      <c r="J49" s="108" t="str">
        <v>不抵扣分红 / 回购收益</v>
      </c>
      <c r="K49" s="107"/>
      <c r="L49" s="107"/>
    </row>
    <row r="50" ht="30" hidden="1" customHeight="1" outlineLevel="1">
      <c r="A50"/>
      <c r="B50"/>
      <c r="C50" s="107"/>
      <c r="D50" s="108"/>
      <c r="E50" s="107"/>
      <c r="F50" s="107" t="str">
        <v>外盘 k</v>
      </c>
      <c r="G50" s="114" t="n">
        <f>$G$48*$G$44</f>
        <v>1651020408163.2651</v>
      </c>
      <c r="H50" s="107"/>
      <c r="I50" s="107"/>
      <c r="J50" s="108"/>
      <c r="K50" s="107"/>
      <c r="L50" s="107"/>
    </row>
    <row r="51" ht="30" hidden="1" customHeight="1" outlineLevel="1">
      <c r="A51"/>
      <c r="B51"/>
      <c r="C51" s="107" t="str">
        <v>目标是否可达</v>
      </c>
      <c r="D51" s="108" t="str">
        <f>IF($J$51&lt;&gt;"参数有效",$J$51,IF(OR($D$8&lt;0,$D$8&gt;=1),"目标控筹率无效",IF(OR($J$7&lt;0,$J$7&gt;$G$53),"Creator Tax无效",IF($D$52&gt;=$D$54,"目标+1%不可达",IF($J$9="否","可达；Snipe税未计","可达")))))</f>
        <v>可达</v>
      </c>
      <c r="E51" s="107"/>
      <c r="F51" s="107" t="str">
        <v>Locker TOKEN</v>
      </c>
      <c r="G51" s="108" t="n">
        <f>$D$45*$G$46^2/($G$46+$G$44)^2</f>
        <v>81632653.06122449</v>
      </c>
      <c r="H51" s="107"/>
      <c r="I51" s="107" t="str">
        <v>输入检查</v>
      </c>
      <c r="J51" s="108" t="str">
        <f>IF(COUNT($D$8,$G$7:$G$12,$J$7:$J$8)&lt;&gt;9,"缺少或非数值参数",IF(OR($G$7&lt;1,$G$8&lt;0,$G$9&lt;0,$G$10&lt;0,$G$11&lt;0,$G$12&lt;0,$G$7&lt;&gt;INT($G$7),$G$8&lt;&gt;INT($G$8),$G$9&lt;&gt;INT($G$9),$G$10&lt;&gt;INT($G$10)),"地址/Gas/预留参数无效",IF(OR($J$8&lt;0,$J$8&gt;1,AND($J$9&lt;&gt;"是",$J$9&lt;&gt;"否"),AND($J$10&lt;&gt;"是",$J$10&lt;&gt;"否")),"平台设置无效","参数有效")))</f>
        <v>参数有效</v>
      </c>
      <c r="K51" s="107"/>
      <c r="L51" s="107"/>
    </row>
    <row r="52" ht="30" hidden="1" customHeight="1" outlineLevel="1">
      <c r="A52"/>
      <c r="B52"/>
      <c r="C52" s="107" t="str">
        <v>预算使用控筹率</v>
      </c>
      <c r="D52" s="113" t="n">
        <f>$D$8+1%</f>
        <v>0.91</v>
      </c>
      <c r="E52" s="107"/>
      <c r="F52" s="107" t="str">
        <v>Snipe 窗口</v>
      </c>
      <c r="G52" s="108" t="str">
        <v>3 秒；默认豁免或避开</v>
      </c>
      <c r="H52" s="107"/>
      <c r="I52" s="107"/>
      <c r="J52" s="108"/>
      <c r="K52" s="107"/>
      <c r="L52" s="107"/>
    </row>
    <row r="53" ht="30" hidden="1" customHeight="1" outlineLevel="1">
      <c r="A53"/>
      <c r="B53"/>
      <c r="C53" s="107" t="str">
        <v>地址总数</v>
      </c>
      <c r="D53" s="111" t="n">
        <f>MAX(0,$G$8)*MAX(0,$G$7)+MAX(0,$G$9)+MAX(0,$G$10)</f>
        <v>220</v>
      </c>
      <c r="E53" s="107"/>
      <c r="F53" s="107" t="str">
        <v>Creator Tax 上限</v>
      </c>
      <c r="G53" s="112" t="n">
        <f>10%</f>
        <v>0.1</v>
      </c>
      <c r="H53" s="107"/>
      <c r="I53" s="107"/>
      <c r="J53" s="108"/>
      <c r="K53" s="107"/>
      <c r="L53" s="107"/>
    </row>
    <row r="54" ht="30" hidden="1" customHeight="1" outlineLevel="1">
      <c r="A54"/>
      <c r="B54"/>
      <c r="C54" s="107" t="str">
        <v>当前控筹上限</v>
      </c>
      <c r="D54" s="113" t="n">
        <f>1-$G$51/$D$45</f>
        <v>0.9183673469387755</v>
      </c>
      <c r="E54" s="107"/>
      <c r="F54" s="107" t="str">
        <v>价格采用方式</v>
      </c>
      <c r="G54" s="108" t="str">
        <f>IF($D$9&lt;&gt;"","手动覆盖","每日行情")</f>
        <v>每日行情</v>
      </c>
      <c r="H54" s="107"/>
      <c r="I54" s="107" t="str">
        <v>洗后持仓保留比例</v>
      </c>
      <c r="J54" s="112" t="n">
        <f>MAX(0,1-$J$29)*MAX(0,1-$J$30)</f>
        <v>0.9801</v>
      </c>
      <c r="K54" s="107"/>
      <c r="L54" s="107"/>
    </row>
    <row r="55" ht="30" hidden="1" customHeight="1" outlineLevel="1">
      <c r="A55"/>
      <c r="B55"/>
      <c r="C55" s="107" t="str">
        <v>Quote 价格 / USDT</v>
      </c>
      <c r="D55" s="108" t="n">
        <f>IF($D$9&lt;&gt;"",IF(AND(ISNUMBER($D$9),$D$9&gt;0),$D$9,""),IF(VLOOKUP($D$7,'Quote参数'!$E$9:$S$63,15,FALSE)&gt;0,VLOOKUP($D$7,'Quote参数'!$E$9:$S$63,15,FALSE),""))</f>
        <v>1.0003961568781237</v>
      </c>
      <c r="E55" s="107"/>
      <c r="F55" s="107" t="str">
        <v>价格状态</v>
      </c>
      <c r="G55" s="108" t="str">
        <f>IF($D$9&lt;&gt;"",IF($D$55="","手动价格无效","手动价格"),IF($D$55="","缺少价格","每日行情"))</f>
        <v>每日行情</v>
      </c>
      <c r="H55" s="107"/>
      <c r="I55" s="107" t="str">
        <v>目标外盘 Pool TOKEN</v>
      </c>
      <c r="J55" s="108" t="n">
        <f>$G$48-($D$8-$G$43)*$D$45</f>
        <v>18367346.93877548</v>
      </c>
      <c r="K55" s="107"/>
      <c r="L55" s="107"/>
    </row>
    <row r="56" ht="30" hidden="1" customHeight="1" outlineLevel="1">
      <c r="A56"/>
      <c r="B56"/>
      <c r="C56" s="107" t="str">
        <v>行情时间 / UTC</v>
      </c>
      <c r="D56" s="150" t="n">
        <f>IF(VLOOKUP($D$7,'Quote参数'!$E$9:$T$63,16,FALSE)=0,"",VLOOKUP($D$7,'Quote参数'!$E$9:$T$63,16,FALSE))</f>
        <v>46285.27349457176</v>
      </c>
      <c r="E56" s="107"/>
      <c r="F56" s="107" t="str">
        <v>预留预算 / USDT</v>
      </c>
      <c r="G56" s="111" t="n">
        <v>10000</v>
      </c>
      <c r="H56" s="107"/>
      <c r="I56" s="107" t="str">
        <v>洗后外盘 Pool TOKEN</v>
      </c>
      <c r="J56" s="108" t="n">
        <f>$G$48-($D$27-$G$43)*$D$45</f>
        <v>36277346.93877548</v>
      </c>
      <c r="K56" s="107"/>
      <c r="L56" s="107"/>
    </row>
    <row r="57" ht="24" customHeight="1">
      <c r="A57"/>
      <c r="B57"/>
      <c r="C57" s="8" t="str">
        <v>内盘曲线</v>
      </c>
      <c r="D57" s="8"/>
      <c r="E57" s="8"/>
      <c r="F57" s="8"/>
      <c r="G57" s="8"/>
      <c r="H57" s="8"/>
      <c r="I57" s="8"/>
      <c r="J57" s="8"/>
      <c r="K57" s="8"/>
      <c r="L57" s="8"/>
    </row>
    <row r="58" ht="32" customHeight="1">
      <c r="A58"/>
      <c r="B58"/>
      <c r="C58" s="77" t="str">
        <v>控筹率</v>
      </c>
      <c r="D58" s="77" t="str">
        <v>pooled TOKEN</v>
      </c>
      <c r="E58" s="77" t="str">
        <v>pooled Quote</v>
      </c>
      <c r="F58" s="77" t="str">
        <v>价格 / Quote</v>
      </c>
      <c r="G58" s="77" t="str">
        <v>价格 / USDT</v>
      </c>
      <c r="H58" s="77" t="str">
        <v>市值 / Quote</v>
      </c>
      <c r="I58" s="77" t="str">
        <v>市值 / USDT</v>
      </c>
      <c r="J58" s="77" t="str">
        <v>区间净投入
/ Quote</v>
      </c>
      <c r="K58" s="77" t="str">
        <v>区间含费
/ Quote</v>
      </c>
      <c r="L58" s="77" t="str">
        <v>理论累计所需
/ Quote</v>
      </c>
    </row>
    <row r="59" ht="20" customHeight="1">
      <c r="A59"/>
      <c r="B59"/>
      <c r="C59" s="132" t="n">
        <v>0</v>
      </c>
      <c r="D59" s="144" t="n">
        <f>$D$45*(1-C59)</f>
        <v>1000000000</v>
      </c>
      <c r="E59" s="144" t="n">
        <f>$G$47/D59</f>
        <v>3236</v>
      </c>
      <c r="F59" s="135" t="n">
        <f>IF(OR(D59="",E59=""),"",E59/D59)</f>
        <v>0.000003236</v>
      </c>
      <c r="G59" s="135" t="n">
        <f>IF(OR($D$55="",NOT(ISNUMBER(F59))),"",F59*$D$55)</f>
        <v>0.0000032372819636576082</v>
      </c>
      <c r="H59" s="144" t="n">
        <f>IF(NOT(ISNUMBER(F59)),"",F59*$D$45)</f>
        <v>3236</v>
      </c>
      <c r="I59" s="144" t="n">
        <f>IF(OR($D$55="",NOT(ISNUMBER(H59))),"",H59*$D$55)</f>
        <v>3237.2819636576082</v>
      </c>
      <c r="J59" s="144" t="n">
        <f>0</f>
        <v>0</v>
      </c>
      <c r="K59" s="144" t="n">
        <f>J59/(1-$G$41-$J$7)</f>
        <v>0</v>
      </c>
      <c r="L59" s="147" t="n">
        <f>SUM($K$59:K59)</f>
        <v>0</v>
      </c>
    </row>
    <row r="60" ht="20" customHeight="1">
      <c r="A60"/>
      <c r="B60"/>
      <c r="C60" s="133" t="n">
        <v>0.1</v>
      </c>
      <c r="D60" s="145" t="n">
        <f>$D$45*(1-C60)</f>
        <v>900000000</v>
      </c>
      <c r="E60" s="145" t="n">
        <f>$G$47/D60</f>
        <v>3595.5555555555557</v>
      </c>
      <c r="F60" s="136" t="n">
        <f>IF(OR(D60="",E60=""),"",E60/D60)</f>
        <v>0.000003995061728395062</v>
      </c>
      <c r="G60" s="136" t="n">
        <f>IF(OR($D$55="",NOT(ISNUMBER(F60))),"",F60*$D$55)</f>
        <v>0.000003996644399577294</v>
      </c>
      <c r="H60" s="145" t="n">
        <f>IF(NOT(ISNUMBER(F60)),"",F60*$D$45)</f>
        <v>3995.0617283950623</v>
      </c>
      <c r="I60" s="145" t="n">
        <f>IF(OR($D$55="",NOT(ISNUMBER(H60))),"",H60*$D$55)</f>
        <v>3996.6443995772947</v>
      </c>
      <c r="J60" s="145" t="n">
        <f>E60-E59</f>
        <v>359.55555555555566</v>
      </c>
      <c r="K60" s="145" t="n">
        <f>J60/(1-$G$41-$J$7)</f>
        <v>363.18742985409665</v>
      </c>
      <c r="L60" s="148" t="n">
        <f>SUM($K$59:K60)</f>
        <v>363.18742985409665</v>
      </c>
    </row>
    <row r="61" ht="20" customHeight="1">
      <c r="A61"/>
      <c r="B61"/>
      <c r="C61" s="133" t="n">
        <v>0.2</v>
      </c>
      <c r="D61" s="145" t="n">
        <f>$D$45*(1-C61)</f>
        <v>800000000</v>
      </c>
      <c r="E61" s="145" t="n">
        <f>$G$47/D61</f>
        <v>4045</v>
      </c>
      <c r="F61" s="136" t="n">
        <f>IF(OR(D61="",E61=""),"",E61/D61)</f>
        <v>0.00000505625</v>
      </c>
      <c r="G61" s="136" t="n">
        <f>IF(OR($D$55="",NOT(ISNUMBER(F61))),"",F61*$D$55)</f>
        <v>0.0000050582530682150125</v>
      </c>
      <c r="H61" s="145" t="n">
        <f>IF(NOT(ISNUMBER(F61)),"",F61*$D$45)</f>
        <v>5056.25</v>
      </c>
      <c r="I61" s="145" t="n">
        <f>IF(OR($D$55="",NOT(ISNUMBER(H61))),"",H61*$D$55)</f>
        <v>5058.253068215013</v>
      </c>
      <c r="J61" s="145" t="n">
        <f>E61-E60</f>
        <v>449.44444444444434</v>
      </c>
      <c r="K61" s="145" t="n">
        <f>J61/(1-$G$41-$J$7)</f>
        <v>453.98428731762056</v>
      </c>
      <c r="L61" s="148" t="n">
        <f>SUM($K$59:K61)</f>
        <v>817.1717171717172</v>
      </c>
    </row>
    <row r="62" ht="20" customHeight="1">
      <c r="A62"/>
      <c r="B62"/>
      <c r="C62" s="133" t="n">
        <v>0.3</v>
      </c>
      <c r="D62" s="145" t="n">
        <f>$D$45*(1-C62)</f>
        <v>700000000</v>
      </c>
      <c r="E62" s="145" t="n">
        <f>$G$47/D62</f>
        <v>4622.857142857143</v>
      </c>
      <c r="F62" s="136" t="n">
        <f>IF(OR(D62="",E62=""),"",E62/D62)</f>
        <v>0.000006604081632653062</v>
      </c>
      <c r="G62" s="136" t="n">
        <f>IF(OR($D$55="",NOT(ISNUMBER(F62))),"",F62*$D$55)</f>
        <v>0.0000066066978850155274</v>
      </c>
      <c r="H62" s="145" t="n">
        <f>IF(NOT(ISNUMBER(F62)),"",F62*$D$45)</f>
        <v>6604.081632653062</v>
      </c>
      <c r="I62" s="145" t="n">
        <f>IF(OR($D$55="",NOT(ISNUMBER(H62))),"",H62*$D$55)</f>
        <v>6606.697885015527</v>
      </c>
      <c r="J62" s="145" t="n">
        <f>E62-E61</f>
        <v>577.8571428571431</v>
      </c>
      <c r="K62" s="145" t="n">
        <f>J62/(1-$G$41-$J$7)</f>
        <v>583.6940836940839</v>
      </c>
      <c r="L62" s="148" t="n">
        <f>SUM($K$59:K62)</f>
        <v>1400.8658008658012</v>
      </c>
    </row>
    <row r="63" ht="20" customHeight="1">
      <c r="A63"/>
      <c r="B63"/>
      <c r="C63" s="133" t="n">
        <v>0.4</v>
      </c>
      <c r="D63" s="145" t="n">
        <f>$D$45*(1-C63)</f>
        <v>600000000</v>
      </c>
      <c r="E63" s="145" t="n">
        <f>$G$47/D63</f>
        <v>5393.333333333333</v>
      </c>
      <c r="F63" s="136" t="n">
        <f>IF(OR(D63="",E63=""),"",E63/D63)</f>
        <v>0.000008988888888888889</v>
      </c>
      <c r="G63" s="136" t="n">
        <f>IF(OR($D$55="",NOT(ISNUMBER(F63))),"",F63*$D$55)</f>
        <v>0.000008992449899048911</v>
      </c>
      <c r="H63" s="145" t="n">
        <f>IF(NOT(ISNUMBER(F63)),"",F63*$D$45)</f>
        <v>8988.888888888889</v>
      </c>
      <c r="I63" s="145" t="n">
        <f>IF(OR($D$55="",NOT(ISNUMBER(H63))),"",H63*$D$55)</f>
        <v>8992.449899048912</v>
      </c>
      <c r="J63" s="145" t="n">
        <f>E63-E62</f>
        <v>770.4761904761899</v>
      </c>
      <c r="K63" s="145" t="n">
        <f>J63/(1-$G$41-$J$7)</f>
        <v>778.2587782587777</v>
      </c>
      <c r="L63" s="148" t="n">
        <f>SUM($K$59:K63)</f>
        <v>2179.124579124579</v>
      </c>
    </row>
    <row r="64" ht="20" customHeight="1">
      <c r="A64"/>
      <c r="B64"/>
      <c r="C64" s="133" t="n">
        <v>0.5</v>
      </c>
      <c r="D64" s="145" t="n">
        <f>$D$45*(1-C64)</f>
        <v>500000000</v>
      </c>
      <c r="E64" s="145" t="n">
        <f>$G$47/D64</f>
        <v>6472</v>
      </c>
      <c r="F64" s="136" t="n">
        <f>IF(OR(D64="",E64=""),"",E64/D64)</f>
        <v>0.000012944</v>
      </c>
      <c r="G64" s="136" t="n">
        <f>IF(OR($D$55="",NOT(ISNUMBER(F64))),"",F64*$D$55)</f>
        <v>0.000012949127854630433</v>
      </c>
      <c r="H64" s="145" t="n">
        <f>IF(NOT(ISNUMBER(F64)),"",F64*$D$45)</f>
        <v>12944</v>
      </c>
      <c r="I64" s="145" t="n">
        <f>IF(OR($D$55="",NOT(ISNUMBER(H64))),"",H64*$D$55)</f>
        <v>12949.127854630433</v>
      </c>
      <c r="J64" s="145" t="n">
        <f>E64-E63</f>
        <v>1078.666666666667</v>
      </c>
      <c r="K64" s="145" t="n">
        <f>J64/(1-$G$41-$J$7)</f>
        <v>1089.5622895622898</v>
      </c>
      <c r="L64" s="148" t="n">
        <f>SUM($K$59:K64)</f>
        <v>3268.6868686868693</v>
      </c>
    </row>
    <row r="65" ht="20" customHeight="1">
      <c r="A65"/>
      <c r="B65"/>
      <c r="C65" s="133" t="n">
        <v>0.6</v>
      </c>
      <c r="D65" s="145" t="n">
        <f>$D$45*(1-C65)</f>
        <v>400000000</v>
      </c>
      <c r="E65" s="145" t="n">
        <f>$G$47/D65</f>
        <v>8090</v>
      </c>
      <c r="F65" s="136" t="n">
        <f>IF(OR(D65="",E65=""),"",E65/D65)</f>
        <v>0.000020225</v>
      </c>
      <c r="G65" s="136" t="n">
        <f>IF(OR($D$55="",NOT(ISNUMBER(F65))),"",F65*$D$55)</f>
        <v>0.00002023301227286005</v>
      </c>
      <c r="H65" s="145" t="n">
        <f>IF(NOT(ISNUMBER(F65)),"",F65*$D$45)</f>
        <v>20225</v>
      </c>
      <c r="I65" s="145" t="n">
        <f>IF(OR($D$55="",NOT(ISNUMBER(H65))),"",H65*$D$55)</f>
        <v>20233.01227286005</v>
      </c>
      <c r="J65" s="145" t="n">
        <f>E65-E64</f>
        <v>1618</v>
      </c>
      <c r="K65" s="145" t="n">
        <f>J65/(1-$G$41-$J$7)</f>
        <v>1634.3434343434344</v>
      </c>
      <c r="L65" s="148" t="n">
        <f>SUM($K$59:K65)</f>
        <v>4903.030303030304</v>
      </c>
    </row>
    <row r="66" ht="20" customHeight="1">
      <c r="A66"/>
      <c r="B66"/>
      <c r="C66" s="133" t="n">
        <v>0.7</v>
      </c>
      <c r="D66" s="145" t="n">
        <f>$D$45*(1-C66)</f>
        <v>300000000.00000006</v>
      </c>
      <c r="E66" s="145" t="n">
        <f>$G$47/D66</f>
        <v>10786.666666666664</v>
      </c>
      <c r="F66" s="136" t="n">
        <f>IF(OR(D66="",E66=""),"",E66/D66)</f>
        <v>0.00003595555555555554</v>
      </c>
      <c r="G66" s="136" t="n">
        <f>IF(OR($D$55="",NOT(ISNUMBER(F66))),"",F66*$D$55)</f>
        <v>0.00003596979959619563</v>
      </c>
      <c r="H66" s="145" t="n">
        <f>IF(NOT(ISNUMBER(F66)),"",F66*$D$45)</f>
        <v>35955.55555555554</v>
      </c>
      <c r="I66" s="145" t="n">
        <f>IF(OR($D$55="",NOT(ISNUMBER(H66))),"",H66*$D$55)</f>
        <v>35969.79959619563</v>
      </c>
      <c r="J66" s="145" t="n">
        <f>E66-E65</f>
        <v>2696.6666666666642</v>
      </c>
      <c r="K66" s="145" t="n">
        <f>J66/(1-$G$41-$J$7)</f>
        <v>2723.9057239057215</v>
      </c>
      <c r="L66" s="148" t="n">
        <f>SUM($K$59:K66)</f>
        <v>7626.936026936026</v>
      </c>
    </row>
    <row r="67" ht="20" customHeight="1">
      <c r="A67"/>
      <c r="B67"/>
      <c r="C67" s="134" t="n">
        <f>$G$43</f>
        <v>0.7142857142857143</v>
      </c>
      <c r="D67" s="146" t="n">
        <f>$D$45*(1-C67)</f>
        <v>285714285.7142857</v>
      </c>
      <c r="E67" s="146" t="n">
        <f>$G$47/D67</f>
        <v>11326.000000000002</v>
      </c>
      <c r="F67" s="137" t="n">
        <f>IF(OR(D67="",E67=""),"",E67/D67)</f>
        <v>0.00003964100000000001</v>
      </c>
      <c r="G67" s="137" t="n">
        <f>IF(OR($D$55="",NOT(ISNUMBER(F67))),"",F67*$D$55)</f>
        <v>0.00003965670405480571</v>
      </c>
      <c r="H67" s="146" t="n">
        <f>IF(NOT(ISNUMBER(F67)),"",F67*$D$45)</f>
        <v>39641.00000000001</v>
      </c>
      <c r="I67" s="146" t="n">
        <f>IF(OR($D$55="",NOT(ISNUMBER(H67))),"",H67*$D$55)</f>
        <v>39656.704054805705</v>
      </c>
      <c r="J67" s="146" t="n">
        <f>E67-E66</f>
        <v>539.3333333333376</v>
      </c>
      <c r="K67" s="146" t="n">
        <f>J67/(1-$G$41-$J$7)</f>
        <v>544.7811447811491</v>
      </c>
      <c r="L67" s="149" t="n">
        <f>SUM($K$59:K67)</f>
        <v>8171.717171717175</v>
      </c>
    </row>
    <row r="68" ht="20" customHeight="1">
      <c r="A68"/>
      <c r="B68"/>
      <c r="C68" s="106"/>
      <c r="D68" s="106"/>
      <c r="E68" s="106"/>
      <c r="F68" s="106"/>
      <c r="G68" s="106"/>
      <c r="H68" s="106"/>
      <c r="I68" s="106"/>
      <c r="J68" s="106"/>
      <c r="K68" s="106"/>
      <c r="L68" s="106"/>
    </row>
    <row r="69" ht="20" customHeight="1">
      <c r="A69"/>
      <c r="B69"/>
      <c r="C69" s="106"/>
      <c r="D69" s="106"/>
      <c r="E69" s="106"/>
      <c r="F69" s="106"/>
      <c r="G69" s="106"/>
      <c r="H69" s="106"/>
      <c r="I69" s="106"/>
      <c r="J69" s="106"/>
      <c r="K69" s="106"/>
      <c r="L69" s="106"/>
    </row>
    <row r="70" ht="24" customHeight="1">
      <c r="A70"/>
      <c r="B70"/>
      <c r="C70" s="8" t="str">
        <v>外盘曲线</v>
      </c>
      <c r="D70" s="8"/>
      <c r="E70" s="8"/>
      <c r="F70" s="8"/>
      <c r="G70" s="8"/>
      <c r="H70" s="8"/>
      <c r="I70" s="8"/>
      <c r="J70" s="8"/>
      <c r="K70" s="8"/>
      <c r="L70" s="8"/>
    </row>
    <row r="71" ht="32" customHeight="1">
      <c r="A71"/>
      <c r="B71"/>
      <c r="C71" s="77" t="str">
        <v>控筹率</v>
      </c>
      <c r="D71" s="77" t="str">
        <v>pooled TOKEN</v>
      </c>
      <c r="E71" s="77" t="str">
        <v>pooled Quote</v>
      </c>
      <c r="F71" s="77" t="str">
        <v>价格 / Quote</v>
      </c>
      <c r="G71" s="77" t="str">
        <v>价格 / USDT</v>
      </c>
      <c r="H71" s="77" t="str">
        <v>市值 / Quote</v>
      </c>
      <c r="I71" s="77" t="str">
        <v>市值 / USDT</v>
      </c>
      <c r="J71" s="77" t="str">
        <v>外盘净投入
/ Quote</v>
      </c>
      <c r="K71" s="77" t="str">
        <v>外盘含费
/ Quote</v>
      </c>
      <c r="L71" s="77" t="str">
        <v>理论累计所需
/ Quote</v>
      </c>
    </row>
    <row r="72" ht="20" customHeight="1">
      <c r="A72"/>
      <c r="B72"/>
      <c r="C72" s="132" t="n">
        <f>$G$43</f>
        <v>0.7142857142857143</v>
      </c>
      <c r="D72" s="144" t="n">
        <f>$G$48</f>
        <v>204081632.6530612</v>
      </c>
      <c r="E72" s="144" t="n">
        <f>$G$44</f>
        <v>8090</v>
      </c>
      <c r="F72" s="135" t="n">
        <f>IF(OR(D72="",E72=""),"",E72/D72)</f>
        <v>0.000039641</v>
      </c>
      <c r="G72" s="135" t="n">
        <f>IF(OR($D$55="",NOT(ISNUMBER(F72))),"",F72*$D$55)</f>
        <v>0.0000396567040548057</v>
      </c>
      <c r="H72" s="144" t="n">
        <f>IF(NOT(ISNUMBER(F72)),"",F72*$D$45)</f>
        <v>39641</v>
      </c>
      <c r="I72" s="144" t="n">
        <f>IF(OR($D$55="",NOT(ISNUMBER(H72))),"",H72*$D$55)</f>
        <v>39656.7040548057</v>
      </c>
      <c r="J72" s="144" t="n">
        <f>0</f>
        <v>0</v>
      </c>
      <c r="K72" s="144" t="n">
        <f>0</f>
        <v>0</v>
      </c>
      <c r="L72" s="147" t="n">
        <f>$J$41</f>
        <v>8171.717171717171</v>
      </c>
    </row>
    <row r="73" ht="20" customHeight="1">
      <c r="A73"/>
      <c r="B73"/>
      <c r="C73" s="133" t="n">
        <v>0.75</v>
      </c>
      <c r="D73" s="145" t="n">
        <f>IF(C73&lt;$D$54,$D$45*(1-C73)-$G$51,"")</f>
        <v>168367346.9387755</v>
      </c>
      <c r="E73" s="145" t="n">
        <f>IF(D73="","",$G$50/D73)</f>
        <v>9806.060606060604</v>
      </c>
      <c r="F73" s="136" t="n">
        <f>IF(OR(D73="",E73=""),"",E73/D73)</f>
        <v>0.000058242056932966014</v>
      </c>
      <c r="G73" s="136" t="n">
        <f>IF(OR($D$55="",NOT(ISNUMBER(F73))),"",F73*$D$55)</f>
        <v>0.00005826512992441608</v>
      </c>
      <c r="H73" s="145" t="n">
        <f>IF(NOT(ISNUMBER(F73)),"",F73*$D$45)</f>
        <v>58242.056932966014</v>
      </c>
      <c r="I73" s="145" t="n">
        <f>IF(OR($D$55="",NOT(ISNUMBER(H73))),"",H73*$D$55)</f>
        <v>58265.12992441608</v>
      </c>
      <c r="J73" s="145" t="n">
        <f>IF(E73="","",MAX(0,E73-$G$44))</f>
        <v>1716.0606060606042</v>
      </c>
      <c r="K73" s="145" t="n">
        <f>IF(D73="","",MAX(0,$G$50/D73-$G$44)/MAX(0.000000001,1-$G$42-$J$7))</f>
        <v>1733.3945515763678</v>
      </c>
      <c r="L73" s="148" t="n">
        <f>IF(K73="","",$J$41+K73)</f>
        <v>9905.11172329354</v>
      </c>
    </row>
    <row r="74" ht="20" customHeight="1">
      <c r="A74"/>
      <c r="B74"/>
      <c r="C74" s="133" t="n">
        <v>0.8</v>
      </c>
      <c r="D74" s="145" t="n">
        <f>IF(C74&lt;$D$54,$D$45*(1-C74)-$G$51,"")</f>
        <v>118367346.93877548</v>
      </c>
      <c r="E74" s="145" t="n">
        <f>IF(D74="","",$G$50/D74)</f>
        <v>13948.275862068967</v>
      </c>
      <c r="F74" s="136" t="n">
        <f>IF(OR(D74="",E74=""),"",E74/D74)</f>
        <v>0.00011783888228299648</v>
      </c>
      <c r="G74" s="136" t="n">
        <f>IF(OR($D$55="",NOT(ISNUMBER(F74))),"",F74*$D$55)</f>
        <v>0.0001178855649667233</v>
      </c>
      <c r="H74" s="145" t="n">
        <f>IF(NOT(ISNUMBER(F74)),"",F74*$D$45)</f>
        <v>117838.88228299648</v>
      </c>
      <c r="I74" s="145" t="n">
        <f>IF(OR($D$55="",NOT(ISNUMBER(H74))),"",H74*$D$55)</f>
        <v>117885.5649667233</v>
      </c>
      <c r="J74" s="145" t="n">
        <f>IF(E74="","",MAX(0,E74-$G$44))</f>
        <v>5858.275862068967</v>
      </c>
      <c r="K74" s="145" t="n">
        <f>IF(D74="","",MAX(0,$G$50/D74-$G$44)/MAX(0.000000001,1-$G$42-$J$7))</f>
        <v>5917.450365726229</v>
      </c>
      <c r="L74" s="148" t="n">
        <f>IF(K74="","",$J$41+K74)</f>
        <v>14089.167537443402</v>
      </c>
    </row>
    <row r="75" ht="20" customHeight="1">
      <c r="A75"/>
      <c r="B75"/>
      <c r="C75" s="133" t="n">
        <v>0.82</v>
      </c>
      <c r="D75" s="145" t="n">
        <f>IF(C75&lt;$D$54,$D$45*(1-C75)-$G$51,"")</f>
        <v>98367346.93877557</v>
      </c>
      <c r="E75" s="145" t="n">
        <f>IF(D75="","",$G$50/D75)</f>
        <v>16784.232365145217</v>
      </c>
      <c r="F75" s="136" t="n">
        <f>IF(OR(D75="",E75=""),"",E75/D75)</f>
        <v>0.00017062808835935998</v>
      </c>
      <c r="G75" s="136" t="n">
        <f>IF(OR($D$55="",NOT(ISNUMBER(F75))),"",F75*$D$55)</f>
        <v>0.00017069568385016462</v>
      </c>
      <c r="H75" s="145" t="n">
        <f>IF(NOT(ISNUMBER(F75)),"",F75*$D$45)</f>
        <v>170628.08835935997</v>
      </c>
      <c r="I75" s="145" t="n">
        <f>IF(OR($D$55="",NOT(ISNUMBER(H75))),"",H75*$D$55)</f>
        <v>170695.6838501646</v>
      </c>
      <c r="J75" s="145" t="n">
        <f>IF(E75="","",MAX(0,E75-$G$44))</f>
        <v>8694.232365145217</v>
      </c>
      <c r="K75" s="145" t="n">
        <f>IF(D75="","",MAX(0,$G$50/D75-$G$44)/MAX(0.000000001,1-$G$42-$J$7))</f>
        <v>8782.052894086079</v>
      </c>
      <c r="L75" s="148" t="n">
        <f>IF(K75="","",$J$41+K75)</f>
        <v>16953.770065803248</v>
      </c>
    </row>
    <row r="76" ht="20" customHeight="1">
      <c r="A76"/>
      <c r="B76"/>
      <c r="C76" s="133" t="n">
        <v>0.84</v>
      </c>
      <c r="D76" s="145" t="n">
        <f>IF(C76&lt;$D$54,$D$45*(1-C76)-$G$51,"")</f>
        <v>78367346.93877554</v>
      </c>
      <c r="E76" s="145" t="n">
        <f>IF(D76="","",$G$50/D76)</f>
        <v>21067.708333333325</v>
      </c>
      <c r="F76" s="136" t="n">
        <f>IF(OR(D76="",E76=""),"",E76/D76)</f>
        <v>0.00026883273654513867</v>
      </c>
      <c r="G76" s="136" t="n">
        <f>IF(OR($D$55="",NOT(ISNUMBER(F76))),"",F76*$D$55)</f>
        <v>0.0002689392364827858</v>
      </c>
      <c r="H76" s="145" t="n">
        <f>IF(NOT(ISNUMBER(F76)),"",F76*$D$45)</f>
        <v>268832.73654513864</v>
      </c>
      <c r="I76" s="145" t="n">
        <f>IF(OR($D$55="",NOT(ISNUMBER(H76))),"",H76*$D$55)</f>
        <v>268939.2364827858</v>
      </c>
      <c r="J76" s="145" t="n">
        <f>IF(E76="","",MAX(0,E76-$G$44))</f>
        <v>12977.708333333325</v>
      </c>
      <c r="K76" s="145" t="n">
        <f>IF(D76="","",MAX(0,$G$50/D76-$G$44)/MAX(0.000000001,1-$G$42-$J$7))</f>
        <v>13108.796296296288</v>
      </c>
      <c r="L76" s="148" t="n">
        <f>IF(K76="","",$J$41+K76)</f>
        <v>21280.513468013458</v>
      </c>
    </row>
    <row r="77" ht="20" customHeight="1">
      <c r="A77"/>
      <c r="B77"/>
      <c r="C77" s="133" t="n">
        <v>0.86</v>
      </c>
      <c r="D77" s="145" t="n">
        <f>IF(C77&lt;$D$54,$D$45*(1-C77)-$G$51,"")</f>
        <v>58367346.93877551</v>
      </c>
      <c r="E77" s="145" t="n">
        <f>IF(D77="","",$G$50/D77)</f>
        <v>28286.713286713286</v>
      </c>
      <c r="F77" s="136" t="n">
        <f>IF(OR(D77="",E77=""),"",E77/D77)</f>
        <v>0.0004846325003667661</v>
      </c>
      <c r="G77" s="136" t="n">
        <f>IF(OR($D$55="",NOT(ISNUMBER(F77))),"",F77*$D$55)</f>
        <v>0.0004848244908651487</v>
      </c>
      <c r="H77" s="145" t="n">
        <f>IF(NOT(ISNUMBER(F77)),"",F77*$D$45)</f>
        <v>484632.5003667661</v>
      </c>
      <c r="I77" s="145" t="n">
        <f>IF(OR($D$55="",NOT(ISNUMBER(H77))),"",H77*$D$55)</f>
        <v>484824.49086514866</v>
      </c>
      <c r="J77" s="145" t="n">
        <f>IF(E77="","",MAX(0,E77-$G$44))</f>
        <v>20196.713286713286</v>
      </c>
      <c r="K77" s="145" t="n">
        <f>IF(D77="","",MAX(0,$G$50/D77-$G$44)/MAX(0.000000001,1-$G$42-$J$7))</f>
        <v>20400.72049162958</v>
      </c>
      <c r="L77" s="148" t="n">
        <f>IF(K77="","",$J$41+K77)</f>
        <v>28572.437663346755</v>
      </c>
    </row>
    <row r="78" ht="20" customHeight="1">
      <c r="A78"/>
      <c r="B78"/>
      <c r="C78" s="133" t="n">
        <v>0.88</v>
      </c>
      <c r="D78" s="145" t="n">
        <f>IF(C78&lt;$D$54,$D$45*(1-C78)-$G$51,"")</f>
        <v>38367346.93877551</v>
      </c>
      <c r="E78" s="145" t="n">
        <f>IF(D78="","",$G$50/D78)</f>
        <v>43031.91489361702</v>
      </c>
      <c r="F78" s="136" t="n">
        <f>IF(OR(D78="",E78=""),"",E78/D78)</f>
        <v>0.0011215765052059754</v>
      </c>
      <c r="G78" s="136" t="n">
        <f>IF(OR($D$55="",NOT(ISNUMBER(F78))),"",F78*$D$55)</f>
        <v>0.0011220208254528546</v>
      </c>
      <c r="H78" s="145" t="n">
        <f>IF(NOT(ISNUMBER(F78)),"",F78*$D$45)</f>
        <v>1121576.5052059754</v>
      </c>
      <c r="I78" s="145" t="n">
        <f>IF(OR($D$55="",NOT(ISNUMBER(H78))),"",H78*$D$55)</f>
        <v>1122020.8254528546</v>
      </c>
      <c r="J78" s="145" t="n">
        <f>IF(E78="","",MAX(0,E78-$G$44))</f>
        <v>34941.91489361702</v>
      </c>
      <c r="K78" s="145" t="n">
        <f>IF(D78="","",MAX(0,$G$50/D78-$G$44)/MAX(0.000000001,1-$G$42-$J$7))</f>
        <v>35294.86352890608</v>
      </c>
      <c r="L78" s="148" t="n">
        <f>IF(K78="","",$J$41+K78)</f>
        <v>43466.58070062325</v>
      </c>
    </row>
    <row r="79" ht="20" customHeight="1">
      <c r="A79"/>
      <c r="B79"/>
      <c r="C79" s="133" t="n">
        <v>0.89</v>
      </c>
      <c r="D79" s="145" t="n">
        <f>IF(C79&lt;$D$54,$D$45*(1-C79)-$G$51,"")</f>
        <v>28367346.938775495</v>
      </c>
      <c r="E79" s="145" t="n">
        <f>IF(D79="","",$G$50/D79)</f>
        <v>58201.43884892089</v>
      </c>
      <c r="F79" s="136" t="n">
        <f>IF(OR(D79="",E79=""),"",E79/D79)</f>
        <v>0.002051705398271313</v>
      </c>
      <c r="G79" s="136" t="n">
        <f>IF(OR($D$55="",NOT(ISNUMBER(F79))),"",F79*$D$55)</f>
        <v>0.0020525181954767218</v>
      </c>
      <c r="H79" s="145" t="n">
        <f>IF(NOT(ISNUMBER(F79)),"",F79*$D$45)</f>
        <v>2051705.3982713132</v>
      </c>
      <c r="I79" s="145" t="n">
        <f>IF(OR($D$55="",NOT(ISNUMBER(H79))),"",H79*$D$55)</f>
        <v>2052518.1954767217</v>
      </c>
      <c r="J79" s="145" t="n">
        <f>IF(E79="","",MAX(0,E79-$G$44))</f>
        <v>50111.43884892089</v>
      </c>
      <c r="K79" s="145" t="n">
        <f>IF(D79="","",MAX(0,$G$50/D79-$G$44)/MAX(0.000000001,1-$G$42-$J$7))</f>
        <v>50617.61499890999</v>
      </c>
      <c r="L79" s="148" t="n">
        <f>IF(K79="","",$J$41+K79)</f>
        <v>58789.33217062716</v>
      </c>
    </row>
    <row r="80" ht="20" customHeight="1">
      <c r="A80"/>
      <c r="B80"/>
      <c r="C80" s="133" t="n">
        <v>0.9</v>
      </c>
      <c r="D80" s="145" t="n">
        <f>IF(C80&lt;$D$54,$D$45*(1-C80)-$G$51,"")</f>
        <v>18367346.938775495</v>
      </c>
      <c r="E80" s="145" t="n">
        <f>IF(D80="","",$G$50/D80)</f>
        <v>89888.88888888895</v>
      </c>
      <c r="F80" s="136" t="n">
        <f>IF(OR(D80="",E80=""),"",E80/D80)</f>
        <v>0.004893950617283958</v>
      </c>
      <c r="G80" s="136" t="n">
        <f>IF(OR($D$55="",NOT(ISNUMBER(F80))),"",F80*$D$55)</f>
        <v>0.004895889389482193</v>
      </c>
      <c r="H80" s="145" t="n">
        <f>IF(NOT(ISNUMBER(F80)),"",F80*$D$45)</f>
        <v>4893950.617283958</v>
      </c>
      <c r="I80" s="145" t="n">
        <f>IF(OR($D$55="",NOT(ISNUMBER(H80))),"",H80*$D$55)</f>
        <v>4895889.389482193</v>
      </c>
      <c r="J80" s="145" t="n">
        <f>IF(E80="","",MAX(0,E80-$G$44))</f>
        <v>81798.88888888895</v>
      </c>
      <c r="K80" s="145" t="n">
        <f>IF(D80="","",MAX(0,$G$50/D80-$G$44)/MAX(0.000000001,1-$G$42-$J$7))</f>
        <v>82625.14029180702</v>
      </c>
      <c r="L80" s="148" t="n">
        <f>IF(K80="","",$J$41+K80)</f>
        <v>90796.8574635242</v>
      </c>
    </row>
    <row r="81" ht="20" customHeight="1">
      <c r="A81"/>
      <c r="B81"/>
      <c r="C81" s="133" t="n">
        <v>0.905</v>
      </c>
      <c r="D81" s="145" t="n">
        <f>IF(C81&lt;$D$54,$D$45*(1-C81)-$G$51,"")</f>
        <v>13367346.93877548</v>
      </c>
      <c r="E81" s="145" t="n">
        <f>IF(D81="","",$G$50/D81)</f>
        <v>123511.45038167966</v>
      </c>
      <c r="F81" s="136" t="n">
        <f>IF(OR(D81="",E81=""),"",E81/D81)</f>
        <v>0.009239787891148576</v>
      </c>
      <c r="G81" s="136" t="n">
        <f>IF(OR($D$55="",NOT(ISNUMBER(F81))),"",F81*$D$55)</f>
        <v>0.009243448296674058</v>
      </c>
      <c r="H81" s="145" t="n">
        <f>IF(NOT(ISNUMBER(F81)),"",F81*$D$45)</f>
        <v>9239787.891148577</v>
      </c>
      <c r="I81" s="145" t="n">
        <f>IF(OR($D$55="",NOT(ISNUMBER(H81))),"",H81*$D$55)</f>
        <v>9243448.29667406</v>
      </c>
      <c r="J81" s="145" t="n">
        <f>IF(E81="","",MAX(0,E81-$G$44))</f>
        <v>115421.45038167966</v>
      </c>
      <c r="K81" s="145" t="n">
        <f>IF(D81="","",MAX(0,$G$50/D81-$G$44)/MAX(0.000000001,1-$G$42-$J$7))</f>
        <v>116587.32361785824</v>
      </c>
      <c r="L81" s="148" t="n">
        <f>IF(K81="","",$J$41+K81)</f>
        <v>124759.04078957542</v>
      </c>
    </row>
    <row r="82" ht="20" customHeight="1">
      <c r="A82"/>
      <c r="B82"/>
      <c r="C82" s="133" t="n">
        <v>0.91</v>
      </c>
      <c r="D82" s="145" t="n">
        <f>IF(C82&lt;$D$54,$D$45*(1-C82)-$G$51,"")</f>
        <v>8367346.93877548</v>
      </c>
      <c r="E82" s="145" t="n">
        <f>IF(D82="","",$G$50/D82)</f>
        <v>197317.07317073242</v>
      </c>
      <c r="F82" s="136" t="n">
        <f>IF(OR(D82="",E82=""),"",E82/D82)</f>
        <v>0.023581796549672983</v>
      </c>
      <c r="G82" s="136" t="n">
        <f>IF(OR($D$55="",NOT(ISNUMBER(F82))),"",F82*$D$55)</f>
        <v>0.02359113864057465</v>
      </c>
      <c r="H82" s="145" t="n">
        <f>IF(NOT(ISNUMBER(F82)),"",F82*$D$45)</f>
        <v>23581796.549672984</v>
      </c>
      <c r="I82" s="145" t="n">
        <f>IF(OR($D$55="",NOT(ISNUMBER(H82))),"",H82*$D$55)</f>
        <v>23591138.64057465</v>
      </c>
      <c r="J82" s="145" t="n">
        <f>IF(E82="","",MAX(0,E82-$G$44))</f>
        <v>189227.07317073242</v>
      </c>
      <c r="K82" s="145" t="n">
        <f>IF(D82="","",MAX(0,$G$50/D82-$G$44)/MAX(0.000000001,1-$G$42-$J$7))</f>
        <v>191138.45774821457</v>
      </c>
      <c r="L82" s="148" t="n">
        <f>IF(K82="","",$J$41+K82)</f>
        <v>199310.17491993174</v>
      </c>
    </row>
    <row r="83" ht="20" customHeight="1">
      <c r="A83"/>
      <c r="B83"/>
      <c r="C83" s="133" t="n">
        <v>0.915</v>
      </c>
      <c r="D83" s="145" t="n">
        <f>IF(C83&lt;$D$54,$D$45*(1-C83)-$G$51,"")</f>
        <v>3367346.93877548</v>
      </c>
      <c r="E83" s="145" t="n">
        <f>IF(D83="","",$G$50/D83)</f>
        <v>490303.0303030347</v>
      </c>
      <c r="F83" s="136" t="n">
        <f>IF(OR(D83="",E83=""),"",E83/D83)</f>
        <v>0.14560514233241767</v>
      </c>
      <c r="G83" s="136" t="n">
        <f>IF(OR($D$55="",NOT(ISNUMBER(F83))),"",F83*$D$55)</f>
        <v>0.14566282481104284</v>
      </c>
      <c r="H83" s="145" t="n">
        <f>IF(NOT(ISNUMBER(F83)),"",F83*$D$45)</f>
        <v>145605142.33241767</v>
      </c>
      <c r="I83" s="145" t="n">
        <f>IF(OR($D$55="",NOT(ISNUMBER(H83))),"",H83*$D$55)</f>
        <v>145662824.81104282</v>
      </c>
      <c r="J83" s="145" t="n">
        <f>IF(E83="","",MAX(0,E83-$G$44))</f>
        <v>482213.0303030347</v>
      </c>
      <c r="K83" s="145" t="n">
        <f>IF(D83="","",MAX(0,$G$50/D83-$G$44)/MAX(0.000000001,1-$G$42-$J$7))</f>
        <v>487083.86899296433</v>
      </c>
      <c r="L83" s="148" t="n">
        <f>IF(K83="","",$J$41+K83)</f>
        <v>495255.5861646815</v>
      </c>
    </row>
    <row r="84" ht="20" customHeight="1">
      <c r="A84"/>
      <c r="B84"/>
      <c r="C84" s="133" t="n">
        <v>0.918</v>
      </c>
      <c r="D84" s="145" t="n">
        <f>IF(C84&lt;$D$54,$D$45*(1-C84)-$G$51,"")</f>
        <v>367346.9387754649</v>
      </c>
      <c r="E84" s="145" t="n">
        <f>IF(D84="","",$G$50/D84)</f>
        <v>4494444.444444998</v>
      </c>
      <c r="F84" s="136" t="n">
        <f>IF(OR(D84="",E84=""),"",E84/D84)</f>
        <v>12.234876543212893</v>
      </c>
      <c r="G84" s="136" t="n">
        <f>IF(OR($D$55="",NOT(ISNUMBER(F84))),"",F84*$D$55)</f>
        <v>12.23972347370848</v>
      </c>
      <c r="H84" s="145" t="n">
        <f>IF(NOT(ISNUMBER(F84)),"",F84*$D$45)</f>
        <v>12234876543.212893</v>
      </c>
      <c r="I84" s="145" t="n">
        <f>IF(OR($D$55="",NOT(ISNUMBER(H84))),"",H84*$D$55)</f>
        <v>12239723473.70848</v>
      </c>
      <c r="J84" s="145" t="n">
        <f>IF(E84="","",MAX(0,E84-$G$44))</f>
        <v>4486354.444444998</v>
      </c>
      <c r="K84" s="145" t="n">
        <f>IF(D84="","",MAX(0,$G$50/D84-$G$44)/MAX(0.000000001,1-$G$42-$J$7))</f>
        <v>4531671.156005049</v>
      </c>
      <c r="L84" s="148" t="n">
        <f>IF(K84="","",$J$41+K84)</f>
        <v>4539842.873176767</v>
      </c>
    </row>
    <row r="85" ht="20" customHeight="1">
      <c r="A85"/>
      <c r="B85"/>
      <c r="C85" s="134" t="n">
        <v>0.9183673469387755</v>
      </c>
      <c r="D85" s="146" t="str">
        <f>IF(C85&lt;$D$54,$D$45*(1-C85)-$G$51,"")</f>
      </c>
      <c r="E85" s="146" t="str">
        <f>IF(D85="","",$G$50/D85)</f>
      </c>
      <c r="F85" s="137" t="str">
        <f>IF(OR(D85="",E85=""),"",E85/D85)</f>
      </c>
      <c r="G85" s="137" t="str">
        <f>IF(OR($D$55="",NOT(ISNUMBER(F85))),"",F85*$D$55)</f>
      </c>
      <c r="H85" s="146" t="str">
        <f>IF(NOT(ISNUMBER(F85)),"",F85*$D$45)</f>
      </c>
      <c r="I85" s="146" t="str">
        <f>IF(OR($D$55="",NOT(ISNUMBER(H85))),"",H85*$D$55)</f>
      </c>
      <c r="J85" s="146" t="str">
        <f>IF(E85="","",MAX(0,E85-$G$44))</f>
      </c>
      <c r="K85" s="146" t="str">
        <f>IF(D85="","",MAX(0,$G$50/D85-$G$44)/MAX(0.000000001,1-$G$42-$J$7))</f>
      </c>
      <c r="L85" s="149" t="str">
        <f>IF(K85="","",$J$41+K85)</f>
      </c>
    </row>
    <row r="86" ht="20" customHeight="1">
      <c r="A86"/>
      <c r="B86"/>
      <c r="C86" s="106"/>
      <c r="D86" s="106"/>
      <c r="E86" s="106"/>
      <c r="F86" s="106"/>
      <c r="G86" s="106"/>
      <c r="H86" s="106"/>
      <c r="I86" s="106"/>
      <c r="J86" s="106"/>
      <c r="K86" s="106"/>
      <c r="L86" s="106"/>
    </row>
    <row r="87" ht="20" customHeight="1">
      <c r="A87"/>
      <c r="B87"/>
      <c r="C87" s="106"/>
      <c r="D87" s="106"/>
      <c r="E87" s="106"/>
      <c r="F87" s="106"/>
      <c r="G87" s="106"/>
      <c r="H87" s="106"/>
      <c r="I87" s="106"/>
      <c r="J87" s="106"/>
      <c r="K87" s="106"/>
      <c r="L87" s="106"/>
    </row>
    <row r="88" ht="24" customHeight="1">
      <c r="A88"/>
      <c r="B88"/>
      <c r="C88" s="102" t="str">
        <v>外盘回落参考</v>
      </c>
      <c r="D88" s="102"/>
      <c r="E88" s="102"/>
      <c r="F88" s="102"/>
      <c r="G88" s="102"/>
      <c r="H88" s="102"/>
      <c r="I88" s="102"/>
      <c r="J88" s="102"/>
      <c r="K88" s="102"/>
      <c r="L88" s="102"/>
    </row>
    <row r="89" ht="32" customHeight="1">
      <c r="A89"/>
      <c r="B89"/>
      <c r="C89" s="77" t="str">
        <v>控筹率</v>
      </c>
      <c r="D89" s="77" t="str">
        <v>pooled TOKEN</v>
      </c>
      <c r="E89" s="77" t="str">
        <v>pooled Quote</v>
      </c>
      <c r="F89" s="77" t="str">
        <v>价格 / Quote</v>
      </c>
      <c r="G89" s="77" t="str">
        <v>价格 / USDT</v>
      </c>
      <c r="H89" s="77" t="str">
        <v>市值 / Quote</v>
      </c>
      <c r="I89" s="77" t="str">
        <v>市值 / USDT</v>
      </c>
      <c r="J89" s="77" t="str">
        <v>较毕业点回撤</v>
      </c>
      <c r="K89" s="77" t="str"/>
      <c r="L89" s="77" t="str"/>
    </row>
    <row r="90" ht="20" customHeight="1">
      <c r="A90"/>
      <c r="B90"/>
      <c r="C90" s="132" t="n">
        <v>0.7142857142857143</v>
      </c>
      <c r="D90" s="144" t="n">
        <f>$D$45*(1-C90)-$G$51</f>
        <v>204081632.65306118</v>
      </c>
      <c r="E90" s="144" t="n">
        <f>$G$50/D90</f>
        <v>8090.000000000001</v>
      </c>
      <c r="F90" s="135" t="n">
        <f>IF(OR(D90="",E90=""),"",E90/D90)</f>
        <v>0.000039641000000000016</v>
      </c>
      <c r="G90" s="135" t="n">
        <f>IF(OR($D$55="",NOT(ISNUMBER(F90))),"",F90*$D$55)</f>
        <v>0.000039656704054805715</v>
      </c>
      <c r="H90" s="144" t="n">
        <f>IF(NOT(ISNUMBER(F90)),"",F90*$D$45)</f>
        <v>39641.000000000015</v>
      </c>
      <c r="I90" s="144" t="n">
        <f>IF(OR($D$55="",NOT(ISNUMBER(H90))),"",H90*$D$55)</f>
        <v>39656.70405480571</v>
      </c>
      <c r="J90" s="132" t="n">
        <f>IF($H$90&gt;0,1-H90/$H$90,0)</f>
        <v>0</v>
      </c>
      <c r="K90" s="129"/>
      <c r="L90" s="129"/>
    </row>
    <row r="91" ht="20" customHeight="1">
      <c r="A91"/>
      <c r="B91"/>
      <c r="C91" s="133" t="n">
        <v>0.7</v>
      </c>
      <c r="D91" s="145" t="n">
        <f>$D$45*(1-C91)-$G$51</f>
        <v>218367346.93877557</v>
      </c>
      <c r="E91" s="145" t="n">
        <f>$G$50/D91</f>
        <v>7560.7476635513995</v>
      </c>
      <c r="F91" s="136" t="n">
        <f>IF(OR(D91="",E91=""),"",E91/D91)</f>
        <v>0.000034623984627478364</v>
      </c>
      <c r="G91" s="136" t="n">
        <f>IF(OR($D$55="",NOT(ISNUMBER(F91))),"",F91*$D$55)</f>
        <v>0.00003463770115713659</v>
      </c>
      <c r="H91" s="145" t="n">
        <f>IF(NOT(ISNUMBER(F91)),"",F91*$D$45)</f>
        <v>34623.98462747836</v>
      </c>
      <c r="I91" s="145" t="n">
        <f>IF(OR($D$55="",NOT(ISNUMBER(H91))),"",H91*$D$55)</f>
        <v>34637.70115713659</v>
      </c>
      <c r="J91" s="133" t="n">
        <f>IF($H$90&gt;0,1-H91/$H$90,0)</f>
        <v>0.12656127172678922</v>
      </c>
      <c r="K91" s="130"/>
      <c r="L91" s="130"/>
    </row>
    <row r="92" ht="20" customHeight="1">
      <c r="A92"/>
      <c r="B92"/>
      <c r="C92" s="133" t="n">
        <v>0.6</v>
      </c>
      <c r="D92" s="145" t="n">
        <f>$D$45*(1-C92)-$G$51</f>
        <v>318367346.93877554</v>
      </c>
      <c r="E92" s="145" t="n">
        <f>$G$50/D92</f>
        <v>5185.897435897435</v>
      </c>
      <c r="F92" s="136" t="n">
        <f>IF(OR(D92="",E92=""),"",E92/D92)</f>
        <v>0.000016289036817882967</v>
      </c>
      <c r="G92" s="136" t="n">
        <f>IF(OR($D$55="",NOT(ISNUMBER(F92))),"",F92*$D$55)</f>
        <v>0.00001629548983185638</v>
      </c>
      <c r="H92" s="145" t="n">
        <f>IF(NOT(ISNUMBER(F92)),"",F92*$D$45)</f>
        <v>16289.036817882967</v>
      </c>
      <c r="I92" s="145" t="n">
        <f>IF(OR($D$55="",NOT(ISNUMBER(H92))),"",H92*$D$55)</f>
        <v>16295.489831856381</v>
      </c>
      <c r="J92" s="133" t="n">
        <f>IF($H$90&gt;0,1-H92/$H$90,0)</f>
        <v>0.5890861275476662</v>
      </c>
      <c r="K92" s="130"/>
      <c r="L92" s="130"/>
    </row>
    <row r="93" ht="20" customHeight="1">
      <c r="A93"/>
      <c r="B93"/>
      <c r="C93" s="133" t="n">
        <v>0.5</v>
      </c>
      <c r="D93" s="145" t="n">
        <f>$D$45*(1-C93)-$G$51</f>
        <v>418367346.93877554</v>
      </c>
      <c r="E93" s="145" t="n">
        <f>$G$50/D93</f>
        <v>3946.3414634146334</v>
      </c>
      <c r="F93" s="136" t="n">
        <f>IF(OR(D93="",E93=""),"",E93/D93)</f>
        <v>0.000009432718619869124</v>
      </c>
      <c r="G93" s="136" t="n">
        <f>IF(OR($D$55="",NOT(ISNUMBER(F93))),"",F93*$D$55)</f>
        <v>0.00000943645545622979</v>
      </c>
      <c r="H93" s="145" t="n">
        <f>IF(NOT(ISNUMBER(F93)),"",F93*$D$45)</f>
        <v>9432.718619869123</v>
      </c>
      <c r="I93" s="145" t="n">
        <f>IF(OR($D$55="",NOT(ISNUMBER(H93))),"",H93*$D$55)</f>
        <v>9436.455456229789</v>
      </c>
      <c r="J93" s="133" t="n">
        <f>IF($H$90&gt;0,1-H93/$H$90,0)</f>
        <v>0.7620464009518145</v>
      </c>
      <c r="K93" s="130"/>
      <c r="L93" s="130"/>
    </row>
    <row r="94" ht="20" customHeight="1">
      <c r="A94"/>
      <c r="B94"/>
      <c r="C94" s="133" t="n">
        <v>0.4</v>
      </c>
      <c r="D94" s="145" t="n">
        <f>$D$45*(1-C94)-$G$51</f>
        <v>518367346.93877554</v>
      </c>
      <c r="E94" s="145" t="n">
        <f>$G$50/D94</f>
        <v>3185.0393700787395</v>
      </c>
      <c r="F94" s="136" t="n">
        <f>IF(OR(D94="",E94=""),"",E94/D94)</f>
        <v>0.000006144367288734576</v>
      </c>
      <c r="G94" s="136" t="n">
        <f>IF(OR($D$55="",NOT(ISNUMBER(F94))),"",F94*$D$55)</f>
        <v>0.000006146801422097726</v>
      </c>
      <c r="H94" s="145" t="n">
        <f>IF(NOT(ISNUMBER(F94)),"",F94*$D$45)</f>
        <v>6144.367288734576</v>
      </c>
      <c r="I94" s="145" t="n">
        <f>IF(OR($D$55="",NOT(ISNUMBER(H94))),"",H94*$D$55)</f>
        <v>6146.801422097726</v>
      </c>
      <c r="J94" s="133" t="n">
        <f>IF($H$90&gt;0,1-H94/$H$90,0)</f>
        <v>0.8449996899993801</v>
      </c>
      <c r="K94" s="130"/>
      <c r="L94" s="130"/>
    </row>
    <row r="95" ht="20" customHeight="1">
      <c r="A95"/>
      <c r="B95"/>
      <c r="C95" s="133" t="n">
        <v>0.3</v>
      </c>
      <c r="D95" s="145" t="n">
        <f>$D$45*(1-C95)-$G$51</f>
        <v>618367346.9387755</v>
      </c>
      <c r="E95" s="145" t="n">
        <f>$G$50/D95</f>
        <v>2669.9669966996694</v>
      </c>
      <c r="F95" s="136" t="n">
        <f>IF(OR(D95="",E95=""),"",E95/D95)</f>
        <v>0.000004317768410504416</v>
      </c>
      <c r="G95" s="136" t="n">
        <f>IF(OR($D$55="",NOT(ISNUMBER(F95))),"",F95*$D$55)</f>
        <v>0.000004319478924158382</v>
      </c>
      <c r="H95" s="145" t="n">
        <f>IF(NOT(ISNUMBER(F95)),"",F95*$D$45)</f>
        <v>4317.768410504415</v>
      </c>
      <c r="I95" s="145" t="n">
        <f>IF(OR($D$55="",NOT(ISNUMBER(H95))),"",H95*$D$55)</f>
        <v>4319.478924158382</v>
      </c>
      <c r="J95" s="133" t="n">
        <f>IF($H$90&gt;0,1-H95/$H$90,0)</f>
        <v>0.8910782167325644</v>
      </c>
      <c r="K95" s="130"/>
      <c r="L95" s="130"/>
    </row>
    <row r="96" ht="20" customHeight="1">
      <c r="A96"/>
      <c r="B96"/>
      <c r="C96" s="133" t="n">
        <v>0.2</v>
      </c>
      <c r="D96" s="145" t="n">
        <f>$D$45*(1-C96)-$G$51</f>
        <v>718367346.9387755</v>
      </c>
      <c r="E96" s="145" t="n">
        <f>$G$50/D96</f>
        <v>2298.295454545454</v>
      </c>
      <c r="F96" s="136" t="n">
        <f>IF(OR(D96="",E96=""),"",E96/D96)</f>
        <v>0.0000031993317407024787</v>
      </c>
      <c r="G96" s="136" t="n">
        <f>IF(OR($D$55="",NOT(ISNUMBER(F96))),"",F96*$D$55)</f>
        <v>0.0000032005991779769574</v>
      </c>
      <c r="H96" s="145" t="n">
        <f>IF(NOT(ISNUMBER(F96)),"",F96*$D$45)</f>
        <v>3199.331740702479</v>
      </c>
      <c r="I96" s="145" t="n">
        <f>IF(OR($D$55="",NOT(ISNUMBER(H96))),"",H96*$D$55)</f>
        <v>3200.5991779769574</v>
      </c>
      <c r="J96" s="133" t="n">
        <f>IF($H$90&gt;0,1-H96/$H$90,0)</f>
        <v>0.9192923553719009</v>
      </c>
      <c r="K96" s="130"/>
      <c r="L96" s="130"/>
    </row>
    <row r="97" ht="20" customHeight="1">
      <c r="A97"/>
      <c r="B97"/>
      <c r="C97" s="133" t="n">
        <v>0.1</v>
      </c>
      <c r="D97" s="145" t="n">
        <f>$D$45*(1-C97)-$G$51</f>
        <v>818367346.9387755</v>
      </c>
      <c r="E97" s="145" t="n">
        <f>$G$50/D97</f>
        <v>2017.456359102244</v>
      </c>
      <c r="F97" s="136" t="n">
        <f>IF(OR(D97="",E97=""),"",E97/D97)</f>
        <v>0.0000024652209874316697</v>
      </c>
      <c r="G97" s="136" t="n">
        <f>IF(OR($D$55="",NOT(ISNUMBER(F97))),"",F97*$D$55)</f>
        <v>0.0000024661976016819355</v>
      </c>
      <c r="H97" s="145" t="n">
        <f>IF(NOT(ISNUMBER(F97)),"",F97*$D$45)</f>
        <v>2465.2209874316695</v>
      </c>
      <c r="I97" s="145" t="n">
        <f>IF(OR($D$55="",NOT(ISNUMBER(H97))),"",H97*$D$55)</f>
        <v>2466.1976016819353</v>
      </c>
      <c r="J97" s="133" t="n">
        <f>IF($H$90&gt;0,1-H97/$H$90,0)</f>
        <v>0.9378113320190795</v>
      </c>
      <c r="K97" s="130"/>
      <c r="L97" s="130"/>
    </row>
    <row r="98" ht="20" customHeight="1">
      <c r="A98"/>
      <c r="B98"/>
      <c r="C98" s="134" t="n">
        <v>0</v>
      </c>
      <c r="D98" s="146" t="n">
        <f>$D$45*(1-C98)-$G$51</f>
        <v>918367346.9387755</v>
      </c>
      <c r="E98" s="146" t="n">
        <f>$G$50/D98</f>
        <v>1797.7777777777776</v>
      </c>
      <c r="F98" s="137" t="n">
        <f>IF(OR(D98="",E98=""),"",E98/D98)</f>
        <v>0.00000195758024691358</v>
      </c>
      <c r="G98" s="137" t="n">
        <f>IF(OR($D$55="",NOT(ISNUMBER(F98))),"",F98*$D$55)</f>
        <v>0.000001958355755792874</v>
      </c>
      <c r="H98" s="146" t="n">
        <f>IF(NOT(ISNUMBER(F98)),"",F98*$D$45)</f>
        <v>1957.58024691358</v>
      </c>
      <c r="I98" s="146" t="n">
        <f>IF(OR($D$55="",NOT(ISNUMBER(H98))),"",H98*$D$55)</f>
        <v>1958.3557557928737</v>
      </c>
      <c r="J98" s="134" t="n">
        <f>IF($H$90&gt;0,1-H98/$H$90,0)</f>
        <v>0.9506172839506173</v>
      </c>
      <c r="K98" s="131" t="str">
        <v>沉没成本 / Quote</v>
      </c>
      <c r="L98" s="131" t="n">
        <f>E98</f>
        <v>1797.7777777777776</v>
      </c>
    </row>
    <row r="99" ht="20" customHeight="1">
      <c r="A99"/>
      <c r="B99"/>
      <c r="C99" s="106"/>
      <c r="D99" s="106"/>
      <c r="E99" s="106"/>
      <c r="F99" s="106"/>
      <c r="G99" s="106"/>
      <c r="H99" s="106"/>
      <c r="I99" s="106"/>
      <c r="J99" s="106"/>
      <c r="K99" s="106"/>
      <c r="L99" s="106"/>
    </row>
    <row r="100" ht="20" customHeight="1">
      <c r="A100"/>
      <c r="B100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</row>
    <row r="101" ht="20" customHeight="1">
      <c r="A101"/>
      <c r="B101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</row>
    <row r="102" ht="20" customHeight="1">
      <c r="A102"/>
      <c r="B102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</row>
    <row r="103" ht="20" customHeight="1">
      <c r="A103"/>
      <c r="B103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</row>
    <row r="104" ht="20" customHeight="1">
      <c r="A104"/>
      <c r="B104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</row>
    <row r="105" ht="20" customHeight="1">
      <c r="A105"/>
      <c r="B105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</row>
    <row r="106" ht="20" customHeight="1">
      <c r="A106"/>
      <c r="B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</row>
    <row r="107" ht="20" customHeight="1">
      <c r="A107"/>
      <c r="B107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</row>
    <row r="108" ht="20" customHeight="1">
      <c r="A108"/>
      <c r="B108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</row>
    <row r="109" ht="20" customHeight="1">
      <c r="A109"/>
      <c r="B109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</row>
    <row r="110" ht="20" customHeight="1">
      <c r="A110"/>
      <c r="B110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</row>
    <row r="111" ht="20" customHeight="1">
      <c r="A111"/>
      <c r="B111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</row>
    <row r="112" ht="20" customHeight="1">
      <c r="A112"/>
      <c r="B112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</row>
    <row r="113" ht="20" customHeight="1">
      <c r="A113"/>
      <c r="B113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</row>
    <row r="114" ht="20" customHeight="1">
      <c r="A114"/>
      <c r="B114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</row>
    <row r="115" ht="20" customHeight="1">
      <c r="A115"/>
      <c r="B115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</row>
    <row r="116" ht="20" customHeight="1">
      <c r="A116"/>
      <c r="B11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</row>
    <row r="117" ht="20" customHeight="1">
      <c r="A117"/>
      <c r="B117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</row>
    <row r="118" ht="20" customHeight="1">
      <c r="A118"/>
      <c r="B118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</row>
    <row r="119" ht="20" customHeight="1">
      <c r="A119"/>
      <c r="B119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</row>
    <row r="120" ht="20" customHeight="1">
      <c r="A120"/>
      <c r="B120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</row>
    <row r="121" ht="20" customHeight="1">
      <c r="A121"/>
      <c r="B121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</row>
    <row r="122" ht="20" customHeight="1">
      <c r="A122"/>
      <c r="B122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</row>
    <row r="123" ht="20" customHeight="1">
      <c r="A123"/>
      <c r="B123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</row>
    <row r="124" ht="20" customHeight="1">
      <c r="A124"/>
      <c r="B124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</row>
    <row r="125" ht="20" customHeight="1">
      <c r="A125"/>
      <c r="B125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</row>
    <row r="126" ht="20" customHeight="1">
      <c r="A126"/>
      <c r="B12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</row>
    <row r="127" ht="20" customHeight="1">
      <c r="A127"/>
      <c r="B127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</row>
    <row r="128" ht="20" customHeight="1">
      <c r="A128"/>
      <c r="B128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</row>
    <row r="129" ht="20" customHeight="1">
      <c r="A129"/>
      <c r="B129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</row>
    <row r="130" ht="20" customHeight="1">
      <c r="A130"/>
      <c r="B130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</row>
    <row r="131" ht="20" customHeight="1">
      <c r="A131"/>
      <c r="B131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</row>
    <row r="132" ht="20" customHeight="1">
      <c r="A132"/>
      <c r="B132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</row>
    <row r="133" ht="20" customHeight="1">
      <c r="A133"/>
      <c r="B133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</row>
    <row r="134" ht="20" customHeight="1">
      <c r="A134"/>
      <c r="B134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</row>
    <row r="135" ht="20" customHeight="1">
      <c r="A135"/>
      <c r="B135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</row>
    <row r="136" ht="20" customHeight="1">
      <c r="A136"/>
      <c r="B13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</row>
    <row r="137" ht="20" customHeight="1">
      <c r="A137"/>
      <c r="B137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</row>
    <row r="138" ht="20" customHeight="1">
      <c r="A138"/>
      <c r="B138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</row>
    <row r="139" ht="20" customHeight="1">
      <c r="A139"/>
      <c r="B139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</row>
    <row r="140" ht="20" customHeight="1">
      <c r="A140"/>
      <c r="B140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</row>
    <row r="141" ht="20" customHeight="1">
      <c r="A141"/>
      <c r="B141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</row>
    <row r="142" ht="20" customHeight="1">
      <c r="A142"/>
      <c r="B142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</row>
    <row r="143" ht="20" customHeight="1">
      <c r="A143"/>
      <c r="B143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</row>
    <row r="144" ht="20" customHeight="1">
      <c r="A144"/>
      <c r="B144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</row>
    <row r="145" ht="20" customHeight="1">
      <c r="A145"/>
      <c r="B145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</row>
    <row r="146" ht="20" customHeight="1">
      <c r="A146"/>
      <c r="B14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</row>
    <row r="147" ht="20" customHeight="1">
      <c r="A147"/>
      <c r="B147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</row>
    <row r="148" ht="20" customHeight="1">
      <c r="A148"/>
      <c r="B148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</row>
    <row r="149" ht="20" customHeight="1">
      <c r="A149"/>
      <c r="B149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</row>
    <row r="150" ht="20" customHeight="1">
      <c r="A150"/>
      <c r="B150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</row>
  </sheetData>
  <mergeCells>
    <mergeCell ref="C3:L3"/>
    <mergeCell ref="K8:L8"/>
    <mergeCell ref="K10:L10"/>
    <mergeCell ref="K11:L12"/>
    <mergeCell ref="C13:L13"/>
    <mergeCell ref="D42:E43"/>
    <mergeCell ref="D41:E41"/>
    <mergeCell ref="D46:E46"/>
    <mergeCell ref="D47:E47"/>
    <mergeCell ref="D48:E48"/>
    <mergeCell ref="D49:E50"/>
    <mergeCell ref="J51:L51"/>
    <mergeCell ref="J49:L50"/>
    <mergeCell ref="C36:L36"/>
    <mergeCell ref="C37:F37"/>
    <mergeCell ref="I22:L22"/>
    <mergeCell ref="I27:L27"/>
    <mergeCell ref="D56:E56"/>
  </mergeCells>
  <conditionalFormatting sqref="D23:D23">
    <cfRule type="containsText" dxfId="0" priority="1" operator="containsText" text="不可达"/>
    <cfRule type="containsText" dxfId="1" priority="2" operator="containsText" text="无效"/>
    <cfRule type="containsText" dxfId="2" priority="3" operator="containsText" text="缺少"/>
  </conditionalFormatting>
  <conditionalFormatting sqref="J24:J24">
    <cfRule type="containsText" dxfId="3" priority="4" operator="containsText" text="缺少"/>
  </conditionalFormatting>
  <conditionalFormatting sqref="D18:D18">
    <cfRule type="expression" dxfId="8" priority="9">
      <formula>$D$7="ETH"</formula>
    </cfRule>
  </conditionalFormatting>
  <conditionalFormatting sqref="D22:D26">
    <cfRule type="expression" dxfId="9" priority="10">
      <formula>$D$7="ETH"</formula>
    </cfRule>
  </conditionalFormatting>
  <conditionalFormatting sqref="G37:G37">
    <cfRule type="expression" dxfId="10" priority="11">
      <formula>$D$7="ETH"</formula>
    </cfRule>
  </conditionalFormatting>
  <conditionalFormatting sqref="E59:E67">
    <cfRule type="expression" dxfId="11" priority="12">
      <formula>$D$7="ETH"</formula>
    </cfRule>
  </conditionalFormatting>
  <conditionalFormatting sqref="H59:H67">
    <cfRule type="expression" dxfId="12" priority="13">
      <formula>$D$7="ETH"</formula>
    </cfRule>
  </conditionalFormatting>
  <conditionalFormatting sqref="J59:J67">
    <cfRule type="expression" dxfId="13" priority="14">
      <formula>$D$7="ETH"</formula>
    </cfRule>
  </conditionalFormatting>
  <conditionalFormatting sqref="K59:K67">
    <cfRule type="expression" dxfId="14" priority="15">
      <formula>$D$7="ETH"</formula>
    </cfRule>
  </conditionalFormatting>
  <conditionalFormatting sqref="L59:L67">
    <cfRule type="expression" dxfId="15" priority="16">
      <formula>$D$7="ETH"</formula>
    </cfRule>
  </conditionalFormatting>
  <conditionalFormatting sqref="E72:E85">
    <cfRule type="expression" dxfId="16" priority="17">
      <formula>$D$7="ETH"</formula>
    </cfRule>
  </conditionalFormatting>
  <conditionalFormatting sqref="H72:H85">
    <cfRule type="expression" dxfId="17" priority="18">
      <formula>$D$7="ETH"</formula>
    </cfRule>
  </conditionalFormatting>
  <conditionalFormatting sqref="J72:J85">
    <cfRule type="expression" dxfId="18" priority="19">
      <formula>$D$7="ETH"</formula>
    </cfRule>
  </conditionalFormatting>
  <conditionalFormatting sqref="K72:K85">
    <cfRule type="expression" dxfId="19" priority="20">
      <formula>$D$7="ETH"</formula>
    </cfRule>
  </conditionalFormatting>
  <conditionalFormatting sqref="L72:L85">
    <cfRule type="expression" dxfId="20" priority="21">
      <formula>$D$7="ETH"</formula>
    </cfRule>
  </conditionalFormatting>
  <conditionalFormatting sqref="E90:E98">
    <cfRule type="expression" dxfId="21" priority="22">
      <formula>$D$7="ETH"</formula>
    </cfRule>
  </conditionalFormatting>
  <conditionalFormatting sqref="H90:H98">
    <cfRule type="expression" dxfId="22" priority="23">
      <formula>$D$7="ETH"</formula>
    </cfRule>
  </conditionalFormatting>
  <conditionalFormatting sqref="D51:D51">
    <cfRule type="containsText" dxfId="23" priority="24" operator="containsText" text="不可达"/>
    <cfRule type="containsText" dxfId="24" priority="25" operator="containsText" text="无效"/>
    <cfRule type="containsText" dxfId="25" priority="26" operator="containsText" text="缺少"/>
  </conditionalFormatting>
  <conditionalFormatting sqref="G55:G55">
    <cfRule type="containsText" dxfId="26" priority="27" operator="containsText" text="缺少"/>
  </conditionalFormatting>
  <dataValidations count="13">
    <dataValidation type="list" sqref="D7">
      <formula1>'Quote参数'!$E$9:$E$63</formula1>
    </dataValidation>
    <dataValidation type="decimal" operator="between" sqref="D8">
      <formula1>0</formula1>
      <formula2>0.99</formula2>
    </dataValidation>
    <dataValidation type="decimal" operator="between" sqref="J7">
      <formula1>0</formula1>
      <formula2>0.1</formula2>
    </dataValidation>
    <dataValidation type="decimal" operator="between" sqref="J8">
      <formula1>0</formula1>
      <formula2>1</formula2>
    </dataValidation>
    <dataValidation type="whole" errorStyle="stop" operator="greaterThan" showErrorMessage="1" errorTitle="地址参数无效" error="输入非负整数；内盘套数至少为 1。" sqref="G7">
      <formula1>0</formula1>
    </dataValidation>
    <dataValidation type="whole" errorStyle="stop" operator="greaterThan" showErrorMessage="1" errorTitle="地址参数无效" error="输入非负整数；内盘套数至少为 1。" sqref="G8">
      <formula1>-1</formula1>
    </dataValidation>
    <dataValidation type="whole" errorStyle="stop" operator="greaterThan" showErrorMessage="1" errorTitle="地址参数无效" error="输入非负整数；内盘套数至少为 1。" sqref="G9">
      <formula1>-1</formula1>
    </dataValidation>
    <dataValidation type="whole" errorStyle="stop" operator="greaterThan" showErrorMessage="1" errorTitle="地址参数无效" error="输入非负整数；内盘套数至少为 1。" sqref="G10">
      <formula1>-1</formula1>
    </dataValidation>
    <dataValidation type="decimal" errorStyle="stop" operator="between" showErrorMessage="1" errorTitle="参数无效" error="Gas 与资金预留不能为负数。" sqref="G12">
      <formula1>0</formula1>
      <formula2>1e+307</formula2>
    </dataValidation>
    <dataValidation type="decimal" errorStyle="stop" operator="between" showErrorMessage="1" errorTitle="参数无效" error="Gas 与资金预留不能为负数。" sqref="G11">
      <formula1>0</formula1>
      <formula2>1e+307</formula2>
    </dataValidation>
    <dataValidation type="decimal" operator="greaterThan" sqref="D9">
      <formula1>0</formula1>
    </dataValidation>
    <dataValidation type="list" sqref="J9">
      <formula1>"是,否"</formula1>
    </dataValidation>
    <dataValidation type="list" sqref="J10">
      <formula1>"是,否"</formula1>
    </dataValidation>
  </dataValidation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8" topLeftCell="F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7" hidden="0" customWidth="1"/>
    <x:col min="4" max="4" width="15" hidden="0" customWidth="1"/>
    <x:col min="5" max="5" width="12" hidden="0" customWidth="1"/>
    <x:col min="6" max="6" width="29" hidden="0" customWidth="1"/>
    <x:col min="7" max="7" width="44" hidden="0" customWidth="1"/>
    <x:col min="8" max="8" width="10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19" hidden="0" customWidth="1"/>
    <x:col min="14" max="14" width="19" hidden="0" customWidth="1"/>
    <x:col min="15" max="15" width="18" hidden="0" customWidth="1"/>
    <x:col min="16" max="16" width="18" hidden="0" customWidth="1"/>
    <x:col min="17" max="17" width="18" hidden="0" customWidth="1"/>
    <x:col min="18" max="18" width="46" hidden="0" customWidth="1"/>
    <x:col min="19" max="19" width="20" hidden="0" customWidth="1"/>
    <x:col min="20" max="20" width="22" hidden="0" customWidth="1"/>
    <x:col min="21" max="21" width="46" hidden="0" customWidth="1"/>
    <x:col min="22" max="22" width="3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0" customHeight="1">
      <x:c r="A2" s="2"/>
      <x:c r="B2" s="2"/>
      <x:c r="C2" s="4" t="str">
        <x:v>Pons V2 Quote 参数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32" customHeight="1">
      <x:c r="A3" s="2"/>
      <x:c r="B3" s="2"/>
      <x:c r="C3" s="6" t="str">
        <x:v>ETH、USDG 与股票 / ETF Quote。USDG 采用 TRAIN 发行参数快照，外盘 8,090 USDG；新币参数可变。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2"/>
      <x:c r="T3" s="2"/>
      <x:c r="U3" s="35" t="str">
        <x:v>价格时间为 UTC；已下载文件不会自动联网更新</x:v>
      </x:c>
      <x:c r="V3" s="35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60" customHeight="1">
      <x:c r="A5" s="2"/>
      <x:c r="B5" s="2"/>
      <x:c r="C5" s="35" t="str">
        <x:v>Pons V2 Factory</x:v>
      </x:c>
      <x:c r="D5" s="35"/>
      <x:c r="E5" s="35" t="str">
        <x:v>​0x7eD598BcEf8bd9Edd8C97A195C6d13f40801EC7e</x:v>
      </x:c>
      <x:c r="F5" s="35"/>
      <x:c r="G5" s="35"/>
      <x:c r="H5" s="35" t="str">
        <x:v>Hook 源码</x:v>
      </x:c>
      <x:c r="I5" s="35"/>
      <x:c r="J5" s="35" t="str">
        <x:v>https://github.com/ponsdotdev/ponsfamily/blob/main/contractsV2/src/v2/hooks/PonsV2MemeHook.sol</x:v>
      </x:c>
      <x:c r="K5" s="35"/>
      <x:c r="L5" s="35"/>
      <x:c r="M5" s="35"/>
      <x:c r="N5" s="35"/>
      <x:c r="O5" s="35"/>
      <x:c r="P5" s="35"/>
      <x:c r="Q5" s="35"/>
      <x:c r="R5" s="35"/>
      <x:c r="S5" s="2" t="str">
        <x:v>每日价格快照</x:v>
      </x:c>
      <x:c r="T5" s="2" t="str">
        <x:v>网站下载最新发布版</x:v>
      </x:c>
      <x:c r="U5" s="2" t="str">
        <x:v>切换 Quote 自动引用此页</x:v>
      </x:c>
      <x:c r="V5" s="2" t="str">
        <x:v>场景价格覆盖请用控筹模型</x:v>
      </x:c>
    </x:row>
    <x:row r="6" ht="48" customHeight="1">
      <x:c r="A6" s="2"/>
      <x:c r="B6" s="2"/>
      <x:c r="C6" s="35" t="str">
        <x:v>Factory 源码</x:v>
      </x:c>
      <x:c r="D6" s="35"/>
      <x:c r="E6" s="35" t="str">
        <x:v>https://github.com/ponsdotdev/ponsfamily/blob/845bd546b37515621e47b08015ce4f9d374f6eca/contractsV2/src/v2/PonsV2LaunchFactory.sol</x:v>
      </x:c>
      <x:c r="F6" s="35"/>
      <x:c r="G6" s="35"/>
      <x:c r="H6" s="153" t="str">
        <x:v>外盘扣费依据</x:v>
      </x:c>
      <x:c r="I6" s="153"/>
      <x:c r="J6" s="153" t="str">
        <x:v>外盘卖出所得 Quote 用于回买；双边 Hook 与 Creator Tax 降低持币。恢复目标按外盘曲线差额及买入费另列。</x:v>
      </x:c>
      <x:c r="K6" s="153"/>
      <x:c r="L6" s="153"/>
      <x:c r="M6" s="153"/>
      <x:c r="N6" s="153"/>
      <x:c r="O6" s="153"/>
      <x:c r="P6" s="153"/>
      <x:c r="Q6" s="153"/>
      <x:c r="R6" s="153" t="str">
        <x:v>https://docs.ponsfamily.com/v2</x:v>
      </x:c>
      <x:c r="S6" s="153"/>
      <x:c r="T6" s="153"/>
      <x:c r="U6" s="153"/>
      <x:c r="V6" s="153"/>
    </x:row>
    <x:row r="7" ht="60" customHeight="1">
      <x:c r="A7" s="2"/>
      <x:c r="B7" s="2"/>
      <x:c r="C7" s="35" t="str">
        <x:v>新增 13 Quote 交易</x:v>
      </x:c>
      <x:c r="D7" s="35"/>
      <x:c r="E7" s="35" t="str">
        <x:v>https://rh-scan.com/tx/0xb4aaf027b105aba6268762cdb68dc7fc363b8432d344ee6900536cf36f44183f</x:v>
      </x:c>
      <x:c r="F7" s="35"/>
      <x:c r="G7" s="35"/>
      <x:c r="H7" s="35" t="str">
        <x:v>USDG 参数依据</x:v>
      </x:c>
      <x:c r="I7" s="35" t="str">
        <x:v>https://robin.etherscan.io/tx/0x387e3237904e4822075066331564561c373b691fd47ad2d52b4f64fb4f398c84#eventlog</x:v>
      </x:c>
      <x:c r="J7" s="35" t="str">
        <x:v>3 秒（当前 Factory 链上参数）</x:v>
      </x:c>
      <x:c r="K7" s="35"/>
      <x:c r="L7" s="35"/>
      <x:c r="M7" s="35"/>
      <x:c r="N7" s="35"/>
      <x:c r="O7" s="35"/>
      <x:c r="P7" s="35"/>
      <x:c r="Q7" s="35"/>
      <x:c r="R7" s="35"/>
      <x:c r="S7" s="2"/>
      <x:c r="T7" s="2"/>
      <x:c r="U7" s="2"/>
      <x:c r="V7" s="2"/>
    </x:row>
    <x:row r="8" ht="44" customHeight="1">
      <x:c r="A8" s="2"/>
      <x:c r="B8" s="2"/>
      <x:c r="C8" s="10" t="str">
        <x:v>序号</x:v>
      </x:c>
      <x:c r="D8" s="10" t="str">
        <x:v>类别</x:v>
      </x:c>
      <x:c r="E8" s="10" t="str">
        <x:v>Symbol</x:v>
      </x:c>
      <x:c r="F8" s="10" t="str">
        <x:v>名称</x:v>
      </x:c>
      <x:c r="G8" s="10" t="str">
        <x:v>Quote 合约</x:v>
      </x:c>
      <x:c r="H8" s="10" t="str">
        <x:v>Decimals</x:v>
      </x:c>
      <x:c r="I8" s="10" t="str">
        <x:v>phantom Quote</x:v>
      </x:c>
      <x:c r="J8" s="10" t="str">
        <x:v>毕业门槛</x:v>
      </x:c>
      <x:c r="K8" s="10" t="str">
        <x:v>门槛 / phantom</x:v>
      </x:c>
      <x:c r="L8" s="10" t="str">
        <x:v>V4 初始 Quote</x:v>
      </x:c>
      <x:c r="M8" s="10" t="str">
        <x:v>V4 初始 Meme</x:v>
      </x:c>
      <x:c r="N8" s="10" t="str">
        <x:v>Locker Meme</x:v>
      </x:c>
      <x:c r="O8" s="10" t="str">
        <x:v>锁仓结构上限</x:v>
      </x:c>
      <x:c r="P8" s="10" t="str">
        <x:v>核验区块 / 证据</x:v>
      </x:c>
      <x:c r="Q8" s="10" t="str">
        <x:v>状态</x:v>
      </x:c>
      <x:c r="R8" s="10" t="str">
        <x:v>Quote 证据 URL</x:v>
      </x:c>
      <x:c r="S8" s="10" t="str">
        <x:v>Quote / USDT 价格</x:v>
      </x:c>
      <x:c r="T8" s="10" t="str">
        <x:v>价格时间 / UTC</x:v>
      </x:c>
      <x:c r="U8" s="10" t="str">
        <x:v>价格来源</x:v>
      </x:c>
      <x:c r="V8" s="10" t="str">
        <x:v>说明</x:v>
      </x:c>
    </x:row>
    <x:row r="9" ht="44" customHeight="1">
      <x:c r="A9" s="2"/>
      <x:c r="B9" s="2"/>
      <x:c r="C9" s="11" t="n">
        <x:v>1</x:v>
      </x:c>
      <x:c r="D9" s="11" t="str">
        <x:v>Native</x:v>
      </x:c>
      <x:c r="E9" s="14" t="str">
        <x:v>ETH</x:v>
      </x:c>
      <x:c r="F9" s="14" t="str">
        <x:v>Ether</x:v>
      </x:c>
      <x:c r="G9" s="17" t="str">
        <x:v>​Native ETH</x:v>
      </x:c>
      <x:c r="H9" s="20" t="n">
        <x:v>18</x:v>
      </x:c>
      <x:c r="I9" s="23" t="n">
        <x:v>1.68</x:v>
      </x:c>
      <x:c r="J9" s="23" t="n">
        <x:v>4.2</x:v>
      </x:c>
      <x:c r="K9" s="36" t="n">
        <x:f>J9/I9</x:f>
        <x:v>2.5</x:v>
      </x:c>
      <x:c r="L9" s="23" t="n">
        <x:f>J9</x:f>
        <x:v>4.2</x:v>
      </x:c>
      <x:c r="M9" s="39" t="n">
        <x:f>1000000000*I9*J9/(I9+J9)^2</x:f>
        <x:v>204081632.65306124</x:v>
      </x:c>
      <x:c r="N9" s="39" t="n">
        <x:f>1000000000*I9^2/(I9+J9)^2</x:f>
        <x:v>81632653.06122448</x:v>
      </x:c>
      <x:c r="O9" s="42" t="n">
        <x:f>1-N9/1000000000</x:f>
        <x:v>0.9183673469387755</x:v>
      </x:c>
      <x:c r="P9" s="45" t="str">
        <x:v>TIME 实币验证</x:v>
      </x:c>
      <x:c r="Q9" s="11" t="str">
        <x:v>Approved / Native</x:v>
      </x:c>
      <x:c r="R9" s="32" t="str">
        <x:v>https://www.ponsfamily.com/launchpad/0x177c73569bB399AD42235067172ceB9c5c7fEd49</x:v>
      </x:c>
      <x:c r="S9" s="26">
        <x:v>2580.0817123580937</x:v>
      </x:c>
      <x:c r="T9" s="29">
        <x:v>46285.27349457176</x:v>
      </x:c>
      <x:c r="U9" s="32" t="inlineStr">
        <x:is>
          <x:t xml:space="preserve">https://api.coingecko.com/api/v3/simple/price?ids=tether,ethereum,binancecoin,solana,hyperliquid,aster-2&amp;vs_currencies=usd</x:t>
        </x:is>
      </x:c>
      <x:c r="V9" s="32" t="inlineStr">
        <x:is>
          <x:t xml:space="preserve">每日原生币价格；本地可手动更新</x:t>
        </x:is>
      </x:c>
    </x:row>
    <x:row r="10" ht="44" customHeight="1">
      <x:c r="A10" s="2"/>
      <x:c r="B10" s="2"/>
      <x:c r="C10" s="12" t="n">
        <x:v>2</x:v>
      </x:c>
      <x:c r="D10" s="12" t="str">
        <x:v>股票 / ETF</x:v>
      </x:c>
      <x:c r="E10" s="15" t="str">
        <x:v>AAPL</x:v>
      </x:c>
      <x:c r="F10" s="15" t="str">
        <x:v>Apple</x:v>
      </x:c>
      <x:c r="G10" s="18" t="str">
        <x:v>​0xaF3D76f1834A1d425780943C99Ea8A608f8a93f9</x:v>
      </x:c>
      <x:c r="H10" s="21" t="n">
        <x:v>18</x:v>
      </x:c>
      <x:c r="I10" s="24" t="n">
        <x:v>9.68</x:v>
      </x:c>
      <x:c r="J10" s="24" t="n">
        <x:v>24.2</x:v>
      </x:c>
      <x:c r="K10" s="37" t="n">
        <x:f>J10/I10</x:f>
        <x:v>2.5</x:v>
      </x:c>
      <x:c r="L10" s="24" t="n">
        <x:f>J10</x:f>
        <x:v>24.2</x:v>
      </x:c>
      <x:c r="M10" s="40" t="n">
        <x:f>1000000000*I10*J10/(I10+J10)^2</x:f>
        <x:v>204081632.65306127</x:v>
      </x:c>
      <x:c r="N10" s="40" t="n">
        <x:f>1000000000*I10^2/(I10+J10)^2</x:f>
        <x:v>81632653.0612245</x:v>
      </x:c>
      <x:c r="O10" s="43" t="n">
        <x:f>1-N10/1000000000</x:f>
        <x:v>0.9183673469387755</x:v>
      </x:c>
      <x:c r="P10" s="46" t="n">
        <x:v>54430299</x:v>
      </x:c>
      <x:c r="Q10" s="12" t="str">
        <x:v>Approved / Native</x:v>
      </x:c>
      <x:c r="R10" s="33" t="str">
        <x:v>https://robinhoodchain.blockscout.com/address/0xaF3D76f1834A1d425780943C99Ea8A608f8a93f9</x:v>
      </x:c>
      <x:c r="S10" s="27">
        <x:v>334.9426372843646</x:v>
      </x:c>
      <x:c r="T10" s="30">
        <x:v>46285.27318768518</x:v>
      </x:c>
      <x:c r="U10" s="33" t="inlineStr">
        <x:is>
          <x:t xml:space="preserve">https://dexscreener.com/robinhood/0x8bb3514e2204e1cdf3ac149efee7ff04d91b719f</x:t>
        </x:is>
      </x:c>
      <x:c r="V10" s="33" t="inlineStr">
        <x:is>
          <x:t xml:space="preserve">每日 Quote 代币池价；本地可手动更新</x:t>
        </x:is>
      </x:c>
    </x:row>
    <x:row r="11" ht="44" customHeight="1">
      <x:c r="A11" s="2"/>
      <x:c r="B11" s="2"/>
      <x:c r="C11" s="12" t="n">
        <x:v>3</x:v>
      </x:c>
      <x:c r="D11" s="12" t="str">
        <x:v>股票 / ETF</x:v>
      </x:c>
      <x:c r="E11" s="15" t="str">
        <x:v>AMC</x:v>
      </x:c>
      <x:c r="F11" s="15" t="str">
        <x:v>AMC Entertainment</x:v>
      </x:c>
      <x:c r="G11" s="18" t="str">
        <x:v>​0x05a3d1cd21d0c88145e82600e62e7e496e0f222b</x:v>
      </x:c>
      <x:c r="H11" s="21" t="n">
        <x:v>18</x:v>
      </x:c>
      <x:c r="I11" s="24" t="n">
        <x:v>1536.0258736059484</x:v>
      </x:c>
      <x:c r="J11" s="24" t="n">
        <x:v>3840.0646840148715</x:v>
      </x:c>
      <x:c r="K11" s="37" t="n">
        <x:f>J11/I11</x:f>
        <x:v>2.5000000000000004</x:v>
      </x:c>
      <x:c r="L11" s="24" t="n">
        <x:f>J11</x:f>
        <x:v>3840.0646840148715</x:v>
      </x:c>
      <x:c r="M11" s="40" t="n">
        <x:f>1000000000*I11*J11/(I11+J11)^2</x:f>
        <x:v>204081632.65306124</x:v>
      </x:c>
      <x:c r="N11" s="40" t="n">
        <x:f>1000000000*I11^2/(I11+J11)^2</x:f>
        <x:v>81632653.06122446</x:v>
      </x:c>
      <x:c r="O11" s="43" t="n">
        <x:f>1-N11/1000000000</x:f>
        <x:v>0.9183673469387755</x:v>
      </x:c>
      <x:c r="P11" s="46" t="n">
        <x:v>54430299</x:v>
      </x:c>
      <x:c r="Q11" s="12" t="str">
        <x:v>Approved / Native</x:v>
      </x:c>
      <x:c r="R11" s="33" t="str">
        <x:v>https://robinhoodchain.blockscout.com/address/0x05a3d1cd21d0c88145e82600e62e7e496e0f222b</x:v>
      </x:c>
      <x:c r="S11" s="27">
        <x:v>2.6810617004333714</x:v>
      </x:c>
      <x:c r="T11" s="30">
        <x:v>46285.27319353009</x:v>
      </x:c>
      <x:c r="U11" s="33" t="inlineStr">
        <x:is>
          <x:t xml:space="preserve">https://dexscreener.com/robinhood/0xcf38764ae8c92222af4358a701871a6235cfc7b7</x:t>
        </x:is>
      </x:c>
      <x:c r="V11" s="33" t="inlineStr">
        <x:is>
          <x:t xml:space="preserve">每日 Quote 代币池价；本地可手动更新</x:t>
        </x:is>
      </x:c>
    </x:row>
    <x:row r="12" ht="44" customHeight="1">
      <x:c r="A12" s="2"/>
      <x:c r="B12" s="2"/>
      <x:c r="C12" s="12" t="n">
        <x:v>4</x:v>
      </x:c>
      <x:c r="D12" s="12" t="str">
        <x:v>股票 / ETF</x:v>
      </x:c>
      <x:c r="E12" s="15" t="str">
        <x:v>AMD</x:v>
      </x:c>
      <x:c r="F12" s="15" t="str">
        <x:v>Advanced Micro Devices</x:v>
      </x:c>
      <x:c r="G12" s="18" t="str">
        <x:v>​0x86923f96303D656E4aa86D9d42D1e57ad2023fdC</x:v>
      </x:c>
      <x:c r="H12" s="21" t="n">
        <x:v>18</x:v>
      </x:c>
      <x:c r="I12" s="24" t="n">
        <x:v>6.66620183638</x:v>
      </x:c>
      <x:c r="J12" s="24" t="n">
        <x:v>16.66550459095</x:v>
      </x:c>
      <x:c r="K12" s="37" t="n">
        <x:f>J12/I12</x:f>
        <x:v>2.5</x:v>
      </x:c>
      <x:c r="L12" s="24" t="n">
        <x:f>J12</x:f>
        <x:v>16.66550459095</x:v>
      </x:c>
      <x:c r="M12" s="40" t="n">
        <x:f>1000000000*I12*J12/(I12+J12)^2</x:f>
        <x:v>204081632.65306118</x:v>
      </x:c>
      <x:c r="N12" s="40" t="n">
        <x:f>1000000000*I12^2/(I12+J12)^2</x:f>
        <x:v>81632653.06122446</x:v>
      </x:c>
      <x:c r="O12" s="43" t="n">
        <x:f>1-N12/1000000000</x:f>
        <x:v>0.9183673469387755</x:v>
      </x:c>
      <x:c r="P12" s="46" t="n">
        <x:v>54430299</x:v>
      </x:c>
      <x:c r="Q12" s="12" t="str">
        <x:v>Approved / Native</x:v>
      </x:c>
      <x:c r="R12" s="33" t="str">
        <x:v>https://robinhoodchain.blockscout.com/address/0x86923f96303D656E4aa86D9d42D1e57ad2023fdC</x:v>
      </x:c>
      <x:c r="S12" s="27" t="inlineStr">
        <x:is>
          <x:t xml:space="preserve"/>
        </x:is>
      </x:c>
      <x:c r="T12" s="30">
        <x:v>46285.27319930556</x:v>
      </x:c>
      <x:c r="U12" s="33" t="inlineStr">
        <x:is>
          <x:t xml:space="preserve"/>
        </x:is>
      </x:c>
      <x:c r="V12" s="33" t="inlineStr">
        <x:is>
          <x:t xml:space="preserve">暂无合格池价；可手动输入</x:t>
        </x:is>
      </x:c>
    </x:row>
    <x:row r="13" ht="44" customHeight="1">
      <x:c r="A13" s="2"/>
      <x:c r="B13" s="2"/>
      <x:c r="C13" s="12" t="n">
        <x:v>5</x:v>
      </x:c>
      <x:c r="D13" s="12" t="str">
        <x:v>股票 / ETF</x:v>
      </x:c>
      <x:c r="E13" s="15" t="str">
        <x:v>AMZN</x:v>
      </x:c>
      <x:c r="F13" s="15" t="str">
        <x:v>Amazon</x:v>
      </x:c>
      <x:c r="G13" s="18" t="str">
        <x:v>​0x12f190a9F9d7D37a250758b26824B97CE941bF54</x:v>
      </x:c>
      <x:c r="H13" s="21" t="n">
        <x:v>18</x:v>
      </x:c>
      <x:c r="I13" s="24" t="n">
        <x:v>11.73211643685</x:v>
      </x:c>
      <x:c r="J13" s="24" t="n">
        <x:v>29.330291092125</x:v>
      </x:c>
      <x:c r="K13" s="37" t="n">
        <x:f>J13/I13</x:f>
        <x:v>2.5000000000000004</x:v>
      </x:c>
      <x:c r="L13" s="24" t="n">
        <x:f>J13</x:f>
        <x:v>29.330291092125</x:v>
      </x:c>
      <x:c r="M13" s="40" t="n">
        <x:f>1000000000*I13*J13/(I13+J13)^2</x:f>
        <x:v>204081632.6530612</x:v>
      </x:c>
      <x:c r="N13" s="40" t="n">
        <x:f>1000000000*I13^2/(I13+J13)^2</x:f>
        <x:v>81632653.06122449</x:v>
      </x:c>
      <x:c r="O13" s="43" t="n">
        <x:f>1-N13/1000000000</x:f>
        <x:v>0.9183673469387755</x:v>
      </x:c>
      <x:c r="P13" s="46" t="n">
        <x:v>54430299</x:v>
      </x:c>
      <x:c r="Q13" s="12" t="str">
        <x:v>Approved / Native</x:v>
      </x:c>
      <x:c r="R13" s="33" t="str">
        <x:v>https://robinhoodchain.blockscout.com/address/0x12f190a9F9d7D37a250758b26824B97CE941bF54</x:v>
      </x:c>
      <x:c r="S13" s="27" t="inlineStr">
        <x:is>
          <x:t xml:space="preserve"/>
        </x:is>
      </x:c>
      <x:c r="T13" s="30">
        <x:v>46285.273205115736</x:v>
      </x:c>
      <x:c r="U13" s="33" t="inlineStr">
        <x:is>
          <x:t xml:space="preserve"/>
        </x:is>
      </x:c>
      <x:c r="V13" s="33" t="inlineStr">
        <x:is>
          <x:t xml:space="preserve">暂无合格池价；可手动输入</x:t>
        </x:is>
      </x:c>
    </x:row>
    <x:row r="14" ht="44" customHeight="1">
      <x:c r="A14" s="2"/>
      <x:c r="B14" s="2"/>
      <x:c r="C14" s="12" t="n">
        <x:v>6</x:v>
      </x:c>
      <x:c r="D14" s="12" t="str">
        <x:v>股票 / ETF</x:v>
      </x:c>
      <x:c r="E14" s="15" t="str">
        <x:v>BABA</x:v>
      </x:c>
      <x:c r="F14" s="15" t="str">
        <x:v>Alibaba</x:v>
      </x:c>
      <x:c r="G14" s="18" t="str">
        <x:v>​0xad25ac6c84d497db898fa1e8387bf6af3532a1c4</x:v>
      </x:c>
      <x:c r="H14" s="21" t="n">
        <x:v>18</x:v>
      </x:c>
      <x:c r="I14" s="24" t="n">
        <x:v>36.51387062566278</x:v>
      </x:c>
      <x:c r="J14" s="24" t="n">
        <x:v>91.28467656415695</x:v>
      </x:c>
      <x:c r="K14" s="37" t="n">
        <x:f>J14/I14</x:f>
        <x:v>2.5</x:v>
      </x:c>
      <x:c r="L14" s="24" t="n">
        <x:f>J14</x:f>
        <x:v>91.28467656415695</x:v>
      </x:c>
      <x:c r="M14" s="40" t="n">
        <x:f>1000000000*I14*J14/(I14+J14)^2</x:f>
        <x:v>204081632.65306118</x:v>
      </x:c>
      <x:c r="N14" s="40" t="n">
        <x:f>1000000000*I14^2/(I14+J14)^2</x:f>
        <x:v>81632653.06122449</x:v>
      </x:c>
      <x:c r="O14" s="43" t="n">
        <x:f>1-N14/1000000000</x:f>
        <x:v>0.9183673469387755</x:v>
      </x:c>
      <x:c r="P14" s="46" t="n">
        <x:v>54430299</x:v>
      </x:c>
      <x:c r="Q14" s="12" t="str">
        <x:v>Approved / Native</x:v>
      </x:c>
      <x:c r="R14" s="33" t="str">
        <x:v>https://robinhoodchain.blockscout.com/address/0xad25ac6c84d497db898fa1e8387bf6af3532a1c4</x:v>
      </x:c>
      <x:c r="S14" s="27" t="inlineStr">
        <x:is>
          <x:t xml:space="preserve"/>
        </x:is>
      </x:c>
      <x:c r="T14" s="30">
        <x:v>46285.27321087963</x:v>
      </x:c>
      <x:c r="U14" s="33" t="inlineStr">
        <x:is>
          <x:t xml:space="preserve"/>
        </x:is>
      </x:c>
      <x:c r="V14" s="33" t="inlineStr">
        <x:is>
          <x:t xml:space="preserve">暂无合格池价；可手动输入</x:t>
        </x:is>
      </x:c>
    </x:row>
    <x:row r="15" ht="44" customHeight="1">
      <x:c r="A15" s="2"/>
      <x:c r="B15" s="2"/>
      <x:c r="C15" s="12" t="n">
        <x:v>7</x:v>
      </x:c>
      <x:c r="D15" s="12" t="str">
        <x:v>股票 / ETF</x:v>
      </x:c>
      <x:c r="E15" s="15" t="str">
        <x:v>BB</x:v>
      </x:c>
      <x:c r="F15" s="15" t="str">
        <x:v>BlackBerry</x:v>
      </x:c>
      <x:c r="G15" s="18" t="str">
        <x:v>​0x48E39E56aCdbA37b09020C0b734A613C9a2f100A</x:v>
      </x:c>
      <x:c r="H15" s="21" t="n">
        <x:v>18</x:v>
      </x:c>
      <x:c r="I15" s="24" t="n">
        <x:v>503.824570024</x:v>
      </x:c>
      <x:c r="J15" s="24" t="n">
        <x:v>1259.56142506</x:v>
      </x:c>
      <x:c r="K15" s="37" t="n">
        <x:f>J15/I15</x:f>
        <x:v>2.4999999999999996</x:v>
      </x:c>
      <x:c r="L15" s="24" t="n">
        <x:f>J15</x:f>
        <x:v>1259.56142506</x:v>
      </x:c>
      <x:c r="M15" s="40" t="n">
        <x:f>1000000000*I15*J15/(I15+J15)^2</x:f>
        <x:v>204081632.6530612</x:v>
      </x:c>
      <x:c r="N15" s="40" t="n">
        <x:f>1000000000*I15^2/(I15+J15)^2</x:f>
        <x:v>81632653.0612245</x:v>
      </x:c>
      <x:c r="O15" s="43" t="n">
        <x:f>1-N15/1000000000</x:f>
        <x:v>0.9183673469387755</x:v>
      </x:c>
      <x:c r="P15" s="46" t="n">
        <x:v>54430299</x:v>
      </x:c>
      <x:c r="Q15" s="12" t="str">
        <x:v>Approved / Native</x:v>
      </x:c>
      <x:c r="R15" s="33" t="str">
        <x:v>https://robinhoodchain.blockscout.com/address/0x48E39E56aCdbA37b09020C0b734A613C9a2f100A</x:v>
      </x:c>
      <x:c r="S15" s="27" t="inlineStr">
        <x:is>
          <x:t xml:space="preserve"/>
        </x:is>
      </x:c>
      <x:c r="T15" s="30">
        <x:v>46285.27321663194</x:v>
      </x:c>
      <x:c r="U15" s="33" t="inlineStr">
        <x:is>
          <x:t xml:space="preserve"/>
        </x:is>
      </x:c>
      <x:c r="V15" s="33" t="inlineStr">
        <x:is>
          <x:t xml:space="preserve">暂无合格池价；可手动输入</x:t>
        </x:is>
      </x:c>
    </x:row>
    <x:row r="16" ht="44" customHeight="1">
      <x:c r="A16" s="2"/>
      <x:c r="B16" s="2"/>
      <x:c r="C16" s="12" t="n">
        <x:v>8</x:v>
      </x:c>
      <x:c r="D16" s="12" t="str">
        <x:v>股票 / ETF</x:v>
      </x:c>
      <x:c r="E16" s="15" t="str">
        <x:v>BE</x:v>
      </x:c>
      <x:c r="F16" s="15" t="str">
        <x:v>Bloom Energy</x:v>
      </x:c>
      <x:c r="G16" s="18" t="str">
        <x:v>​0x822cc93ffd030293e9842c30bbd678f530701867</x:v>
      </x:c>
      <x:c r="H16" s="21" t="n">
        <x:v>18</x:v>
      </x:c>
      <x:c r="I16" s="24" t="n">
        <x:v>16.82031182576837</x:v>
      </x:c>
      <x:c r="J16" s="24" t="n">
        <x:v>42.05077956442092</x:v>
      </x:c>
      <x:c r="K16" s="37" t="n">
        <x:f>J16/I16</x:f>
        <x:v>2.4999999999999996</x:v>
      </x:c>
      <x:c r="L16" s="24" t="n">
        <x:f>J16</x:f>
        <x:v>42.05077956442092</x:v>
      </x:c>
      <x:c r="M16" s="40" t="n">
        <x:f>1000000000*I16*J16/(I16+J16)^2</x:f>
        <x:v>204081632.65306127</x:v>
      </x:c>
      <x:c r="N16" s="40" t="n">
        <x:f>1000000000*I16^2/(I16+J16)^2</x:f>
        <x:v>81632653.0612245</x:v>
      </x:c>
      <x:c r="O16" s="43" t="n">
        <x:f>1-N16/1000000000</x:f>
        <x:v>0.9183673469387755</x:v>
      </x:c>
      <x:c r="P16" s="46" t="n">
        <x:v>54430299</x:v>
      </x:c>
      <x:c r="Q16" s="12" t="str">
        <x:v>Approved / Native</x:v>
      </x:c>
      <x:c r="R16" s="33" t="str">
        <x:v>https://robinhoodchain.blockscout.com/address/0x822cc93ffd030293e9842c30bbd678f530701867</x:v>
      </x:c>
      <x:c r="S16" s="27" t="inlineStr">
        <x:is>
          <x:t xml:space="preserve"/>
        </x:is>
      </x:c>
      <x:c r="T16" s="30">
        <x:v>46285.27322246528</x:v>
      </x:c>
      <x:c r="U16" s="33" t="inlineStr">
        <x:is>
          <x:t xml:space="preserve"/>
        </x:is>
      </x:c>
      <x:c r="V16" s="33" t="inlineStr">
        <x:is>
          <x:t xml:space="preserve">暂无合格池价；可手动输入</x:t>
        </x:is>
      </x:c>
    </x:row>
    <x:row r="17" ht="44" customHeight="1">
      <x:c r="A17" s="2"/>
      <x:c r="B17" s="2"/>
      <x:c r="C17" s="12" t="n">
        <x:v>9</x:v>
      </x:c>
      <x:c r="D17" s="12" t="str">
        <x:v>股票 / ETF</x:v>
      </x:c>
      <x:c r="E17" s="15" t="str">
        <x:v>BULL</x:v>
      </x:c>
      <x:c r="F17" s="15" t="str">
        <x:v>Webull</x:v>
      </x:c>
      <x:c r="G17" s="18" t="str">
        <x:v>​0xcef9027c7d6985b85f0ba431125073529a947a68</x:v>
      </x:c>
      <x:c r="H17" s="21" t="n">
        <x:v>18</x:v>
      </x:c>
      <x:c r="I17" s="24" t="n">
        <x:v>421.8386523736601</x:v>
      </x:c>
      <x:c r="J17" s="24" t="n">
        <x:v>1054.5966309341502</x:v>
      </x:c>
      <x:c r="K17" s="37" t="n">
        <x:f>J17/I17</x:f>
        <x:v>2.4999999999999996</x:v>
      </x:c>
      <x:c r="L17" s="24" t="n">
        <x:f>J17</x:f>
        <x:v>1054.5966309341502</x:v>
      </x:c>
      <x:c r="M17" s="40" t="n">
        <x:f>1000000000*I17*J17/(I17+J17)^2</x:f>
        <x:v>204081632.6530612</x:v>
      </x:c>
      <x:c r="N17" s="40" t="n">
        <x:f>1000000000*I17^2/(I17+J17)^2</x:f>
        <x:v>81632653.0612245</x:v>
      </x:c>
      <x:c r="O17" s="43" t="n">
        <x:f>1-N17/1000000000</x:f>
        <x:v>0.9183673469387755</x:v>
      </x:c>
      <x:c r="P17" s="46" t="n">
        <x:v>54430299</x:v>
      </x:c>
      <x:c r="Q17" s="12" t="str">
        <x:v>Approved / Native</x:v>
      </x:c>
      <x:c r="R17" s="33" t="str">
        <x:v>https://robinhoodchain.blockscout.com/address/0xcef9027c7d6985b85f0ba431125073529a947a68</x:v>
      </x:c>
      <x:c r="S17" s="27" t="inlineStr">
        <x:is>
          <x:t xml:space="preserve"/>
        </x:is>
      </x:c>
      <x:c r="T17" s="30">
        <x:v>46285.273228252314</x:v>
      </x:c>
      <x:c r="U17" s="33" t="inlineStr">
        <x:is>
          <x:t xml:space="preserve"/>
        </x:is>
      </x:c>
      <x:c r="V17" s="33" t="inlineStr">
        <x:is>
          <x:t xml:space="preserve">暂无合格池价；可手动输入</x:t>
        </x:is>
      </x:c>
    </x:row>
    <x:row r="18" ht="44" customHeight="1">
      <x:c r="A18" s="2"/>
      <x:c r="B18" s="2"/>
      <x:c r="C18" s="12" t="n">
        <x:v>10</x:v>
      </x:c>
      <x:c r="D18" s="12" t="str">
        <x:v>股票 / ETF</x:v>
      </x:c>
      <x:c r="E18" s="15" t="str">
        <x:v>COIN</x:v>
      </x:c>
      <x:c r="F18" s="15" t="str">
        <x:v>Coinbase</x:v>
      </x:c>
      <x:c r="G18" s="18" t="str">
        <x:v>​0x6330D8C3178a418788dF01a47479c0ce7CCF450b</x:v>
      </x:c>
      <x:c r="H18" s="21" t="n">
        <x:v>18</x:v>
      </x:c>
      <x:c r="I18" s="24" t="n">
        <x:v>20.98826938136</x:v>
      </x:c>
      <x:c r="J18" s="24" t="n">
        <x:v>52.4706734534</x:v>
      </x:c>
      <x:c r="K18" s="37" t="n">
        <x:f>J18/I18</x:f>
        <x:v>2.5000000000000004</x:v>
      </x:c>
      <x:c r="L18" s="24" t="n">
        <x:f>J18</x:f>
        <x:v>52.4706734534</x:v>
      </x:c>
      <x:c r="M18" s="40" t="n">
        <x:f>1000000000*I18*J18/(I18+J18)^2</x:f>
        <x:v>204081632.6530612</x:v>
      </x:c>
      <x:c r="N18" s="40" t="n">
        <x:f>1000000000*I18^2/(I18+J18)^2</x:f>
        <x:v>81632653.06122448</x:v>
      </x:c>
      <x:c r="O18" s="43" t="n">
        <x:f>1-N18/1000000000</x:f>
        <x:v>0.9183673469387755</x:v>
      </x:c>
      <x:c r="P18" s="46" t="n">
        <x:v>54430299</x:v>
      </x:c>
      <x:c r="Q18" s="12" t="str">
        <x:v>Approved / Native</x:v>
      </x:c>
      <x:c r="R18" s="33" t="str">
        <x:v>https://robinhoodchain.blockscout.com/address/0x6330D8C3178a418788dF01a47479c0ce7CCF450b</x:v>
      </x:c>
      <x:c r="S18" s="27">
        <x:v>192.1700993593463</x:v>
      </x:c>
      <x:c r="T18" s="30">
        <x:v>46285.273234050925</x:v>
      </x:c>
      <x:c r="U18" s="33" t="inlineStr">
        <x:is>
          <x:t xml:space="preserve">https://dexscreener.com/robinhood/0x6707aeac7d0e519b083219d27bb427364363183a</x:t>
        </x:is>
      </x:c>
      <x:c r="V18" s="33" t="inlineStr">
        <x:is>
          <x:t xml:space="preserve">每日 Quote 代币池价；本地可手动更新</x:t>
        </x:is>
      </x:c>
    </x:row>
    <x:row r="19" ht="44" customHeight="1">
      <x:c r="A19" s="2"/>
      <x:c r="B19" s="2"/>
      <x:c r="C19" s="12" t="n">
        <x:v>11</x:v>
      </x:c>
      <x:c r="D19" s="12" t="str">
        <x:v>股票 / ETF</x:v>
      </x:c>
      <x:c r="E19" s="15" t="str">
        <x:v>COST</x:v>
      </x:c>
      <x:c r="F19" s="15" t="str">
        <x:v>Costco</x:v>
      </x:c>
      <x:c r="G19" s="18" t="str">
        <x:v>​0x4EA005168D7F09a7A0Ba9D1DEf21a479950E44C2</x:v>
      </x:c>
      <x:c r="H19" s="21" t="n">
        <x:v>18</x:v>
      </x:c>
      <x:c r="I19" s="24" t="n">
        <x:v>3.388162372132</x:v>
      </x:c>
      <x:c r="J19" s="24" t="n">
        <x:v>8.47040593033</x:v>
      </x:c>
      <x:c r="K19" s="37" t="n">
        <x:f>J19/I19</x:f>
        <x:v>2.4999999999999996</x:v>
      </x:c>
      <x:c r="L19" s="24" t="n">
        <x:f>J19</x:f>
        <x:v>8.47040593033</x:v>
      </x:c>
      <x:c r="M19" s="40" t="n">
        <x:f>1000000000*I19*J19/(I19+J19)^2</x:f>
        <x:v>204081632.65306124</x:v>
      </x:c>
      <x:c r="N19" s="40" t="n">
        <x:f>1000000000*I19^2/(I19+J19)^2</x:f>
        <x:v>81632653.0612245</x:v>
      </x:c>
      <x:c r="O19" s="43" t="n">
        <x:f>1-N19/1000000000</x:f>
        <x:v>0.9183673469387755</x:v>
      </x:c>
      <x:c r="P19" s="46" t="n">
        <x:v>54430299</x:v>
      </x:c>
      <x:c r="Q19" s="12" t="str">
        <x:v>Approved / Native</x:v>
      </x:c>
      <x:c r="R19" s="33" t="str">
        <x:v>https://robinhoodchain.blockscout.com/address/0x4EA005168D7F09a7A0Ba9D1DEf21a479950E44C2</x:v>
      </x:c>
      <x:c r="S19" s="27" t="inlineStr">
        <x:is>
          <x:t xml:space="preserve"/>
        </x:is>
      </x:c>
      <x:c r="T19" s="30">
        <x:v>46285.27323954861</x:v>
      </x:c>
      <x:c r="U19" s="33" t="inlineStr">
        <x:is>
          <x:t xml:space="preserve"/>
        </x:is>
      </x:c>
      <x:c r="V19" s="33" t="inlineStr">
        <x:is>
          <x:t xml:space="preserve">暂无合格池价；可手动输入</x:t>
        </x:is>
      </x:c>
    </x:row>
    <x:row r="20" ht="44" customHeight="1">
      <x:c r="A20" s="2"/>
      <x:c r="B20" s="2"/>
      <x:c r="C20" s="12" t="n">
        <x:v>12</x:v>
      </x:c>
      <x:c r="D20" s="12" t="str">
        <x:v>股票 / ETF</x:v>
      </x:c>
      <x:c r="E20" s="15" t="str">
        <x:v>CRCL</x:v>
      </x:c>
      <x:c r="F20" s="15" t="str">
        <x:v>Circle Internet Group</x:v>
      </x:c>
      <x:c r="G20" s="18" t="str">
        <x:v>​0xdF0992E440dD0be65BD8439b609d6D4366bf1CB5</x:v>
      </x:c>
      <x:c r="H20" s="21" t="n">
        <x:v>18</x:v>
      </x:c>
      <x:c r="I20" s="24" t="n">
        <x:v>47.9606680584</x:v>
      </x:c>
      <x:c r="J20" s="24" t="n">
        <x:v>119.901670146</x:v>
      </x:c>
      <x:c r="K20" s="37" t="n">
        <x:f>J20/I20</x:f>
        <x:v>2.5</x:v>
      </x:c>
      <x:c r="L20" s="24" t="n">
        <x:f>J20</x:f>
        <x:v>119.901670146</x:v>
      </x:c>
      <x:c r="M20" s="40" t="n">
        <x:f>1000000000*I20*J20/(I20+J20)^2</x:f>
        <x:v>204081632.65306124</x:v>
      </x:c>
      <x:c r="N20" s="40" t="n">
        <x:f>1000000000*I20^2/(I20+J20)^2</x:f>
        <x:v>81632653.0612245</x:v>
      </x:c>
      <x:c r="O20" s="43" t="n">
        <x:f>1-N20/1000000000</x:f>
        <x:v>0.9183673469387755</x:v>
      </x:c>
      <x:c r="P20" s="46" t="n">
        <x:v>54430299</x:v>
      </x:c>
      <x:c r="Q20" s="12" t="str">
        <x:v>Approved / Native</x:v>
      </x:c>
      <x:c r="R20" s="33" t="str">
        <x:v>https://robinhoodchain.blockscout.com/address/0xdF0992E440dD0be65BD8439b609d6D4366bf1CB5</x:v>
      </x:c>
      <x:c r="S20" s="27">
        <x:v>90.91600273708387</x:v>
      </x:c>
      <x:c r="T20" s="30">
        <x:v>46285.273245625</x:v>
      </x:c>
      <x:c r="U20" s="33" t="inlineStr">
        <x:is>
          <x:t xml:space="preserve">https://dexscreener.com/robinhood/0x754ddd4bf8e8635b4301a7f4af2ea7a82ab6cea7</x:t>
        </x:is>
      </x:c>
      <x:c r="V20" s="33" t="inlineStr">
        <x:is>
          <x:t xml:space="preserve">每日 Quote 代币池价；本地可手动更新</x:t>
        </x:is>
      </x:c>
    </x:row>
    <x:row r="21" ht="44" customHeight="1">
      <x:c r="A21" s="2"/>
      <x:c r="B21" s="2"/>
      <x:c r="C21" s="12" t="n">
        <x:v>13</x:v>
      </x:c>
      <x:c r="D21" s="12" t="str">
        <x:v>股票 / ETF</x:v>
      </x:c>
      <x:c r="E21" s="15" t="str">
        <x:v>DELL</x:v>
      </x:c>
      <x:c r="F21" s="15" t="str">
        <x:v>Dell Technologies</x:v>
      </x:c>
      <x:c r="G21" s="18" t="str">
        <x:v>​0x941AE714EC6D8130c7B75d67160Ca08f1e7d11Dd</x:v>
      </x:c>
      <x:c r="H21" s="21" t="n">
        <x:v>18</x:v>
      </x:c>
      <x:c r="I21" s="24" t="n">
        <x:v>9.52812988236</x:v>
      </x:c>
      <x:c r="J21" s="24" t="n">
        <x:v>23.8203247059</x:v>
      </x:c>
      <x:c r="K21" s="37" t="n">
        <x:f>J21/I21</x:f>
        <x:v>2.5</x:v>
      </x:c>
      <x:c r="L21" s="24" t="n">
        <x:f>J21</x:f>
        <x:v>23.8203247059</x:v>
      </x:c>
      <x:c r="M21" s="40" t="n">
        <x:f>1000000000*I21*J21/(I21+J21)^2</x:f>
        <x:v>204081632.65306127</x:v>
      </x:c>
      <x:c r="N21" s="40" t="n">
        <x:f>1000000000*I21^2/(I21+J21)^2</x:f>
        <x:v>81632653.06122449</x:v>
      </x:c>
      <x:c r="O21" s="43" t="n">
        <x:f>1-N21/1000000000</x:f>
        <x:v>0.9183673469387755</x:v>
      </x:c>
      <x:c r="P21" s="46" t="n">
        <x:v>54430299</x:v>
      </x:c>
      <x:c r="Q21" s="12" t="str">
        <x:v>Approved / Native</x:v>
      </x:c>
      <x:c r="R21" s="33" t="str">
        <x:v>https://robinhoodchain.blockscout.com/address/0x941AE714EC6D8130c7B75d67160Ca08f1e7d11Dd</x:v>
      </x:c>
      <x:c r="S21" s="27" t="inlineStr">
        <x:is>
          <x:t xml:space="preserve"/>
        </x:is>
      </x:c>
      <x:c r="T21" s="30">
        <x:v>46285.27325148148</x:v>
      </x:c>
      <x:c r="U21" s="33" t="inlineStr">
        <x:is>
          <x:t xml:space="preserve"/>
        </x:is>
      </x:c>
      <x:c r="V21" s="33" t="inlineStr">
        <x:is>
          <x:t xml:space="preserve">暂无合格池价；可手动输入</x:t>
        </x:is>
      </x:c>
    </x:row>
    <x:row r="22" ht="44" customHeight="1">
      <x:c r="A22" s="2"/>
      <x:c r="B22" s="2"/>
      <x:c r="C22" s="12" t="n">
        <x:v>14</x:v>
      </x:c>
      <x:c r="D22" s="12" t="str">
        <x:v>股票 / ETF</x:v>
      </x:c>
      <x:c r="E22" s="15" t="str">
        <x:v>DJT</x:v>
      </x:c>
      <x:c r="F22" s="15" t="str">
        <x:v>Trump Media &amp; Technology Group</x:v>
      </x:c>
      <x:c r="G22" s="18" t="str">
        <x:v>​0x1D11f0496982706C5e14A514D4E79F2e6BdE4516</x:v>
      </x:c>
      <x:c r="H22" s="21" t="n">
        <x:v>18</x:v>
      </x:c>
      <x:c r="I22" s="24" t="n">
        <x:v>366.8648806576</x:v>
      </x:c>
      <x:c r="J22" s="24" t="n">
        <x:v>917.162201644</x:v>
      </x:c>
      <x:c r="K22" s="37" t="n">
        <x:f>J22/I22</x:f>
        <x:v>2.5</x:v>
      </x:c>
      <x:c r="L22" s="24" t="n">
        <x:f>J22</x:f>
        <x:v>917.162201644</x:v>
      </x:c>
      <x:c r="M22" s="40" t="n">
        <x:f>1000000000*I22*J22/(I22+J22)^2</x:f>
        <x:v>204081632.65306124</x:v>
      </x:c>
      <x:c r="N22" s="40" t="n">
        <x:f>1000000000*I22^2/(I22+J22)^2</x:f>
        <x:v>81632653.0612245</x:v>
      </x:c>
      <x:c r="O22" s="43" t="n">
        <x:f>1-N22/1000000000</x:f>
        <x:v>0.9183673469387755</x:v>
      </x:c>
      <x:c r="P22" s="46" t="n">
        <x:v>54430299</x:v>
      </x:c>
      <x:c r="Q22" s="12" t="str">
        <x:v>Approved / Native</x:v>
      </x:c>
      <x:c r="R22" s="33" t="str">
        <x:v>https://robinhoodchain.blockscout.com/address/0x1D11f0496982706C5e14A514D4E79F2e6BdE4516</x:v>
      </x:c>
      <x:c r="S22" s="27">
        <x:v>8.843502026802613</x:v>
      </x:c>
      <x:c r="T22" s="30">
        <x:v>46285.27325719907</x:v>
      </x:c>
      <x:c r="U22" s="33" t="inlineStr">
        <x:is>
          <x:t xml:space="preserve">https://dexscreener.com/robinhood/0x81b4caac5d313ea0c831c4d16f8c23937602dcf1</x:t>
        </x:is>
      </x:c>
      <x:c r="V22" s="33" t="inlineStr">
        <x:is>
          <x:t xml:space="preserve">每日 Quote 代币池价；本地可手动更新</x:t>
        </x:is>
      </x:c>
    </x:row>
    <x:row r="23" ht="44" customHeight="1">
      <x:c r="A23" s="2"/>
      <x:c r="B23" s="2"/>
      <x:c r="C23" s="12" t="n">
        <x:v>15</x:v>
      </x:c>
      <x:c r="D23" s="12" t="str">
        <x:v>股票 / ETF</x:v>
      </x:c>
      <x:c r="E23" s="15" t="str">
        <x:v>F</x:v>
      </x:c>
      <x:c r="F23" s="15" t="str">
        <x:v>Ford Motor</x:v>
      </x:c>
      <x:c r="G23" s="18" t="str">
        <x:v>​0x25c288e6d899b9bc30160965ad9644c67e73be0c</x:v>
      </x:c>
      <x:c r="H23" s="21" t="n">
        <x:v>18</x:v>
      </x:c>
      <x:c r="I23" s="24" t="n">
        <x:v>284.56677685950416</x:v>
      </x:c>
      <x:c r="J23" s="24" t="n">
        <x:v>711.4169421487604</x:v>
      </x:c>
      <x:c r="K23" s="37" t="n">
        <x:f>J23/I23</x:f>
        <x:v>2.5</x:v>
      </x:c>
      <x:c r="L23" s="24" t="n">
        <x:f>J23</x:f>
        <x:v>711.4169421487604</x:v>
      </x:c>
      <x:c r="M23" s="40" t="n">
        <x:f>1000000000*I23*J23/(I23+J23)^2</x:f>
        <x:v>204081632.6530612</x:v>
      </x:c>
      <x:c r="N23" s="40" t="n">
        <x:f>1000000000*I23^2/(I23+J23)^2</x:f>
        <x:v>81632653.06122448</x:v>
      </x:c>
      <x:c r="O23" s="43" t="n">
        <x:f>1-N23/1000000000</x:f>
        <x:v>0.9183673469387755</x:v>
      </x:c>
      <x:c r="P23" s="46" t="n">
        <x:v>54430299</x:v>
      </x:c>
      <x:c r="Q23" s="12" t="str">
        <x:v>Approved / Native</x:v>
      </x:c>
      <x:c r="R23" s="33" t="str">
        <x:v>https://robinhoodchain.blockscout.com/address/0x25c288e6d899b9bc30160965ad9644c67e73be0c</x:v>
      </x:c>
      <x:c r="S23" s="27" t="inlineStr">
        <x:is>
          <x:t xml:space="preserve"/>
        </x:is>
      </x:c>
      <x:c r="T23" s="30">
        <x:v>46285.27326297454</x:v>
      </x:c>
      <x:c r="U23" s="33" t="inlineStr">
        <x:is>
          <x:t xml:space="preserve"/>
        </x:is>
      </x:c>
      <x:c r="V23" s="33" t="inlineStr">
        <x:is>
          <x:t xml:space="preserve">暂无合格池价；可手动输入</x:t>
        </x:is>
      </x:c>
    </x:row>
    <x:row r="24" ht="44" customHeight="1">
      <x:c r="A24" s="2"/>
      <x:c r="B24" s="2"/>
      <x:c r="C24" s="12" t="n">
        <x:v>16</x:v>
      </x:c>
      <x:c r="D24" s="12" t="str">
        <x:v>股票 / ETF</x:v>
      </x:c>
      <x:c r="E24" s="15" t="str">
        <x:v>FIG</x:v>
      </x:c>
      <x:c r="F24" s="15" t="str">
        <x:v>Figma</x:v>
      </x:c>
      <x:c r="G24" s="18" t="str">
        <x:v>​0x41F4267525a8AFf329540eF24fD83d9044758B33</x:v>
      </x:c>
      <x:c r="H24" s="21" t="n">
        <x:v>18</x:v>
      </x:c>
      <x:c r="I24" s="24" t="n">
        <x:v>156.2667703072</x:v>
      </x:c>
      <x:c r="J24" s="24" t="n">
        <x:v>390.666925768</x:v>
      </x:c>
      <x:c r="K24" s="37" t="n">
        <x:f>J24/I24</x:f>
        <x:v>2.5</x:v>
      </x:c>
      <x:c r="L24" s="24" t="n">
        <x:f>J24</x:f>
        <x:v>390.666925768</x:v>
      </x:c>
      <x:c r="M24" s="40" t="n">
        <x:f>1000000000*I24*J24/(I24+J24)^2</x:f>
        <x:v>204081632.6530612</x:v>
      </x:c>
      <x:c r="N24" s="40" t="n">
        <x:f>1000000000*I24^2/(I24+J24)^2</x:f>
        <x:v>81632653.06122448</x:v>
      </x:c>
      <x:c r="O24" s="43" t="n">
        <x:f>1-N24/1000000000</x:f>
        <x:v>0.9183673469387755</x:v>
      </x:c>
      <x:c r="P24" s="46" t="n">
        <x:v>54430299</x:v>
      </x:c>
      <x:c r="Q24" s="12" t="str">
        <x:v>Approved / Native</x:v>
      </x:c>
      <x:c r="R24" s="33" t="str">
        <x:v>https://robinhoodchain.blockscout.com/address/0x41F4267525a8AFf329540eF24fD83d9044758B33</x:v>
      </x:c>
      <x:c r="S24" s="27" t="inlineStr">
        <x:is>
          <x:t xml:space="preserve"/>
        </x:is>
      </x:c>
      <x:c r="T24" s="30">
        <x:v>46285.27326883102</x:v>
      </x:c>
      <x:c r="U24" s="33" t="inlineStr">
        <x:is>
          <x:t xml:space="preserve"/>
        </x:is>
      </x:c>
      <x:c r="V24" s="33" t="inlineStr">
        <x:is>
          <x:t xml:space="preserve">暂无合格池价；可手动输入</x:t>
        </x:is>
      </x:c>
    </x:row>
    <x:row r="25" ht="44" customHeight="1">
      <x:c r="A25" s="2"/>
      <x:c r="B25" s="2"/>
      <x:c r="C25" s="12" t="n">
        <x:v>17</x:v>
      </x:c>
      <x:c r="D25" s="12" t="str">
        <x:v>股票 / ETF</x:v>
      </x:c>
      <x:c r="E25" s="15" t="str">
        <x:v>GLD</x:v>
      </x:c>
      <x:c r="F25" s="15" t="str">
        <x:v>SPDR Gold Shares</x:v>
      </x:c>
      <x:c r="G25" s="18" t="str">
        <x:v>​0xC9a981FEE1F9DEc688bb123ccDeCc63D0deBFC4e</x:v>
      </x:c>
      <x:c r="H25" s="21" t="n">
        <x:v>18</x:v>
      </x:c>
      <x:c r="I25" s="24" t="n">
        <x:v>9.97623877984</x:v>
      </x:c>
      <x:c r="J25" s="24" t="n">
        <x:v>24.9405969496</x:v>
      </x:c>
      <x:c r="K25" s="37" t="n">
        <x:f>J25/I25</x:f>
        <x:v>2.5</x:v>
      </x:c>
      <x:c r="L25" s="24" t="n">
        <x:f>J25</x:f>
        <x:v>24.9405969496</x:v>
      </x:c>
      <x:c r="M25" s="40" t="n">
        <x:f>1000000000*I25*J25/(I25+J25)^2</x:f>
        <x:v>204081632.65306124</x:v>
      </x:c>
      <x:c r="N25" s="40" t="n">
        <x:f>1000000000*I25^2/(I25+J25)^2</x:f>
        <x:v>81632653.0612245</x:v>
      </x:c>
      <x:c r="O25" s="43" t="n">
        <x:f>1-N25/1000000000</x:f>
        <x:v>0.9183673469387755</x:v>
      </x:c>
      <x:c r="P25" s="46" t="n">
        <x:v>54430299</x:v>
      </x:c>
      <x:c r="Q25" s="12" t="str">
        <x:v>Approved / Native</x:v>
      </x:c>
      <x:c r="R25" s="33" t="str">
        <x:v>https://robinhoodchain.blockscout.com/address/0xC9a981FEE1F9DEc688bb123ccDeCc63D0deBFC4e</x:v>
      </x:c>
      <x:c r="S25" s="27">
        <x:v>400.1284508665432</x:v>
      </x:c>
      <x:c r="T25" s="30">
        <x:v>46285.27327459491</x:v>
      </x:c>
      <x:c r="U25" s="33" t="inlineStr">
        <x:is>
          <x:t xml:space="preserve">https://dexscreener.com/robinhood/0x98996e833ea35ec17c3645ca7b6dd40d188564c4</x:t>
        </x:is>
      </x:c>
      <x:c r="V25" s="33" t="inlineStr">
        <x:is>
          <x:t xml:space="preserve">每日 Quote 代币池价；本地可手动更新</x:t>
        </x:is>
      </x:c>
    </x:row>
    <x:row r="26" ht="44" customHeight="1">
      <x:c r="A26" s="2"/>
      <x:c r="B26" s="2"/>
      <x:c r="C26" s="12" t="n">
        <x:v>18</x:v>
      </x:c>
      <x:c r="D26" s="12" t="str">
        <x:v>股票 / ETF</x:v>
      </x:c>
      <x:c r="E26" s="15" t="str">
        <x:v>GME</x:v>
      </x:c>
      <x:c r="F26" s="15" t="str">
        <x:v>GameStop</x:v>
      </x:c>
      <x:c r="G26" s="18" t="str">
        <x:v>​0x1b0E319c6A659F002271B69dB8A7df2F911c153E</x:v>
      </x:c>
      <x:c r="H26" s="21" t="n">
        <x:v>18</x:v>
      </x:c>
      <x:c r="I26" s="24" t="n">
        <x:v>147.6</x:v>
      </x:c>
      <x:c r="J26" s="24" t="n">
        <x:v>369</x:v>
      </x:c>
      <x:c r="K26" s="37" t="n">
        <x:f>J26/I26</x:f>
        <x:v>2.5</x:v>
      </x:c>
      <x:c r="L26" s="24" t="n">
        <x:f>J26</x:f>
        <x:v>369</x:v>
      </x:c>
      <x:c r="M26" s="40" t="n">
        <x:f>1000000000*I26*J26/(I26+J26)^2</x:f>
        <x:v>204081632.65306124</x:v>
      </x:c>
      <x:c r="N26" s="40" t="n">
        <x:f>1000000000*I26^2/(I26+J26)^2</x:f>
        <x:v>81632653.06122449</x:v>
      </x:c>
      <x:c r="O26" s="43" t="n">
        <x:f>1-N26/1000000000</x:f>
        <x:v>0.9183673469387755</x:v>
      </x:c>
      <x:c r="P26" s="46" t="n">
        <x:v>54430299</x:v>
      </x:c>
      <x:c r="Q26" s="12" t="str">
        <x:v>Approved / Native</x:v>
      </x:c>
      <x:c r="R26" s="33" t="str">
        <x:v>https://robinhoodchain.blockscout.com/address/0x1b0E319c6A659F002271B69dB8A7df2F911c153E</x:v>
      </x:c>
      <x:c r="S26" s="27" t="inlineStr">
        <x:is>
          <x:t xml:space="preserve"/>
        </x:is>
      </x:c>
      <x:c r="T26" s="30">
        <x:v>46285.273280092595</x:v>
      </x:c>
      <x:c r="U26" s="33" t="inlineStr">
        <x:is>
          <x:t xml:space="preserve"/>
        </x:is>
      </x:c>
      <x:c r="V26" s="33" t="inlineStr">
        <x:is>
          <x:t xml:space="preserve">暂无合格池价；可手动输入</x:t>
        </x:is>
      </x:c>
    </x:row>
    <x:row r="27" ht="44" customHeight="1">
      <x:c r="A27" s="2"/>
      <x:c r="B27" s="2"/>
      <x:c r="C27" s="12" t="n">
        <x:v>19</x:v>
      </x:c>
      <x:c r="D27" s="12" t="str">
        <x:v>股票 / ETF</x:v>
      </x:c>
      <x:c r="E27" s="15" t="str">
        <x:v>GOOGL</x:v>
      </x:c>
      <x:c r="F27" s="15" t="str">
        <x:v>Alphabet Class A</x:v>
      </x:c>
      <x:c r="G27" s="18" t="str">
        <x:v>​0x2e0847E8910a9732eB3fb1bb4b70a580ADAD4FE3</x:v>
      </x:c>
      <x:c r="H27" s="21" t="n">
        <x:v>18</x:v>
      </x:c>
      <x:c r="I27" s="24" t="n">
        <x:v>9.68</x:v>
      </x:c>
      <x:c r="J27" s="24" t="n">
        <x:v>24.2</x:v>
      </x:c>
      <x:c r="K27" s="37" t="n">
        <x:f>J27/I27</x:f>
        <x:v>2.5</x:v>
      </x:c>
      <x:c r="L27" s="24" t="n">
        <x:f>J27</x:f>
        <x:v>24.2</x:v>
      </x:c>
      <x:c r="M27" s="40" t="n">
        <x:f>1000000000*I27*J27/(I27+J27)^2</x:f>
        <x:v>204081632.65306127</x:v>
      </x:c>
      <x:c r="N27" s="40" t="n">
        <x:f>1000000000*I27^2/(I27+J27)^2</x:f>
        <x:v>81632653.0612245</x:v>
      </x:c>
      <x:c r="O27" s="43" t="n">
        <x:f>1-N27/1000000000</x:f>
        <x:v>0.9183673469387755</x:v>
      </x:c>
      <x:c r="P27" s="46" t="n">
        <x:v>54430299</x:v>
      </x:c>
      <x:c r="Q27" s="12" t="str">
        <x:v>Approved / Native</x:v>
      </x:c>
      <x:c r="R27" s="33" t="str">
        <x:v>https://robinhoodchain.blockscout.com/address/0x2e0847E8910a9732eB3fb1bb4b70a580ADAD4FE3</x:v>
      </x:c>
      <x:c r="S27" s="27">
        <x:v>349.5884370210603</x:v>
      </x:c>
      <x:c r="T27" s="30">
        <x:v>46285.273286157404</x:v>
      </x:c>
      <x:c r="U27" s="33" t="inlineStr">
        <x:is>
          <x:t xml:space="preserve">https://dexscreener.com/robinhood/0x8c2b4303fa0b99d07a5d3e9411497a277e65b673</x:t>
        </x:is>
      </x:c>
      <x:c r="V27" s="33" t="inlineStr">
        <x:is>
          <x:t xml:space="preserve">每日 Quote 代币池价；本地可手动更新</x:t>
        </x:is>
      </x:c>
    </x:row>
    <x:row r="28" ht="44" customHeight="1">
      <x:c r="A28" s="2"/>
      <x:c r="B28" s="2"/>
      <x:c r="C28" s="12" t="n">
        <x:v>20</x:v>
      </x:c>
      <x:c r="D28" s="12" t="str">
        <x:v>股票 / ETF</x:v>
      </x:c>
      <x:c r="E28" s="15" t="str">
        <x:v>HIMS</x:v>
      </x:c>
      <x:c r="F28" s="15" t="str">
        <x:v>Hims &amp; Hers Health</x:v>
      </x:c>
      <x:c r="G28" s="18" t="str">
        <x:v>​0xCceE82fE024c36fA15E1005edE3E9e4787e23D09</x:v>
      </x:c>
      <x:c r="H28" s="21" t="n">
        <x:v>18</x:v>
      </x:c>
      <x:c r="I28" s="24" t="n">
        <x:v>141.9568016616</x:v>
      </x:c>
      <x:c r="J28" s="24" t="n">
        <x:v>354.892004154</x:v>
      </x:c>
      <x:c r="K28" s="37" t="n">
        <x:f>J28/I28</x:f>
        <x:v>2.5</x:v>
      </x:c>
      <x:c r="L28" s="24" t="n">
        <x:f>J28</x:f>
        <x:v>354.892004154</x:v>
      </x:c>
      <x:c r="M28" s="40" t="n">
        <x:f>1000000000*I28*J28/(I28+J28)^2</x:f>
        <x:v>204081632.6530612</x:v>
      </x:c>
      <x:c r="N28" s="40" t="n">
        <x:f>1000000000*I28^2/(I28+J28)^2</x:f>
        <x:v>81632653.06122448</x:v>
      </x:c>
      <x:c r="O28" s="43" t="n">
        <x:f>1-N28/1000000000</x:f>
        <x:v>0.9183673469387755</x:v>
      </x:c>
      <x:c r="P28" s="46" t="n">
        <x:v>54430299</x:v>
      </x:c>
      <x:c r="Q28" s="12" t="str">
        <x:v>Approved / Native</x:v>
      </x:c>
      <x:c r="R28" s="33" t="str">
        <x:v>https://robinhoodchain.blockscout.com/address/0xCceE82fE024c36fA15E1005edE3E9e4787e23D09</x:v>
      </x:c>
      <x:c r="S28" s="27">
        <x:v>27.690965622386464</x:v>
      </x:c>
      <x:c r="T28" s="30">
        <x:v>46285.273291631944</x:v>
      </x:c>
      <x:c r="U28" s="33" t="inlineStr">
        <x:is>
          <x:t xml:space="preserve">https://dexscreener.com/robinhood/0xd10e6245961d697d975963682ece9979e9917fbc</x:t>
        </x:is>
      </x:c>
      <x:c r="V28" s="33" t="inlineStr">
        <x:is>
          <x:t xml:space="preserve">每日 Quote 代币池价；本地可手动更新</x:t>
        </x:is>
      </x:c>
    </x:row>
    <x:row r="29" ht="44" customHeight="1">
      <x:c r="A29" s="2"/>
      <x:c r="B29" s="2"/>
      <x:c r="C29" s="12" t="n">
        <x:v>21</x:v>
      </x:c>
      <x:c r="D29" s="12" t="str">
        <x:v>股票 / ETF</x:v>
      </x:c>
      <x:c r="E29" s="15" t="str">
        <x:v>IBM</x:v>
      </x:c>
      <x:c r="F29" s="15" t="str">
        <x:v>IBM</x:v>
      </x:c>
      <x:c r="G29" s="18" t="str">
        <x:v>​0x980dcf6766fa79f5cf0c4aadb3ab477ff15a9619</x:v>
      </x:c>
      <x:c r="H29" s="21" t="n">
        <x:v>18</x:v>
      </x:c>
      <x:c r="I29" s="24" t="n">
        <x:v>17.55644614404079</x:v>
      </x:c>
      <x:c r="J29" s="24" t="n">
        <x:v>43.89111536010198</x:v>
      </x:c>
      <x:c r="K29" s="37" t="n">
        <x:f>J29/I29</x:f>
        <x:v>2.5</x:v>
      </x:c>
      <x:c r="L29" s="24" t="n">
        <x:f>J29</x:f>
        <x:v>43.89111536010198</x:v>
      </x:c>
      <x:c r="M29" s="40" t="n">
        <x:f>1000000000*I29*J29/(I29+J29)^2</x:f>
        <x:v>204081632.6530612</x:v>
      </x:c>
      <x:c r="N29" s="40" t="n">
        <x:f>1000000000*I29^2/(I29+J29)^2</x:f>
        <x:v>81632653.06122449</x:v>
      </x:c>
      <x:c r="O29" s="43" t="n">
        <x:f>1-N29/1000000000</x:f>
        <x:v>0.9183673469387755</x:v>
      </x:c>
      <x:c r="P29" s="46" t="n">
        <x:v>54430299</x:v>
      </x:c>
      <x:c r="Q29" s="12" t="str">
        <x:v>Approved / Native</x:v>
      </x:c>
      <x:c r="R29" s="33" t="str">
        <x:v>https://robinhoodchain.blockscout.com/address/0x980dcf6766fa79f5cf0c4aadb3ab477ff15a9619</x:v>
      </x:c>
      <x:c r="S29" s="27" t="inlineStr">
        <x:is>
          <x:t xml:space="preserve"/>
        </x:is>
      </x:c>
      <x:c r="T29" s="30">
        <x:v>46285.273297430555</x:v>
      </x:c>
      <x:c r="U29" s="33" t="inlineStr">
        <x:is>
          <x:t xml:space="preserve"/>
        </x:is>
      </x:c>
      <x:c r="V29" s="33" t="inlineStr">
        <x:is>
          <x:t xml:space="preserve">暂无合格池价；可手动输入</x:t>
        </x:is>
      </x:c>
    </x:row>
    <x:row r="30" ht="44" customHeight="1">
      <x:c r="A30" s="2"/>
      <x:c r="B30" s="2"/>
      <x:c r="C30" s="12" t="n">
        <x:v>22</x:v>
      </x:c>
      <x:c r="D30" s="12" t="str">
        <x:v>股票 / ETF</x:v>
      </x:c>
      <x:c r="E30" s="15" t="str">
        <x:v>INDA</x:v>
      </x:c>
      <x:c r="F30" s="15" t="str">
        <x:v>iShares MSCI India ETF</x:v>
      </x:c>
      <x:c r="G30" s="18" t="str">
        <x:v>​0xacef2e09adb47ad6abebad9ff06689e60615c2b6</x:v>
      </x:c>
      <x:c r="H30" s="21" t="n">
        <x:v>18</x:v>
      </x:c>
      <x:c r="I30" s="24" t="n">
        <x:v>82.69607925547884</x:v>
      </x:c>
      <x:c r="J30" s="24" t="n">
        <x:v>206.7401981386971</x:v>
      </x:c>
      <x:c r="K30" s="37" t="n">
        <x:f>J30/I30</x:f>
        <x:v>2.5000000000000004</x:v>
      </x:c>
      <x:c r="L30" s="24" t="n">
        <x:f>J30</x:f>
        <x:v>206.7401981386971</x:v>
      </x:c>
      <x:c r="M30" s="40" t="n">
        <x:f>1000000000*I30*J30/(I30+J30)^2</x:f>
        <x:v>204081632.65306124</x:v>
      </x:c>
      <x:c r="N30" s="40" t="n">
        <x:f>1000000000*I30^2/(I30+J30)^2</x:f>
        <x:v>81632653.06122449</x:v>
      </x:c>
      <x:c r="O30" s="43" t="n">
        <x:f>1-N30/1000000000</x:f>
        <x:v>0.9183673469387755</x:v>
      </x:c>
      <x:c r="P30" s="46" t="n">
        <x:v>54430299</x:v>
      </x:c>
      <x:c r="Q30" s="12" t="str">
        <x:v>Approved / Native</x:v>
      </x:c>
      <x:c r="R30" s="33" t="str">
        <x:v>https://robinhoodchain.blockscout.com/address/0xacef2e09adb47ad6abebad9ff06689e60615c2b6</x:v>
      </x:c>
      <x:c r="S30" s="27" t="inlineStr">
        <x:is>
          <x:t xml:space="preserve"/>
        </x:is>
      </x:c>
      <x:c r="T30" s="30">
        <x:v>46285.27330356481</x:v>
      </x:c>
      <x:c r="U30" s="33" t="inlineStr">
        <x:is>
          <x:t xml:space="preserve"/>
        </x:is>
      </x:c>
      <x:c r="V30" s="33" t="inlineStr">
        <x:is>
          <x:t xml:space="preserve">暂无合格池价；可手动输入</x:t>
        </x:is>
      </x:c>
    </x:row>
    <x:row r="31" ht="44" customHeight="1">
      <x:c r="A31" s="2"/>
      <x:c r="B31" s="2"/>
      <x:c r="C31" s="12" t="n">
        <x:v>23</x:v>
      </x:c>
      <x:c r="D31" s="12" t="str">
        <x:v>股票 / ETF</x:v>
      </x:c>
      <x:c r="E31" s="15" t="str">
        <x:v>JNJ</x:v>
      </x:c>
      <x:c r="F31" s="15" t="str">
        <x:v>Johnson &amp; Johnson</x:v>
      </x:c>
      <x:c r="G31" s="18" t="str">
        <x:v>​0x03DfbBE0AC4E7bCDaFd08eD41A400326B77D8c80</x:v>
      </x:c>
      <x:c r="H31" s="21" t="n">
        <x:v>18</x:v>
      </x:c>
      <x:c r="I31" s="24" t="n">
        <x:v>14.60973075108</x:v>
      </x:c>
      <x:c r="J31" s="24" t="n">
        <x:v>36.5243268777</x:v>
      </x:c>
      <x:c r="K31" s="37" t="n">
        <x:f>J31/I31</x:f>
        <x:v>2.4999999999999996</x:v>
      </x:c>
      <x:c r="L31" s="24" t="n">
        <x:f>J31</x:f>
        <x:v>36.5243268777</x:v>
      </x:c>
      <x:c r="M31" s="40" t="n">
        <x:f>1000000000*I31*J31/(I31+J31)^2</x:f>
        <x:v>204081632.65306124</x:v>
      </x:c>
      <x:c r="N31" s="40" t="n">
        <x:f>1000000000*I31^2/(I31+J31)^2</x:f>
        <x:v>81632653.0612245</x:v>
      </x:c>
      <x:c r="O31" s="43" t="n">
        <x:f>1-N31/1000000000</x:f>
        <x:v>0.9183673469387755</x:v>
      </x:c>
      <x:c r="P31" s="46" t="n">
        <x:v>54430299</x:v>
      </x:c>
      <x:c r="Q31" s="12" t="str">
        <x:v>Approved / Native</x:v>
      </x:c>
      <x:c r="R31" s="33" t="str">
        <x:v>https://robinhoodchain.blockscout.com/address/0x03DfbBE0AC4E7bCDaFd08eD41A400326B77D8c80</x:v>
      </x:c>
      <x:c r="S31" s="27" t="inlineStr">
        <x:is>
          <x:t xml:space="preserve"/>
        </x:is>
      </x:c>
      <x:c r="T31" s="30">
        <x:v>46285.273309027776</x:v>
      </x:c>
      <x:c r="U31" s="33" t="inlineStr">
        <x:is>
          <x:t xml:space="preserve"/>
        </x:is>
      </x:c>
      <x:c r="V31" s="33" t="inlineStr">
        <x:is>
          <x:t xml:space="preserve">暂无合格池价；可手动输入</x:t>
        </x:is>
      </x:c>
    </x:row>
    <x:row r="32" ht="44" customHeight="1">
      <x:c r="A32" s="2"/>
      <x:c r="B32" s="2"/>
      <x:c r="C32" s="12" t="n">
        <x:v>24</x:v>
      </x:c>
      <x:c r="D32" s="12" t="str">
        <x:v>股票 / ETF</x:v>
      </x:c>
      <x:c r="E32" s="15" t="str">
        <x:v>LLY</x:v>
      </x:c>
      <x:c r="F32" s="15" t="str">
        <x:v>Eli Lilly</x:v>
      </x:c>
      <x:c r="G32" s="18" t="str">
        <x:v>​0x8005d266423c7ea827372c9c864491e5786600ea</x:v>
      </x:c>
      <x:c r="H32" s="21" t="n">
        <x:v>18</x:v>
      </x:c>
      <x:c r="I32" s="24" t="n">
        <x:v>3.490909655172</x:v>
      </x:c>
      <x:c r="J32" s="24" t="n">
        <x:v>8.72727413793</x:v>
      </x:c>
      <x:c r="K32" s="37" t="n">
        <x:f>J32/I32</x:f>
        <x:v>2.5</x:v>
      </x:c>
      <x:c r="L32" s="24" t="n">
        <x:f>J32</x:f>
        <x:v>8.72727413793</x:v>
      </x:c>
      <x:c r="M32" s="40" t="n">
        <x:f>1000000000*I32*J32/(I32+J32)^2</x:f>
        <x:v>204081632.6530612</x:v>
      </x:c>
      <x:c r="N32" s="40" t="n">
        <x:f>1000000000*I32^2/(I32+J32)^2</x:f>
        <x:v>81632653.06122449</x:v>
      </x:c>
      <x:c r="O32" s="43" t="n">
        <x:f>1-N32/1000000000</x:f>
        <x:v>0.9183673469387755</x:v>
      </x:c>
      <x:c r="P32" s="46" t="n">
        <x:v>54430299</x:v>
      </x:c>
      <x:c r="Q32" s="12" t="str">
        <x:v>Approved / Native</x:v>
      </x:c>
      <x:c r="R32" s="33" t="str">
        <x:v>https://robinhoodchain.blockscout.com/address/0x8005d266423c7ea827372c9c864491e5786600ea</x:v>
      </x:c>
      <x:c r="S32" s="27">
        <x:v>1149.547220699397</x:v>
      </x:c>
      <x:c r="T32" s="30">
        <x:v>46285.27331482639</x:v>
      </x:c>
      <x:c r="U32" s="33" t="inlineStr">
        <x:is>
          <x:t xml:space="preserve">https://dexscreener.com/robinhood/0x666ba98ab094793e276215448f2485fd8e3c3ce5</x:t>
        </x:is>
      </x:c>
      <x:c r="V32" s="33" t="inlineStr">
        <x:is>
          <x:t xml:space="preserve">每日 Quote 代币池价；本地可手动更新</x:t>
        </x:is>
      </x:c>
    </x:row>
    <x:row r="33" ht="44" customHeight="1">
      <x:c r="A33" s="2"/>
      <x:c r="B33" s="2"/>
      <x:c r="C33" s="12" t="n">
        <x:v>25</x:v>
      </x:c>
      <x:c r="D33" s="12" t="str">
        <x:v>股票 / ETF</x:v>
      </x:c>
      <x:c r="E33" s="15" t="str">
        <x:v>LULU</x:v>
      </x:c>
      <x:c r="F33" s="15" t="str">
        <x:v>Lululemon Athletica</x:v>
      </x:c>
      <x:c r="G33" s="18" t="str">
        <x:v>​0x4e62068525Ab11FE768e29dfD00ef909B9803016</x:v>
      </x:c>
      <x:c r="H33" s="21" t="n">
        <x:v>18</x:v>
      </x:c>
      <x:c r="I33" s="24" t="n">
        <x:v>33.48666611144</x:v>
      </x:c>
      <x:c r="J33" s="24" t="n">
        <x:v>83.7166652786</x:v>
      </x:c>
      <x:c r="K33" s="37" t="n">
        <x:f>J33/I33</x:f>
        <x:v>2.5</x:v>
      </x:c>
      <x:c r="L33" s="24" t="n">
        <x:f>J33</x:f>
        <x:v>83.7166652786</x:v>
      </x:c>
      <x:c r="M33" s="40" t="n">
        <x:f>1000000000*I33*J33/(I33+J33)^2</x:f>
        <x:v>204081632.65306124</x:v>
      </x:c>
      <x:c r="N33" s="40" t="n">
        <x:f>1000000000*I33^2/(I33+J33)^2</x:f>
        <x:v>81632653.06122449</x:v>
      </x:c>
      <x:c r="O33" s="43" t="n">
        <x:f>1-N33/1000000000</x:f>
        <x:v>0.9183673469387755</x:v>
      </x:c>
      <x:c r="P33" s="46" t="n">
        <x:v>54430299</x:v>
      </x:c>
      <x:c r="Q33" s="12" t="str">
        <x:v>Approved / Native</x:v>
      </x:c>
      <x:c r="R33" s="33" t="str">
        <x:v>https://robinhoodchain.blockscout.com/address/0x4e62068525Ab11FE768e29dfD00ef909B9803016</x:v>
      </x:c>
      <x:c r="S33" s="27" t="inlineStr">
        <x:is>
          <x:t xml:space="preserve"/>
        </x:is>
      </x:c>
      <x:c r="T33" s="30">
        <x:v>46285.273321134264</x:v>
      </x:c>
      <x:c r="U33" s="33" t="inlineStr">
        <x:is>
          <x:t xml:space="preserve"/>
        </x:is>
      </x:c>
      <x:c r="V33" s="33" t="inlineStr">
        <x:is>
          <x:t xml:space="preserve">暂无合格池价；可手动输入</x:t>
        </x:is>
      </x:c>
    </x:row>
    <x:row r="34" ht="44" customHeight="1">
      <x:c r="A34" s="2"/>
      <x:c r="B34" s="2"/>
      <x:c r="C34" s="12" t="n">
        <x:v>26</x:v>
      </x:c>
      <x:c r="D34" s="12" t="str">
        <x:v>股票 / ETF</x:v>
      </x:c>
      <x:c r="E34" s="15" t="str">
        <x:v>META</x:v>
      </x:c>
      <x:c r="F34" s="15" t="str">
        <x:v>Meta Platforms</x:v>
      </x:c>
      <x:c r="G34" s="18" t="str">
        <x:v>​0xc0D6457C16Cc70d6790Dd43521C899C87ce02f35</x:v>
      </x:c>
      <x:c r="H34" s="21" t="n">
        <x:v>18</x:v>
      </x:c>
      <x:c r="I34" s="24" t="n">
        <x:v>5.42715804396</x:v>
      </x:c>
      <x:c r="J34" s="24" t="n">
        <x:v>13.5678951099</x:v>
      </x:c>
      <x:c r="K34" s="37" t="n">
        <x:f>J34/I34</x:f>
        <x:v>2.5000000000000004</x:v>
      </x:c>
      <x:c r="L34" s="24" t="n">
        <x:f>J34</x:f>
        <x:v>13.5678951099</x:v>
      </x:c>
      <x:c r="M34" s="40" t="n">
        <x:f>1000000000*I34*J34/(I34+J34)^2</x:f>
        <x:v>204081632.65306124</x:v>
      </x:c>
      <x:c r="N34" s="40" t="n">
        <x:f>1000000000*I34^2/(I34+J34)^2</x:f>
        <x:v>81632653.06122449</x:v>
      </x:c>
      <x:c r="O34" s="43" t="n">
        <x:f>1-N34/1000000000</x:f>
        <x:v>0.9183673469387755</x:v>
      </x:c>
      <x:c r="P34" s="46" t="n">
        <x:v>54430299</x:v>
      </x:c>
      <x:c r="Q34" s="12" t="str">
        <x:v>Approved / Native</x:v>
      </x:c>
      <x:c r="R34" s="33" t="str">
        <x:v>https://robinhoodchain.blockscout.com/address/0xc0D6457C16Cc70d6790Dd43521C899C87ce02f35</x:v>
      </x:c>
      <x:c r="S34" s="27">
        <x:v>669.7652270299038</x:v>
      </x:c>
      <x:c r="T34" s="30">
        <x:v>46285.273326724535</x:v>
      </x:c>
      <x:c r="U34" s="33" t="inlineStr">
        <x:is>
          <x:t xml:space="preserve">https://dexscreener.com/robinhood/0xa4bdb396a69617eb7f70e2cc1ef526f7340b1b0d</x:t>
        </x:is>
      </x:c>
      <x:c r="V34" s="33" t="inlineStr">
        <x:is>
          <x:t xml:space="preserve">每日 Quote 代币池价；本地可手动更新</x:t>
        </x:is>
      </x:c>
    </x:row>
    <x:row r="35" ht="44" customHeight="1">
      <x:c r="A35" s="2"/>
      <x:c r="B35" s="2"/>
      <x:c r="C35" s="12" t="n">
        <x:v>27</x:v>
      </x:c>
      <x:c r="D35" s="12" t="str">
        <x:v>股票 / ETF</x:v>
      </x:c>
      <x:c r="E35" s="15" t="str">
        <x:v>MRNA</x:v>
      </x:c>
      <x:c r="F35" s="15" t="str">
        <x:v>Moderna</x:v>
      </x:c>
      <x:c r="G35" s="18" t="str">
        <x:v>​0x43B07D15cE533bEc5476d70C22a78a1B2B662155</x:v>
      </x:c>
      <x:c r="H35" s="21" t="n">
        <x:v>18</x:v>
      </x:c>
      <x:c r="I35" s="24" t="n">
        <x:v>26.66099065048</x:v>
      </x:c>
      <x:c r="J35" s="24" t="n">
        <x:v>66.6524766262</x:v>
      </x:c>
      <x:c r="K35" s="37" t="n">
        <x:f>J35/I35</x:f>
        <x:v>2.5</x:v>
      </x:c>
      <x:c r="L35" s="24" t="n">
        <x:f>J35</x:f>
        <x:v>66.6524766262</x:v>
      </x:c>
      <x:c r="M35" s="40" t="n">
        <x:f>1000000000*I35*J35/(I35+J35)^2</x:f>
        <x:v>204081632.65306118</x:v>
      </x:c>
      <x:c r="N35" s="40" t="n">
        <x:f>1000000000*I35^2/(I35+J35)^2</x:f>
        <x:v>81632653.06122448</x:v>
      </x:c>
      <x:c r="O35" s="43" t="n">
        <x:f>1-N35/1000000000</x:f>
        <x:v>0.9183673469387755</x:v>
      </x:c>
      <x:c r="P35" s="46" t="n">
        <x:v>54430299</x:v>
      </x:c>
      <x:c r="Q35" s="12" t="str">
        <x:v>Approved / Native</x:v>
      </x:c>
      <x:c r="R35" s="33" t="str">
        <x:v>https://robinhoodchain.blockscout.com/address/0x43B07D15cE533bEc5476d70C22a78a1B2B662155</x:v>
      </x:c>
      <x:c r="S35" s="27" t="inlineStr">
        <x:is>
          <x:t xml:space="preserve"/>
        </x:is>
      </x:c>
      <x:c r="T35" s="30">
        <x:v>46285.2733328588</x:v>
      </x:c>
      <x:c r="U35" s="33" t="inlineStr">
        <x:is>
          <x:t xml:space="preserve"/>
        </x:is>
      </x:c>
      <x:c r="V35" s="33" t="inlineStr">
        <x:is>
          <x:t xml:space="preserve">暂无合格池价；可手动输入</x:t>
        </x:is>
      </x:c>
    </x:row>
    <x:row r="36" ht="44" customHeight="1">
      <x:c r="A36" s="2"/>
      <x:c r="B36" s="2"/>
      <x:c r="C36" s="12" t="n">
        <x:v>28</x:v>
      </x:c>
      <x:c r="D36" s="12" t="str">
        <x:v>股票 / ETF</x:v>
      </x:c>
      <x:c r="E36" s="15" t="str">
        <x:v>MRVL</x:v>
      </x:c>
      <x:c r="F36" s="15" t="str">
        <x:v>Marvell Technology</x:v>
      </x:c>
      <x:c r="G36" s="18" t="str">
        <x:v>​0x62fd0668e10D8B72339BE2DCF7643001688ff13B</x:v>
      </x:c>
      <x:c r="H36" s="21" t="n">
        <x:v>18</x:v>
      </x:c>
      <x:c r="I36" s="24" t="n">
        <x:v>19.47280123984</x:v>
      </x:c>
      <x:c r="J36" s="24" t="n">
        <x:v>48.6820030996</x:v>
      </x:c>
      <x:c r="K36" s="37" t="n">
        <x:f>J36/I36</x:f>
        <x:v>2.5000000000000004</x:v>
      </x:c>
      <x:c r="L36" s="24" t="n">
        <x:f>J36</x:f>
        <x:v>48.6820030996</x:v>
      </x:c>
      <x:c r="M36" s="40" t="n">
        <x:f>1000000000*I36*J36/(I36+J36)^2</x:f>
        <x:v>204081632.6530612</x:v>
      </x:c>
      <x:c r="N36" s="40" t="n">
        <x:f>1000000000*I36^2/(I36+J36)^2</x:f>
        <x:v>81632653.06122446</x:v>
      </x:c>
      <x:c r="O36" s="43" t="n">
        <x:f>1-N36/1000000000</x:f>
        <x:v>0.9183673469387755</x:v>
      </x:c>
      <x:c r="P36" s="46" t="n">
        <x:v>54430299</x:v>
      </x:c>
      <x:c r="Q36" s="12" t="str">
        <x:v>Approved / Native</x:v>
      </x:c>
      <x:c r="R36" s="33" t="str">
        <x:v>https://robinhoodchain.blockscout.com/address/0x62fd0668e10D8B72339BE2DCF7643001688ff13B</x:v>
      </x:c>
      <x:c r="S36" s="27" t="inlineStr">
        <x:is>
          <x:t xml:space="preserve"/>
        </x:is>
      </x:c>
      <x:c r="T36" s="30">
        <x:v>46285.27333861111</x:v>
      </x:c>
      <x:c r="U36" s="33" t="inlineStr">
        <x:is>
          <x:t xml:space="preserve"/>
        </x:is>
      </x:c>
      <x:c r="V36" s="33" t="inlineStr">
        <x:is>
          <x:t xml:space="preserve">暂无合格池价；可手动输入</x:t>
        </x:is>
      </x:c>
    </x:row>
    <x:row r="37" ht="44" customHeight="1">
      <x:c r="A37" s="2"/>
      <x:c r="B37" s="2"/>
      <x:c r="C37" s="12" t="n">
        <x:v>29</x:v>
      </x:c>
      <x:c r="D37" s="12" t="str">
        <x:v>股票 / ETF</x:v>
      </x:c>
      <x:c r="E37" s="15" t="str">
        <x:v>MSFT</x:v>
      </x:c>
      <x:c r="F37" s="15" t="str">
        <x:v>Microsoft</x:v>
      </x:c>
      <x:c r="G37" s="18" t="str">
        <x:v>​0xe93237C50D904957Cf27E7B1133b510C669c2e74</x:v>
      </x:c>
      <x:c r="H37" s="21" t="n">
        <x:v>18</x:v>
      </x:c>
      <x:c r="I37" s="24" t="n">
        <x:v>6.43145576708</x:v>
      </x:c>
      <x:c r="J37" s="24" t="n">
        <x:v>16.0786394177</x:v>
      </x:c>
      <x:c r="K37" s="37" t="n">
        <x:f>J37/I37</x:f>
        <x:v>2.5</x:v>
      </x:c>
      <x:c r="L37" s="24" t="n">
        <x:f>J37</x:f>
        <x:v>16.0786394177</x:v>
      </x:c>
      <x:c r="M37" s="40" t="n">
        <x:f>1000000000*I37*J37/(I37+J37)^2</x:f>
        <x:v>204081632.65306124</x:v>
      </x:c>
      <x:c r="N37" s="40" t="n">
        <x:f>1000000000*I37^2/(I37+J37)^2</x:f>
        <x:v>81632653.0612245</x:v>
      </x:c>
      <x:c r="O37" s="43" t="n">
        <x:f>1-N37/1000000000</x:f>
        <x:v>0.9183673469387755</x:v>
      </x:c>
      <x:c r="P37" s="46" t="n">
        <x:v>54430299</x:v>
      </x:c>
      <x:c r="Q37" s="12" t="str">
        <x:v>Approved / Native</x:v>
      </x:c>
      <x:c r="R37" s="33" t="str">
        <x:v>https://robinhoodchain.blockscout.com/address/0xe93237C50D904957Cf27E7B1133b510C669c2e74</x:v>
      </x:c>
      <x:c r="S37" s="27" t="inlineStr">
        <x:is>
          <x:t xml:space="preserve"/>
        </x:is>
      </x:c>
      <x:c r="T37" s="30">
        <x:v>46285.273344155095</x:v>
      </x:c>
      <x:c r="U37" s="33" t="inlineStr">
        <x:is>
          <x:t xml:space="preserve"/>
        </x:is>
      </x:c>
      <x:c r="V37" s="33" t="inlineStr">
        <x:is>
          <x:t xml:space="preserve">暂无合格池价；可手动输入</x:t>
        </x:is>
      </x:c>
    </x:row>
    <x:row r="38" ht="44" customHeight="1">
      <x:c r="A38" s="2"/>
      <x:c r="B38" s="2"/>
      <x:c r="C38" s="12" t="n">
        <x:v>30</x:v>
      </x:c>
      <x:c r="D38" s="12" t="str">
        <x:v>股票 / ETF</x:v>
      </x:c>
      <x:c r="E38" s="15" t="str">
        <x:v>MSTR</x:v>
      </x:c>
      <x:c r="F38" s="15" t="str">
        <x:v>Strategy</x:v>
      </x:c>
      <x:c r="G38" s="18" t="str">
        <x:v>​0xec262a75e413fAfD0dF80480274532C79D42da09</x:v>
      </x:c>
      <x:c r="H38" s="21" t="n">
        <x:v>18</x:v>
      </x:c>
      <x:c r="I38" s="24" t="n">
        <x:v>31.99209095404</x:v>
      </x:c>
      <x:c r="J38" s="24" t="n">
        <x:v>79.9802273851</x:v>
      </x:c>
      <x:c r="K38" s="37" t="n">
        <x:f>J38/I38</x:f>
        <x:v>2.5</x:v>
      </x:c>
      <x:c r="L38" s="24" t="n">
        <x:f>J38</x:f>
        <x:v>79.9802273851</x:v>
      </x:c>
      <x:c r="M38" s="40" t="n">
        <x:f>1000000000*I38*J38/(I38+J38)^2</x:f>
        <x:v>204081632.6530612</x:v>
      </x:c>
      <x:c r="N38" s="40" t="n">
        <x:f>1000000000*I38^2/(I38+J38)^2</x:f>
        <x:v>81632653.06122449</x:v>
      </x:c>
      <x:c r="O38" s="43" t="n">
        <x:f>1-N38/1000000000</x:f>
        <x:v>0.9183673469387755</x:v>
      </x:c>
      <x:c r="P38" s="46" t="n">
        <x:v>54430299</x:v>
      </x:c>
      <x:c r="Q38" s="12" t="str">
        <x:v>Approved / Native</x:v>
      </x:c>
      <x:c r="R38" s="33" t="str">
        <x:v>https://robinhoodchain.blockscout.com/address/0xec262a75e413fAfD0dF80480274532C79D42da09</x:v>
      </x:c>
      <x:c r="S38" s="27">
        <x:v>154.7412775459082</x:v>
      </x:c>
      <x:c r="T38" s="30">
        <x:v>46285.27334990741</x:v>
      </x:c>
      <x:c r="U38" s="33" t="inlineStr">
        <x:is>
          <x:t xml:space="preserve">https://dexscreener.com/robinhood/0x70504a6fafdbfb75fe971faa4dd716e79ac5624c</x:t>
        </x:is>
      </x:c>
      <x:c r="V38" s="33" t="inlineStr">
        <x:is>
          <x:t xml:space="preserve">每日 Quote 代币池价；本地可手动更新</x:t>
        </x:is>
      </x:c>
    </x:row>
    <x:row r="39" ht="44" customHeight="1">
      <x:c r="A39" s="2"/>
      <x:c r="B39" s="2"/>
      <x:c r="C39" s="12" t="n">
        <x:v>31</x:v>
      </x:c>
      <x:c r="D39" s="12" t="str">
        <x:v>股票 / ETF</x:v>
      </x:c>
      <x:c r="E39" s="15" t="str">
        <x:v>MU</x:v>
      </x:c>
      <x:c r="F39" s="15" t="str">
        <x:v>Micron Technology</x:v>
      </x:c>
      <x:c r="G39" s="18" t="str">
        <x:v>​0xfF080c8ce2E5feadaCa0Da81314Ae59D232d4afD</x:v>
      </x:c>
      <x:c r="H39" s="21" t="n">
        <x:v>18</x:v>
      </x:c>
      <x:c r="I39" s="24" t="n">
        <x:v>3.671383856716</x:v>
      </x:c>
      <x:c r="J39" s="24" t="n">
        <x:v>9.17845964179</x:v>
      </x:c>
      <x:c r="K39" s="37" t="n">
        <x:f>J39/I39</x:f>
        <x:v>2.5000000000000004</x:v>
      </x:c>
      <x:c r="L39" s="24" t="n">
        <x:f>J39</x:f>
        <x:v>9.17845964179</x:v>
      </x:c>
      <x:c r="M39" s="40" t="n">
        <x:f>1000000000*I39*J39/(I39+J39)^2</x:f>
        <x:v>204081632.6530612</x:v>
      </x:c>
      <x:c r="N39" s="40" t="n">
        <x:f>1000000000*I39^2/(I39+J39)^2</x:f>
        <x:v>81632653.06122448</x:v>
      </x:c>
      <x:c r="O39" s="43" t="n">
        <x:f>1-N39/1000000000</x:f>
        <x:v>0.9183673469387755</x:v>
      </x:c>
      <x:c r="P39" s="46" t="n">
        <x:v>54430299</x:v>
      </x:c>
      <x:c r="Q39" s="12" t="str">
        <x:v>Approved / Native</x:v>
      </x:c>
      <x:c r="R39" s="33" t="str">
        <x:v>https://robinhoodchain.blockscout.com/address/0xfF080c8ce2E5feadaCa0Da81314Ae59D232d4afD</x:v>
      </x:c>
      <x:c r="S39" s="27">
        <x:v>998.9555864122192</x:v>
      </x:c>
      <x:c r="T39" s="30">
        <x:v>46285.27335563657</x:v>
      </x:c>
      <x:c r="U39" s="33" t="inlineStr">
        <x:is>
          <x:t xml:space="preserve">https://dexscreener.com/robinhood/0x301f48ec369bb3bfa0bc04d44a79037aa0ee2340</x:t>
        </x:is>
      </x:c>
      <x:c r="V39" s="33" t="inlineStr">
        <x:is>
          <x:t xml:space="preserve">每日 Quote 代币池价；本地可手动更新</x:t>
        </x:is>
      </x:c>
    </x:row>
    <x:row r="40" ht="44" customHeight="1">
      <x:c r="A40" s="2"/>
      <x:c r="B40" s="2"/>
      <x:c r="C40" s="12" t="n">
        <x:v>32</x:v>
      </x:c>
      <x:c r="D40" s="12" t="str">
        <x:v>股票 / ETF</x:v>
      </x:c>
      <x:c r="E40" s="15" t="str">
        <x:v>NFLX</x:v>
      </x:c>
      <x:c r="F40" s="15" t="str">
        <x:v>Netflix</x:v>
      </x:c>
      <x:c r="G40" s="18" t="str">
        <x:v>​0xe0444ef8bf4ed74f74fd73686e2ddf4c1c5591e8</x:v>
      </x:c>
      <x:c r="H40" s="21" t="n">
        <x:v>18</x:v>
      </x:c>
      <x:c r="I40" s="24" t="n">
        <x:v>52.12121854304636</x:v>
      </x:c>
      <x:c r="J40" s="24" t="n">
        <x:v>130.3030463576159</x:v>
      </x:c>
      <x:c r="K40" s="37" t="n">
        <x:f>J40/I40</x:f>
        <x:v>2.5</x:v>
      </x:c>
      <x:c r="L40" s="24" t="n">
        <x:f>J40</x:f>
        <x:v>130.3030463576159</x:v>
      </x:c>
      <x:c r="M40" s="40" t="n">
        <x:f>1000000000*I40*J40/(I40+J40)^2</x:f>
        <x:v>204081632.65306127</x:v>
      </x:c>
      <x:c r="N40" s="40" t="n">
        <x:f>1000000000*I40^2/(I40+J40)^2</x:f>
        <x:v>81632653.0612245</x:v>
      </x:c>
      <x:c r="O40" s="43" t="n">
        <x:f>1-N40/1000000000</x:f>
        <x:v>0.9183673469387755</x:v>
      </x:c>
      <x:c r="P40" s="46" t="n">
        <x:v>54430299</x:v>
      </x:c>
      <x:c r="Q40" s="12" t="str">
        <x:v>Approved / Native</x:v>
      </x:c>
      <x:c r="R40" s="33" t="str">
        <x:v>https://robinhoodchain.blockscout.com/address/0xe0444ef8bf4ed74f74fd73686e2ddf4c1c5591e8</x:v>
      </x:c>
      <x:c r="S40" s="27" t="inlineStr">
        <x:is>
          <x:t xml:space="preserve"/>
        </x:is>
      </x:c>
      <x:c r="T40" s="30">
        <x:v>46285.27336726852</x:v>
      </x:c>
      <x:c r="U40" s="33" t="inlineStr">
        <x:is>
          <x:t xml:space="preserve"/>
        </x:is>
      </x:c>
      <x:c r="V40" s="33" t="inlineStr">
        <x:is>
          <x:t xml:space="preserve">暂无合格池价；可手动输入</x:t>
        </x:is>
      </x:c>
    </x:row>
    <x:row r="41" ht="44" customHeight="1">
      <x:c r="A41" s="2"/>
      <x:c r="B41" s="2"/>
      <x:c r="C41" s="12" t="n">
        <x:v>33</x:v>
      </x:c>
      <x:c r="D41" s="12" t="str">
        <x:v>股票 / ETF</x:v>
      </x:c>
      <x:c r="E41" s="15" t="str">
        <x:v>NU</x:v>
      </x:c>
      <x:c r="F41" s="15" t="str">
        <x:v>Nu</x:v>
      </x:c>
      <x:c r="G41" s="18" t="str">
        <x:v>​0x408c14038a04f7bd235329e26d2bf569ee20e250</x:v>
      </x:c>
      <x:c r="H41" s="21" t="n">
        <x:v>18</x:v>
      </x:c>
      <x:c r="I41" s="24" t="n">
        <x:v>267.0054668820678</x:v>
      </x:c>
      <x:c r="J41" s="24" t="n">
        <x:v>667.5136672051697</x:v>
      </x:c>
      <x:c r="K41" s="37" t="n">
        <x:f>J41/I41</x:f>
        <x:v>2.5000000000000004</x:v>
      </x:c>
      <x:c r="L41" s="24" t="n">
        <x:f>J41</x:f>
        <x:v>667.5136672051697</x:v>
      </x:c>
      <x:c r="M41" s="40" t="n">
        <x:f>1000000000*I41*J41/(I41+J41)^2</x:f>
        <x:v>204081632.65306118</x:v>
      </x:c>
      <x:c r="N41" s="40" t="n">
        <x:f>1000000000*I41^2/(I41+J41)^2</x:f>
        <x:v>81632653.06122446</x:v>
      </x:c>
      <x:c r="O41" s="43" t="n">
        <x:f>1-N41/1000000000</x:f>
        <x:v>0.9183673469387755</x:v>
      </x:c>
      <x:c r="P41" s="46" t="n">
        <x:v>54430299</x:v>
      </x:c>
      <x:c r="Q41" s="12" t="str">
        <x:v>Approved / Native</x:v>
      </x:c>
      <x:c r="R41" s="33" t="str">
        <x:v>https://robinhoodchain.blockscout.com/address/0x408c14038a04f7bd235329e26d2bf569ee20e250</x:v>
      </x:c>
      <x:c r="S41" s="27" t="inlineStr">
        <x:is>
          <x:t xml:space="preserve"/>
        </x:is>
      </x:c>
      <x:c r="T41" s="30">
        <x:v>46285.27337311342</x:v>
      </x:c>
      <x:c r="U41" s="33" t="inlineStr">
        <x:is>
          <x:t xml:space="preserve"/>
        </x:is>
      </x:c>
      <x:c r="V41" s="33" t="inlineStr">
        <x:is>
          <x:t xml:space="preserve">暂无合格池价；可手动输入</x:t>
        </x:is>
      </x:c>
    </x:row>
    <x:row r="42" ht="44" customHeight="1">
      <x:c r="A42" s="2"/>
      <x:c r="B42" s="2"/>
      <x:c r="C42" s="12" t="n">
        <x:v>34</x:v>
      </x:c>
      <x:c r="D42" s="12" t="str">
        <x:v>股票 / ETF</x:v>
      </x:c>
      <x:c r="E42" s="15" t="str">
        <x:v>NVDA</x:v>
      </x:c>
      <x:c r="F42" s="15" t="str">
        <x:v>NVIDIA</x:v>
      </x:c>
      <x:c r="G42" s="18" t="str">
        <x:v>​0xd0601CE157Db5bdC3162BbaC2a2C8aF5320D9EEC</x:v>
      </x:c>
      <x:c r="H42" s="21" t="n">
        <x:v>18</x:v>
      </x:c>
      <x:c r="I42" s="24" t="n">
        <x:v>16.64</x:v>
      </x:c>
      <x:c r="J42" s="24" t="n">
        <x:v>41.6</x:v>
      </x:c>
      <x:c r="K42" s="37" t="n">
        <x:f>J42/I42</x:f>
        <x:v>2.5</x:v>
      </x:c>
      <x:c r="L42" s="24" t="n">
        <x:f>J42</x:f>
        <x:v>41.6</x:v>
      </x:c>
      <x:c r="M42" s="40" t="n">
        <x:f>1000000000*I42*J42/(I42+J42)^2</x:f>
        <x:v>204081632.6530612</x:v>
      </x:c>
      <x:c r="N42" s="40" t="n">
        <x:f>1000000000*I42^2/(I42+J42)^2</x:f>
        <x:v>81632653.06122449</x:v>
      </x:c>
      <x:c r="O42" s="43" t="n">
        <x:f>1-N42/1000000000</x:f>
        <x:v>0.9183673469387755</x:v>
      </x:c>
      <x:c r="P42" s="46" t="n">
        <x:v>54430299</x:v>
      </x:c>
      <x:c r="Q42" s="12" t="str">
        <x:v>Approved / Native</x:v>
      </x:c>
      <x:c r="R42" s="33" t="str">
        <x:v>https://robinhoodchain.blockscout.com/address/0xd0601CE157Db5bdC3162BbaC2a2C8aF5320D9EEC</x:v>
      </x:c>
      <x:c r="S42" s="27">
        <x:v>221.1215641393992</x:v>
      </x:c>
      <x:c r="T42" s="30">
        <x:v>46285.27336118056</x:v>
      </x:c>
      <x:c r="U42" s="33" t="inlineStr">
        <x:is>
          <x:t xml:space="preserve">https://dexscreener.com/robinhood/0x62ab521f71431f78ac374cdbadc6cda3c8916b6c</x:t>
        </x:is>
      </x:c>
      <x:c r="V42" s="33" t="inlineStr">
        <x:is>
          <x:t xml:space="preserve">每日 Quote 代币池价；本地可手动更新</x:t>
        </x:is>
      </x:c>
    </x:row>
    <x:row r="43" ht="44" customHeight="1">
      <x:c r="A43" s="2"/>
      <x:c r="B43" s="2"/>
      <x:c r="C43" s="12" t="n">
        <x:v>35</x:v>
      </x:c>
      <x:c r="D43" s="12" t="str">
        <x:v>股票 / ETF</x:v>
      </x:c>
      <x:c r="E43" s="15" t="str">
        <x:v>PFE</x:v>
      </x:c>
      <x:c r="F43" s="15" t="str">
        <x:v>Pfizer</x:v>
      </x:c>
      <x:c r="G43" s="18" t="str">
        <x:v>​0x7066A64c24e4206CD62E83bf198c1E7EB361F51e</x:v>
      </x:c>
      <x:c r="H43" s="21" t="n">
        <x:v>18</x:v>
      </x:c>
      <x:c r="I43" s="24" t="n">
        <x:v>138.5507925568</x:v>
      </x:c>
      <x:c r="J43" s="24" t="n">
        <x:v>346.376981392</x:v>
      </x:c>
      <x:c r="K43" s="37" t="n">
        <x:f>J43/I43</x:f>
        <x:v>2.5</x:v>
      </x:c>
      <x:c r="L43" s="24" t="n">
        <x:f>J43</x:f>
        <x:v>346.376981392</x:v>
      </x:c>
      <x:c r="M43" s="40" t="n">
        <x:f>1000000000*I43*J43/(I43+J43)^2</x:f>
        <x:v>204081632.6530612</x:v>
      </x:c>
      <x:c r="N43" s="40" t="n">
        <x:f>1000000000*I43^2/(I43+J43)^2</x:f>
        <x:v>81632653.06122448</x:v>
      </x:c>
      <x:c r="O43" s="43" t="n">
        <x:f>1-N43/1000000000</x:f>
        <x:v>0.9183673469387755</x:v>
      </x:c>
      <x:c r="P43" s="46" t="n">
        <x:v>54430299</x:v>
      </x:c>
      <x:c r="Q43" s="12" t="str">
        <x:v>Approved / Native</x:v>
      </x:c>
      <x:c r="R43" s="33" t="str">
        <x:v>https://robinhoodchain.blockscout.com/address/0x7066A64c24e4206CD62E83bf198c1E7EB361F51e</x:v>
      </x:c>
      <x:c r="S43" s="27" t="inlineStr">
        <x:is>
          <x:t xml:space="preserve"/>
        </x:is>
      </x:c>
      <x:c r="T43" s="30">
        <x:v>46285.27337888889</x:v>
      </x:c>
      <x:c r="U43" s="33" t="inlineStr">
        <x:is>
          <x:t xml:space="preserve"/>
        </x:is>
      </x:c>
      <x:c r="V43" s="33" t="inlineStr">
        <x:is>
          <x:t xml:space="preserve">暂无合格池价；可手动输入</x:t>
        </x:is>
      </x:c>
    </x:row>
    <x:row r="44" ht="44" customHeight="1">
      <x:c r="A44" s="2"/>
      <x:c r="B44" s="2"/>
      <x:c r="C44" s="12" t="n">
        <x:v>36</x:v>
      </x:c>
      <x:c r="D44" s="12" t="str">
        <x:v>股票 / ETF</x:v>
      </x:c>
      <x:c r="E44" s="15" t="str">
        <x:v>PLTR</x:v>
      </x:c>
      <x:c r="F44" s="15" t="str">
        <x:v>Palantir Technologies</x:v>
      </x:c>
      <x:c r="G44" s="18" t="str">
        <x:v>​0x894E1EC2D74FFE5AEF8Dc8A9e84686acCB964F2A</x:v>
      </x:c>
      <x:c r="H44" s="21" t="n">
        <x:v>18</x:v>
      </x:c>
      <x:c r="I44" s="24" t="n">
        <x:v>18.82605010536</x:v>
      </x:c>
      <x:c r="J44" s="24" t="n">
        <x:v>47.0651252634</x:v>
      </x:c>
      <x:c r="K44" s="37" t="n">
        <x:f>J44/I44</x:f>
        <x:v>2.5</x:v>
      </x:c>
      <x:c r="L44" s="24" t="n">
        <x:f>J44</x:f>
        <x:v>47.0651252634</x:v>
      </x:c>
      <x:c r="M44" s="40" t="n">
        <x:f>1000000000*I44*J44/(I44+J44)^2</x:f>
        <x:v>204081632.6530612</x:v>
      </x:c>
      <x:c r="N44" s="40" t="n">
        <x:f>1000000000*I44^2/(I44+J44)^2</x:f>
        <x:v>81632653.06122449</x:v>
      </x:c>
      <x:c r="O44" s="43" t="n">
        <x:f>1-N44/1000000000</x:f>
        <x:v>0.9183673469387755</x:v>
      </x:c>
      <x:c r="P44" s="46" t="n">
        <x:v>54430299</x:v>
      </x:c>
      <x:c r="Q44" s="12" t="str">
        <x:v>Approved / Native</x:v>
      </x:c>
      <x:c r="R44" s="33" t="str">
        <x:v>https://robinhoodchain.blockscout.com/address/0x894E1EC2D74FFE5AEF8Dc8A9e84686acCB964F2A</x:v>
      </x:c>
      <x:c r="S44" s="27" t="inlineStr">
        <x:is>
          <x:t xml:space="preserve"/>
        </x:is>
      </x:c>
      <x:c r="T44" s="30">
        <x:v>46285.27338466435</x:v>
      </x:c>
      <x:c r="U44" s="33" t="inlineStr">
        <x:is>
          <x:t xml:space="preserve"/>
        </x:is>
      </x:c>
      <x:c r="V44" s="33" t="inlineStr">
        <x:is>
          <x:t xml:space="preserve">暂无合格池价；可手动输入</x:t>
        </x:is>
      </x:c>
    </x:row>
    <x:row r="45" ht="44" customHeight="1">
      <x:c r="A45" s="2"/>
      <x:c r="B45" s="2"/>
      <x:c r="C45" s="12" t="n">
        <x:v>37</x:v>
      </x:c>
      <x:c r="D45" s="12" t="str">
        <x:v>股票 / ETF</x:v>
      </x:c>
      <x:c r="E45" s="15" t="str">
        <x:v>QQQ</x:v>
      </x:c>
      <x:c r="F45" s="15" t="str">
        <x:v>Invesco QQQ</x:v>
      </x:c>
      <x:c r="G45" s="18" t="str">
        <x:v>​0xD5f3879160bc7c32ebb4dC785F8a4F505888de68</x:v>
      </x:c>
      <x:c r="H45" s="21" t="n">
        <x:v>18</x:v>
      </x:c>
      <x:c r="I45" s="24" t="n">
        <x:v>4.45858995028</x:v>
      </x:c>
      <x:c r="J45" s="24" t="n">
        <x:v>11.1464748757</x:v>
      </x:c>
      <x:c r="K45" s="37" t="n">
        <x:f>J45/I45</x:f>
        <x:v>2.4999999999999996</x:v>
      </x:c>
      <x:c r="L45" s="24" t="n">
        <x:f>J45</x:f>
        <x:v>11.1464748757</x:v>
      </x:c>
      <x:c r="M45" s="40" t="n">
        <x:f>1000000000*I45*J45/(I45+J45)^2</x:f>
        <x:v>204081632.65306124</x:v>
      </x:c>
      <x:c r="N45" s="40" t="n">
        <x:f>1000000000*I45^2/(I45+J45)^2</x:f>
        <x:v>81632653.0612245</x:v>
      </x:c>
      <x:c r="O45" s="43" t="n">
        <x:f>1-N45/1000000000</x:f>
        <x:v>0.9183673469387755</x:v>
      </x:c>
      <x:c r="P45" s="46" t="n">
        <x:v>54430299</x:v>
      </x:c>
      <x:c r="Q45" s="12" t="str">
        <x:v>Approved / Native</x:v>
      </x:c>
      <x:c r="R45" s="33" t="str">
        <x:v>https://robinhoodchain.blockscout.com/address/0xD5f3879160bc7c32ebb4dC785F8a4F505888de68</x:v>
      </x:c>
      <x:c r="S45" s="27">
        <x:v>720.4953161451934</x:v>
      </x:c>
      <x:c r="T45" s="30">
        <x:v>46285.2733905787</x:v>
      </x:c>
      <x:c r="U45" s="33" t="inlineStr">
        <x:is>
          <x:t xml:space="preserve">https://dexscreener.com/robinhood/0xa40d00a55d43ba2d188039dcf88bd68f4f133e78</x:t>
        </x:is>
      </x:c>
      <x:c r="V45" s="33" t="inlineStr">
        <x:is>
          <x:t xml:space="preserve">每日 Quote 代币池价；本地可手动更新</x:t>
        </x:is>
      </x:c>
    </x:row>
    <x:row r="46" ht="44" customHeight="1">
      <x:c r="A46" s="2"/>
      <x:c r="B46" s="2"/>
      <x:c r="C46" s="12" t="n">
        <x:v>38</x:v>
      </x:c>
      <x:c r="D46" s="12" t="str">
        <x:v>股票 / ETF</x:v>
      </x:c>
      <x:c r="E46" s="15" t="str">
        <x:v>RBLX</x:v>
      </x:c>
      <x:c r="F46" s="15" t="str">
        <x:v>Roblox</x:v>
      </x:c>
      <x:c r="G46" s="18" t="str">
        <x:v>​0xF0C4BF4C582cb3836e98394b1d4e7B7281101bE8</x:v>
      </x:c>
      <x:c r="H46" s="21" t="n">
        <x:v>18</x:v>
      </x:c>
      <x:c r="I46" s="24" t="n">
        <x:v>99.568605852</x:v>
      </x:c>
      <x:c r="J46" s="24" t="n">
        <x:v>248.92151463</x:v>
      </x:c>
      <x:c r="K46" s="37" t="n">
        <x:f>J46/I46</x:f>
        <x:v>2.5</x:v>
      </x:c>
      <x:c r="L46" s="24" t="n">
        <x:f>J46</x:f>
        <x:v>248.92151463</x:v>
      </x:c>
      <x:c r="M46" s="40" t="n">
        <x:f>1000000000*I46*J46/(I46+J46)^2</x:f>
        <x:v>204081632.6530612</x:v>
      </x:c>
      <x:c r="N46" s="40" t="n">
        <x:f>1000000000*I46^2/(I46+J46)^2</x:f>
        <x:v>81632653.06122449</x:v>
      </x:c>
      <x:c r="O46" s="43" t="n">
        <x:f>1-N46/1000000000</x:f>
        <x:v>0.9183673469387755</x:v>
      </x:c>
      <x:c r="P46" s="46" t="n">
        <x:v>54430299</x:v>
      </x:c>
      <x:c r="Q46" s="12" t="str">
        <x:v>Approved / Native</x:v>
      </x:c>
      <x:c r="R46" s="33" t="str">
        <x:v>https://robinhoodchain.blockscout.com/address/0xF0C4BF4C582cb3836e98394b1d4e7B7281101bE8</x:v>
      </x:c>
      <x:c r="S46" s="27">
        <x:v>47.33874614347281</x:v>
      </x:c>
      <x:c r="T46" s="30">
        <x:v>46285.27339596065</x:v>
      </x:c>
      <x:c r="U46" s="33" t="inlineStr">
        <x:is>
          <x:t xml:space="preserve">https://dexscreener.com/robinhood/0x6d25417718a8d6c529130a8ccc4bfbf0a18219d3</x:t>
        </x:is>
      </x:c>
      <x:c r="V46" s="33" t="inlineStr">
        <x:is>
          <x:t xml:space="preserve">每日 Quote 代币池价；本地可手动更新</x:t>
        </x:is>
      </x:c>
    </x:row>
    <x:row r="47" ht="44" customHeight="1">
      <x:c r="A47" s="2"/>
      <x:c r="B47" s="2"/>
      <x:c r="C47" s="12" t="n">
        <x:v>39</x:v>
      </x:c>
      <x:c r="D47" s="12" t="str">
        <x:v>股票 / ETF</x:v>
      </x:c>
      <x:c r="E47" s="15" t="str">
        <x:v>RDDT</x:v>
      </x:c>
      <x:c r="F47" s="15" t="str">
        <x:v>Reddit</x:v>
      </x:c>
      <x:c r="G47" s="18" t="str">
        <x:v>​0x05b37Fb53A299a1b874A619e1c4C404D52C36F4C</x:v>
      </x:c>
      <x:c r="H47" s="21" t="n">
        <x:v>18</x:v>
      </x:c>
      <x:c r="I47" s="24" t="n">
        <x:v>16.93886097152</x:v>
      </x:c>
      <x:c r="J47" s="24" t="n">
        <x:v>42.3471524288</x:v>
      </x:c>
      <x:c r="K47" s="37" t="n">
        <x:f>J47/I47</x:f>
        <x:v>2.5</x:v>
      </x:c>
      <x:c r="L47" s="24" t="n">
        <x:f>J47</x:f>
        <x:v>42.3471524288</x:v>
      </x:c>
      <x:c r="M47" s="40" t="n">
        <x:f>1000000000*I47*J47/(I47+J47)^2</x:f>
        <x:v>204081632.65306124</x:v>
      </x:c>
      <x:c r="N47" s="40" t="n">
        <x:f>1000000000*I47^2/(I47+J47)^2</x:f>
        <x:v>81632653.06122448</x:v>
      </x:c>
      <x:c r="O47" s="43" t="n">
        <x:f>1-N47/1000000000</x:f>
        <x:v>0.9183673469387755</x:v>
      </x:c>
      <x:c r="P47" s="46" t="n">
        <x:v>54430299</x:v>
      </x:c>
      <x:c r="Q47" s="12" t="str">
        <x:v>Approved / Native</x:v>
      </x:c>
      <x:c r="R47" s="33" t="str">
        <x:v>https://robinhoodchain.blockscout.com/address/0x05b37Fb53A299a1b874A619e1c4C404D52C36F4C</x:v>
      </x:c>
      <x:c r="S47" s="27">
        <x:v>150.76970480310203</x:v>
      </x:c>
      <x:c r="T47" s="30">
        <x:v>46285.273402025465</x:v>
      </x:c>
      <x:c r="U47" s="33" t="inlineStr">
        <x:is>
          <x:t xml:space="preserve">https://dexscreener.com/robinhood/0xa541143f20d7b0643123064abf25f423e375b531</x:t>
        </x:is>
      </x:c>
      <x:c r="V47" s="33" t="inlineStr">
        <x:is>
          <x:t xml:space="preserve">每日 Quote 代币池价；本地可手动更新</x:t>
        </x:is>
      </x:c>
    </x:row>
    <x:row r="48" ht="44" customHeight="1">
      <x:c r="A48" s="2"/>
      <x:c r="B48" s="2"/>
      <x:c r="C48" s="12" t="n">
        <x:v>40</x:v>
      </x:c>
      <x:c r="D48" s="12" t="str">
        <x:v>股票 / ETF</x:v>
      </x:c>
      <x:c r="E48" s="15" t="str">
        <x:v>RIVN</x:v>
      </x:c>
      <x:c r="F48" s="15" t="str">
        <x:v>Rivian Automotive</x:v>
      </x:c>
      <x:c r="G48" s="18" t="str">
        <x:v>​0xB1BF26c1D20ff267A4f93550d1E0d06ac40a114B</x:v>
      </x:c>
      <x:c r="H48" s="21" t="n">
        <x:v>18</x:v>
      </x:c>
      <x:c r="I48" s="24" t="n">
        <x:v>257.5748878924</x:v>
      </x:c>
      <x:c r="J48" s="24" t="n">
        <x:v>643.937219731</x:v>
      </x:c>
      <x:c r="K48" s="37" t="n">
        <x:f>J48/I48</x:f>
        <x:v>2.5</x:v>
      </x:c>
      <x:c r="L48" s="24" t="n">
        <x:f>J48</x:f>
        <x:v>643.937219731</x:v>
      </x:c>
      <x:c r="M48" s="40" t="n">
        <x:f>1000000000*I48*J48/(I48+J48)^2</x:f>
        <x:v>204081632.65306124</x:v>
      </x:c>
      <x:c r="N48" s="40" t="n">
        <x:f>1000000000*I48^2/(I48+J48)^2</x:f>
        <x:v>81632653.0612245</x:v>
      </x:c>
      <x:c r="O48" s="43" t="n">
        <x:f>1-N48/1000000000</x:f>
        <x:v>0.9183673469387755</x:v>
      </x:c>
      <x:c r="P48" s="46" t="n">
        <x:v>54430299</x:v>
      </x:c>
      <x:c r="Q48" s="12" t="str">
        <x:v>Approved / Native</x:v>
      </x:c>
      <x:c r="R48" s="33" t="str">
        <x:v>https://robinhoodchain.blockscout.com/address/0xB1BF26c1D20ff267A4f93550d1E0d06ac40a114B</x:v>
      </x:c>
      <x:c r="S48" s="27" t="inlineStr">
        <x:is>
          <x:t xml:space="preserve"/>
        </x:is>
      </x:c>
      <x:c r="T48" s="30">
        <x:v>46285.27340775463</x:v>
      </x:c>
      <x:c r="U48" s="33" t="inlineStr">
        <x:is>
          <x:t xml:space="preserve"/>
        </x:is>
      </x:c>
      <x:c r="V48" s="33" t="inlineStr">
        <x:is>
          <x:t xml:space="preserve">暂无合格池价；可手动输入</x:t>
        </x:is>
      </x:c>
    </x:row>
    <x:row r="49" ht="44" customHeight="1">
      <x:c r="A49" s="2"/>
      <x:c r="B49" s="2"/>
      <x:c r="C49" s="12" t="n">
        <x:v>41</x:v>
      </x:c>
      <x:c r="D49" s="12" t="str">
        <x:v>股票 / ETF</x:v>
      </x:c>
      <x:c r="E49" s="15" t="str">
        <x:v>SGOV</x:v>
      </x:c>
      <x:c r="F49" s="15" t="str">
        <x:v>iShares 0-3 Month Treasury Bond</x:v>
      </x:c>
      <x:c r="G49" s="18" t="str">
        <x:v>​0x92fd66527192e3e61d4ddd13322aa222de86f9b5</x:v>
      </x:c>
      <x:c r="H49" s="21" t="n">
        <x:v>18</x:v>
      </x:c>
      <x:c r="I49" s="24" t="n">
        <x:v>41.12662340247641</x:v>
      </x:c>
      <x:c r="J49" s="24" t="n">
        <x:v>102.81655850619103</x:v>
      </x:c>
      <x:c r="K49" s="37" t="n">
        <x:f>J49/I49</x:f>
        <x:v>2.5</x:v>
      </x:c>
      <x:c r="L49" s="24" t="n">
        <x:f>J49</x:f>
        <x:v>102.81655850619103</x:v>
      </x:c>
      <x:c r="M49" s="40" t="n">
        <x:f>1000000000*I49*J49/(I49+J49)^2</x:f>
        <x:v>204081632.6530612</x:v>
      </x:c>
      <x:c r="N49" s="40" t="n">
        <x:f>1000000000*I49^2/(I49+J49)^2</x:f>
        <x:v>81632653.0612245</x:v>
      </x:c>
      <x:c r="O49" s="43" t="n">
        <x:f>1-N49/1000000000</x:f>
        <x:v>0.9183673469387755</x:v>
      </x:c>
      <x:c r="P49" s="46" t="n">
        <x:v>54430299</x:v>
      </x:c>
      <x:c r="Q49" s="12" t="str">
        <x:v>Approved / Native</x:v>
      </x:c>
      <x:c r="R49" s="33" t="str">
        <x:v>https://robinhoodchain.blockscout.com/address/0x92fd66527192e3e61d4ddd13322aa222de86f9b5</x:v>
      </x:c>
      <x:c r="S49" s="27">
        <x:v>100.73989299762705</x:v>
      </x:c>
      <x:c r="T49" s="30">
        <x:v>46285.273413599534</x:v>
      </x:c>
      <x:c r="U49" s="33" t="inlineStr">
        <x:is>
          <x:t xml:space="preserve">https://dexscreener.com/robinhood/0x7f310e3d05e575bd449e4484ef5da15863ea43b1</x:t>
        </x:is>
      </x:c>
      <x:c r="V49" s="33" t="inlineStr">
        <x:is>
          <x:t xml:space="preserve">每日 Quote 代币池价；本地可手动更新</x:t>
        </x:is>
      </x:c>
    </x:row>
    <x:row r="50" ht="44" customHeight="1">
      <x:c r="A50" s="2"/>
      <x:c r="B50" s="2"/>
      <x:c r="C50" s="12" t="n">
        <x:v>42</x:v>
      </x:c>
      <x:c r="D50" s="12" t="str">
        <x:v>股票 / ETF</x:v>
      </x:c>
      <x:c r="E50" s="15" t="str">
        <x:v>SHOP</x:v>
      </x:c>
      <x:c r="F50" s="15" t="str">
        <x:v>Shopify</x:v>
      </x:c>
      <x:c r="G50" s="18" t="str">
        <x:v>​0xf53f66751b1eff985311b693531e3290f600c410</x:v>
      </x:c>
      <x:c r="H50" s="21" t="n">
        <x:v>18</x:v>
      </x:c>
      <x:c r="I50" s="24" t="n">
        <x:v>28.03575519066359</x:v>
      </x:c>
      <x:c r="J50" s="24" t="n">
        <x:v>70.08938797665897</x:v>
      </x:c>
      <x:c r="K50" s="37" t="n">
        <x:f>J50/I50</x:f>
        <x:v>2.5</x:v>
      </x:c>
      <x:c r="L50" s="24" t="n">
        <x:f>J50</x:f>
        <x:v>70.08938797665897</x:v>
      </x:c>
      <x:c r="M50" s="40" t="n">
        <x:f>1000000000*I50*J50/(I50+J50)^2</x:f>
        <x:v>204081632.6530612</x:v>
      </x:c>
      <x:c r="N50" s="40" t="n">
        <x:f>1000000000*I50^2/(I50+J50)^2</x:f>
        <x:v>81632653.06122449</x:v>
      </x:c>
      <x:c r="O50" s="43" t="n">
        <x:f>1-N50/1000000000</x:f>
        <x:v>0.9183673469387755</x:v>
      </x:c>
      <x:c r="P50" s="46" t="n">
        <x:v>54430299</x:v>
      </x:c>
      <x:c r="Q50" s="12" t="str">
        <x:v>Approved / Native</x:v>
      </x:c>
      <x:c r="R50" s="33" t="str">
        <x:v>https://robinhoodchain.blockscout.com/address/0xf53f66751b1eff985311b693531e3290f600c410</x:v>
      </x:c>
      <x:c r="S50" s="27" t="inlineStr">
        <x:is>
          <x:t xml:space="preserve"/>
        </x:is>
      </x:c>
      <x:c r="T50" s="30">
        <x:v>46285.273419351855</x:v>
      </x:c>
      <x:c r="U50" s="33" t="inlineStr">
        <x:is>
          <x:t xml:space="preserve"/>
        </x:is>
      </x:c>
      <x:c r="V50" s="33" t="inlineStr">
        <x:is>
          <x:t xml:space="preserve">暂无合格池价；可手动输入</x:t>
        </x:is>
      </x:c>
    </x:row>
    <x:row r="51" ht="44" customHeight="1">
      <x:c r="A51" s="2"/>
      <x:c r="B51" s="2"/>
      <x:c r="C51" s="12" t="n">
        <x:v>43</x:v>
      </x:c>
      <x:c r="D51" s="12" t="str">
        <x:v>股票 / ETF</x:v>
      </x:c>
      <x:c r="E51" s="15" t="str">
        <x:v>SKHY</x:v>
      </x:c>
      <x:c r="F51" s="15" t="str">
        <x:v>SK hynix</x:v>
      </x:c>
      <x:c r="G51" s="18" t="str">
        <x:v>​0x84CAb63bc87912E71ad199ff14A0bA45de68FeF8</x:v>
      </x:c>
      <x:c r="H51" s="21" t="n">
        <x:v>18</x:v>
      </x:c>
      <x:c r="I51" s="24" t="n">
        <x:v>25.18631173032</x:v>
      </x:c>
      <x:c r="J51" s="24" t="n">
        <x:v>62.9657793258</x:v>
      </x:c>
      <x:c r="K51" s="37" t="n">
        <x:f>J51/I51</x:f>
        <x:v>2.5</x:v>
      </x:c>
      <x:c r="L51" s="24" t="n">
        <x:f>J51</x:f>
        <x:v>62.9657793258</x:v>
      </x:c>
      <x:c r="M51" s="40" t="n">
        <x:f>1000000000*I51*J51/(I51+J51)^2</x:f>
        <x:v>204081632.6530612</x:v>
      </x:c>
      <x:c r="N51" s="40" t="n">
        <x:f>1000000000*I51^2/(I51+J51)^2</x:f>
        <x:v>81632653.06122449</x:v>
      </x:c>
      <x:c r="O51" s="43" t="n">
        <x:f>1-N51/1000000000</x:f>
        <x:v>0.9183673469387755</x:v>
      </x:c>
      <x:c r="P51" s="46" t="n">
        <x:v>54430299</x:v>
      </x:c>
      <x:c r="Q51" s="12" t="str">
        <x:v>Approved / Native</x:v>
      </x:c>
      <x:c r="R51" s="33" t="str">
        <x:v>https://robinhoodchain.blockscout.com/address/0x84CAb63bc87912E71ad199ff14A0bA45de68FeF8</x:v>
      </x:c>
      <x:c r="S51" s="27" t="inlineStr">
        <x:is>
          <x:t xml:space="preserve"/>
        </x:is>
      </x:c>
      <x:c r="T51" s="30">
        <x:v>46285.273425127314</x:v>
      </x:c>
      <x:c r="U51" s="33" t="inlineStr">
        <x:is>
          <x:t xml:space="preserve"/>
        </x:is>
      </x:c>
      <x:c r="V51" s="33" t="inlineStr">
        <x:is>
          <x:t xml:space="preserve">暂无合格池价；可手动输入</x:t>
        </x:is>
      </x:c>
    </x:row>
    <x:row r="52" ht="44" customHeight="1">
      <x:c r="A52" s="2"/>
      <x:c r="B52" s="2"/>
      <x:c r="C52" s="12" t="n">
        <x:v>44</x:v>
      </x:c>
      <x:c r="D52" s="12" t="str">
        <x:v>股票 / ETF</x:v>
      </x:c>
      <x:c r="E52" s="15" t="str">
        <x:v>SLV</x:v>
      </x:c>
      <x:c r="F52" s="15" t="str">
        <x:v>iShares Silver Trust</x:v>
      </x:c>
      <x:c r="G52" s="18" t="str">
        <x:v>​0x411efb0e7f985935daec3d4c3ebaea0d0ad7d89f</x:v>
      </x:c>
      <x:c r="H52" s="21" t="n">
        <x:v>18</x:v>
      </x:c>
      <x:c r="I52" s="24" t="n">
        <x:v>69.11859484777517</x:v>
      </x:c>
      <x:c r="J52" s="24" t="n">
        <x:v>172.79648711943796</x:v>
      </x:c>
      <x:c r="K52" s="37" t="n">
        <x:f>J52/I52</x:f>
        <x:v>2.5000000000000004</x:v>
      </x:c>
      <x:c r="L52" s="24" t="n">
        <x:f>J52</x:f>
        <x:v>172.79648711943796</x:v>
      </x:c>
      <x:c r="M52" s="40" t="n">
        <x:f>1000000000*I52*J52/(I52+J52)^2</x:f>
        <x:v>204081632.65306124</x:v>
      </x:c>
      <x:c r="N52" s="40" t="n">
        <x:f>1000000000*I52^2/(I52+J52)^2</x:f>
        <x:v>81632653.06122448</x:v>
      </x:c>
      <x:c r="O52" s="43" t="n">
        <x:f>1-N52/1000000000</x:f>
        <x:v>0.9183673469387755</x:v>
      </x:c>
      <x:c r="P52" s="46" t="n">
        <x:v>54430299</x:v>
      </x:c>
      <x:c r="Q52" s="12" t="str">
        <x:v>Approved / Native</x:v>
      </x:c>
      <x:c r="R52" s="33" t="str">
        <x:v>https://robinhoodchain.blockscout.com/address/0x411efb0e7f985935daec3d4c3ebaea0d0ad7d89f</x:v>
      </x:c>
      <x:c r="S52" s="27" t="inlineStr">
        <x:is>
          <x:t xml:space="preserve"/>
        </x:is>
      </x:c>
      <x:c r="T52" s="30">
        <x:v>46285.2734309375</x:v>
      </x:c>
      <x:c r="U52" s="33" t="inlineStr">
        <x:is>
          <x:t xml:space="preserve"/>
        </x:is>
      </x:c>
      <x:c r="V52" s="33" t="inlineStr">
        <x:is>
          <x:t xml:space="preserve">暂无合格池价；可手动输入</x:t>
        </x:is>
      </x:c>
    </x:row>
    <x:row r="53" ht="44" customHeight="1">
      <x:c r="A53" s="2"/>
      <x:c r="B53" s="2"/>
      <x:c r="C53" s="12" t="n">
        <x:v>45</x:v>
      </x:c>
      <x:c r="D53" s="12" t="str">
        <x:v>股票 / ETF</x:v>
      </x:c>
      <x:c r="E53" s="15" t="str">
        <x:v>SNAP</x:v>
      </x:c>
      <x:c r="F53" s="15" t="str">
        <x:v>Snap</x:v>
      </x:c>
      <x:c r="G53" s="18" t="str">
        <x:v>​0xF6589F11Bc40b669e584073F428B05562F568733</x:v>
      </x:c>
      <x:c r="H53" s="21" t="n">
        <x:v>18</x:v>
      </x:c>
      <x:c r="I53" s="24" t="n">
        <x:v>719.274418604</x:v>
      </x:c>
      <x:c r="J53" s="24" t="n">
        <x:v>1798.18604651</x:v>
      </x:c>
      <x:c r="K53" s="37" t="n">
        <x:f>J53/I53</x:f>
        <x:v>2.5000000000000004</x:v>
      </x:c>
      <x:c r="L53" s="24" t="n">
        <x:f>J53</x:f>
        <x:v>1798.18604651</x:v>
      </x:c>
      <x:c r="M53" s="40" t="n">
        <x:f>1000000000*I53*J53/(I53+J53)^2</x:f>
        <x:v>204081632.65306124</x:v>
      </x:c>
      <x:c r="N53" s="40" t="n">
        <x:f>1000000000*I53^2/(I53+J53)^2</x:f>
        <x:v>81632653.06122448</x:v>
      </x:c>
      <x:c r="O53" s="43" t="n">
        <x:f>1-N53/1000000000</x:f>
        <x:v>0.9183673469387755</x:v>
      </x:c>
      <x:c r="P53" s="46" t="n">
        <x:v>54430299</x:v>
      </x:c>
      <x:c r="Q53" s="12" t="str">
        <x:v>Approved / Native</x:v>
      </x:c>
      <x:c r="R53" s="33" t="str">
        <x:v>https://robinhoodchain.blockscout.com/address/0xF6589F11Bc40b669e584073F428B05562F568733</x:v>
      </x:c>
      <x:c r="S53" s="27" t="inlineStr">
        <x:is>
          <x:t xml:space="preserve"/>
        </x:is>
      </x:c>
      <x:c r="T53" s="30">
        <x:v>46285.27343675926</x:v>
      </x:c>
      <x:c r="U53" s="33" t="inlineStr">
        <x:is>
          <x:t xml:space="preserve"/>
        </x:is>
      </x:c>
      <x:c r="V53" s="33" t="inlineStr">
        <x:is>
          <x:t xml:space="preserve">暂无合格池价；可手动输入</x:t>
        </x:is>
      </x:c>
    </x:row>
    <x:row r="54" ht="44" customHeight="1">
      <x:c r="A54" s="2"/>
      <x:c r="B54" s="2"/>
      <x:c r="C54" s="12" t="n">
        <x:v>46</x:v>
      </x:c>
      <x:c r="D54" s="12" t="str">
        <x:v>股票 / ETF</x:v>
      </x:c>
      <x:c r="E54" s="15" t="str">
        <x:v>SNDK</x:v>
      </x:c>
      <x:c r="F54" s="15" t="str">
        <x:v>SanDisk</x:v>
      </x:c>
      <x:c r="G54" s="18" t="str">
        <x:v>​0xB90A19fF0Af67f7779afF50A882A9CfF42446400</x:v>
      </x:c>
      <x:c r="H54" s="21" t="n">
        <x:v>18</x:v>
      </x:c>
      <x:c r="I54" s="24" t="n">
        <x:v>2.652177326252</x:v>
      </x:c>
      <x:c r="J54" s="24" t="n">
        <x:v>6.63044331563</x:v>
      </x:c>
      <x:c r="K54" s="37" t="n">
        <x:f>J54/I54</x:f>
        <x:v>2.5</x:v>
      </x:c>
      <x:c r="L54" s="24" t="n">
        <x:f>J54</x:f>
        <x:v>6.63044331563</x:v>
      </x:c>
      <x:c r="M54" s="40" t="n">
        <x:f>1000000000*I54*J54/(I54+J54)^2</x:f>
        <x:v>204081632.6530612</x:v>
      </x:c>
      <x:c r="N54" s="40" t="n">
        <x:f>1000000000*I54^2/(I54+J54)^2</x:f>
        <x:v>81632653.06122449</x:v>
      </x:c>
      <x:c r="O54" s="43" t="n">
        <x:f>1-N54/1000000000</x:f>
        <x:v>0.9183673469387755</x:v>
      </x:c>
      <x:c r="P54" s="46" t="n">
        <x:v>54430299</x:v>
      </x:c>
      <x:c r="Q54" s="12" t="str">
        <x:v>Approved / Native</x:v>
      </x:c>
      <x:c r="R54" s="33" t="str">
        <x:v>https://robinhoodchain.blockscout.com/address/0xB90A19fF0Af67f7779afF50A882A9CfF42446400</x:v>
      </x:c>
      <x:c r="S54" s="27" t="inlineStr">
        <x:is>
          <x:t xml:space="preserve"/>
        </x:is>
      </x:c>
      <x:c r="T54" s="30">
        <x:v>46285.27344251158</x:v>
      </x:c>
      <x:c r="U54" s="33" t="inlineStr">
        <x:is>
          <x:t xml:space="preserve"/>
        </x:is>
      </x:c>
      <x:c r="V54" s="33" t="inlineStr">
        <x:is>
          <x:t xml:space="preserve">暂无合格池价；可手动输入</x:t>
        </x:is>
      </x:c>
    </x:row>
    <x:row r="55" ht="44" customHeight="1">
      <x:c r="A55" s="2"/>
      <x:c r="B55" s="2"/>
      <x:c r="C55" s="12" t="n">
        <x:v>47</x:v>
      </x:c>
      <x:c r="D55" s="12" t="str">
        <x:v>股票 / ETF</x:v>
      </x:c>
      <x:c r="E55" s="15" t="str">
        <x:v>SPCX</x:v>
      </x:c>
      <x:c r="F55" s="15" t="str">
        <x:v>SpaceX Class A</x:v>
      </x:c>
      <x:c r="G55" s="18" t="str">
        <x:v>​0x4a0E65A3EcceC6dBe60AE065F2e7bb85Fae35eEa</x:v>
      </x:c>
      <x:c r="H55" s="21" t="n">
        <x:v>18</x:v>
      </x:c>
      <x:c r="I55" s="24" t="n">
        <x:v>28.88</x:v>
      </x:c>
      <x:c r="J55" s="24" t="n">
        <x:v>72.2</x:v>
      </x:c>
      <x:c r="K55" s="37" t="n">
        <x:f>J55/I55</x:f>
        <x:v>2.5</x:v>
      </x:c>
      <x:c r="L55" s="24" t="n">
        <x:f>J55</x:f>
        <x:v>72.2</x:v>
      </x:c>
      <x:c r="M55" s="40" t="n">
        <x:f>1000000000*I55*J55/(I55+J55)^2</x:f>
        <x:v>204081632.6530612</x:v>
      </x:c>
      <x:c r="N55" s="40" t="n">
        <x:f>1000000000*I55^2/(I55+J55)^2</x:f>
        <x:v>81632653.06122449</x:v>
      </x:c>
      <x:c r="O55" s="43" t="n">
        <x:f>1-N55/1000000000</x:f>
        <x:v>0.9183673469387755</x:v>
      </x:c>
      <x:c r="P55" s="46" t="n">
        <x:v>54430299</x:v>
      </x:c>
      <x:c r="Q55" s="12" t="str">
        <x:v>Approved / Native</x:v>
      </x:c>
      <x:c r="R55" s="33" t="str">
        <x:v>https://robinhoodchain.blockscout.com/address/0x4a0E65A3EcceC6dBe60AE065F2e7bb85Fae35eEa</x:v>
      </x:c>
      <x:c r="S55" s="27">
        <x:v>152.61043373175778</x:v>
      </x:c>
      <x:c r="T55" s="30">
        <x:v>46285.27344795139</x:v>
      </x:c>
      <x:c r="U55" s="33" t="inlineStr">
        <x:is>
          <x:t xml:space="preserve">https://dexscreener.com/robinhood/0xc3c9f0171490ef0f4536fe493f3b0ebb5ee0cb5e</x:t>
        </x:is>
      </x:c>
      <x:c r="V55" s="33" t="inlineStr">
        <x:is>
          <x:t xml:space="preserve">每日 Quote 代币池价；本地可手动更新</x:t>
        </x:is>
      </x:c>
    </x:row>
    <x:row r="56" ht="44" customHeight="1">
      <x:c r="A56" s="2"/>
      <x:c r="B56" s="2"/>
      <x:c r="C56" s="12" t="n">
        <x:v>48</x:v>
      </x:c>
      <x:c r="D56" s="12" t="str">
        <x:v>股票 / ETF</x:v>
      </x:c>
      <x:c r="E56" s="15" t="str">
        <x:v>SPY</x:v>
      </x:c>
      <x:c r="F56" s="15" t="str">
        <x:v>SPDR S&amp;P 500 ETF</x:v>
      </x:c>
      <x:c r="G56" s="18" t="str">
        <x:v>​0x117cc2133c37B721F49dE2A7a74833232B3B4C0C</x:v>
      </x:c>
      <x:c r="H56" s="21" t="n">
        <x:v>18</x:v>
      </x:c>
      <x:c r="I56" s="24" t="n">
        <x:v>4.36</x:v>
      </x:c>
      <x:c r="J56" s="24" t="n">
        <x:v>10.9</x:v>
      </x:c>
      <x:c r="K56" s="37" t="n">
        <x:f>J56/I56</x:f>
        <x:v>2.5</x:v>
      </x:c>
      <x:c r="L56" s="24" t="n">
        <x:f>J56</x:f>
        <x:v>10.9</x:v>
      </x:c>
      <x:c r="M56" s="40" t="n">
        <x:f>1000000000*I56*J56/(I56+J56)^2</x:f>
        <x:v>204081632.65306118</x:v>
      </x:c>
      <x:c r="N56" s="40" t="n">
        <x:f>1000000000*I56^2/(I56+J56)^2</x:f>
        <x:v>81632653.06122449</x:v>
      </x:c>
      <x:c r="O56" s="43" t="n">
        <x:f>1-N56/1000000000</x:f>
        <x:v>0.9183673469387755</x:v>
      </x:c>
      <x:c r="P56" s="46" t="n">
        <x:v>54430299</x:v>
      </x:c>
      <x:c r="Q56" s="12" t="str">
        <x:v>Approved / Native</x:v>
      </x:c>
      <x:c r="R56" s="33" t="str">
        <x:v>https://robinhoodchain.blockscout.com/address/0x117cc2133c37B721F49dE2A7a74833232B3B4C0C</x:v>
      </x:c>
      <x:c r="S56" s="27">
        <x:v>764.0325568925294</x:v>
      </x:c>
      <x:c r="T56" s="30">
        <x:v>46285.27345454861</x:v>
      </x:c>
      <x:c r="U56" s="33" t="inlineStr">
        <x:is>
          <x:t xml:space="preserve">https://dexscreener.com/robinhood/0xddcbba3666f578e3f09516f21ff85bfee859ab5e</x:t>
        </x:is>
      </x:c>
      <x:c r="V56" s="33" t="inlineStr">
        <x:is>
          <x:t xml:space="preserve">每日 Quote 代币池价；本地可手动更新</x:t>
        </x:is>
      </x:c>
    </x:row>
    <x:row r="57" ht="44" customHeight="1">
      <x:c r="A57" s="2"/>
      <x:c r="B57" s="2"/>
      <x:c r="C57" s="12" t="n">
        <x:v>49</x:v>
      </x:c>
      <x:c r="D57" s="12" t="str">
        <x:v>股票 / ETF</x:v>
      </x:c>
      <x:c r="E57" s="15" t="str">
        <x:v>TSLA</x:v>
      </x:c>
      <x:c r="F57" s="15" t="str">
        <x:v>Tesla</x:v>
      </x:c>
      <x:c r="G57" s="18" t="str">
        <x:v>​0x322F0929c4625eD5bAd873c95208D54E1c003b2d</x:v>
      </x:c>
      <x:c r="H57" s="21" t="n">
        <x:v>18</x:v>
      </x:c>
      <x:c r="I57" s="24" t="n">
        <x:v>10.4</x:v>
      </x:c>
      <x:c r="J57" s="24" t="n">
        <x:v>26</x:v>
      </x:c>
      <x:c r="K57" s="37" t="n">
        <x:f>J57/I57</x:f>
        <x:v>2.5</x:v>
      </x:c>
      <x:c r="L57" s="24" t="n">
        <x:f>J57</x:f>
        <x:v>26</x:v>
      </x:c>
      <x:c r="M57" s="40" t="n">
        <x:f>1000000000*I57*J57/(I57+J57)^2</x:f>
        <x:v>204081632.65306124</x:v>
      </x:c>
      <x:c r="N57" s="40" t="n">
        <x:f>1000000000*I57^2/(I57+J57)^2</x:f>
        <x:v>81632653.06122452</x:v>
      </x:c>
      <x:c r="O57" s="43" t="n">
        <x:f>1-N57/1000000000</x:f>
        <x:v>0.9183673469387754</x:v>
      </x:c>
      <x:c r="P57" s="46" t="n">
        <x:v>54430299</x:v>
      </x:c>
      <x:c r="Q57" s="12" t="str">
        <x:v>Approved / Native</x:v>
      </x:c>
      <x:c r="R57" s="33" t="str">
        <x:v>https://robinhoodchain.blockscout.com/address/0x322F0929c4625eD5bAd873c95208D54E1c003b2d</x:v>
      </x:c>
      <x:c r="S57" s="27">
        <x:v>362.95372967695204</x:v>
      </x:c>
      <x:c r="T57" s="30">
        <x:v>46285.27345984954</x:v>
      </x:c>
      <x:c r="U57" s="33" t="inlineStr">
        <x:is>
          <x:t xml:space="preserve">https://dexscreener.com/robinhood/0xa953ca88ff430e9487c60ca34d757414f4efda07</x:t>
        </x:is>
      </x:c>
      <x:c r="V57" s="33" t="inlineStr">
        <x:is>
          <x:t xml:space="preserve">每日 Quote 代币池价；本地可手动更新</x:t>
        </x:is>
      </x:c>
    </x:row>
    <x:row r="58" ht="44" customHeight="1">
      <x:c r="A58" s="2"/>
      <x:c r="B58" s="2"/>
      <x:c r="C58" s="12" t="n">
        <x:v>50</x:v>
      </x:c>
      <x:c r="D58" s="12" t="str">
        <x:v>股票 / ETF</x:v>
      </x:c>
      <x:c r="E58" s="15" t="str">
        <x:v>TSM</x:v>
      </x:c>
      <x:c r="F58" s="15" t="str">
        <x:v>Taiwan Semiconductor Manufacturing</x:v>
      </x:c>
      <x:c r="G58" s="18" t="str">
        <x:v>​0x58FfE4a942d3885bAa22D7520691F611EF09e7AA</x:v>
      </x:c>
      <x:c r="H58" s="21" t="n">
        <x:v>18</x:v>
      </x:c>
      <x:c r="I58" s="24" t="n">
        <x:v>9.78129275364</x:v>
      </x:c>
      <x:c r="J58" s="24" t="n">
        <x:v>24.4532318841</x:v>
      </x:c>
      <x:c r="K58" s="37" t="n">
        <x:f>J58/I58</x:f>
        <x:v>2.4999999999999996</x:v>
      </x:c>
      <x:c r="L58" s="24" t="n">
        <x:f>J58</x:f>
        <x:v>24.4532318841</x:v>
      </x:c>
      <x:c r="M58" s="40" t="n">
        <x:f>1000000000*I58*J58/(I58+J58)^2</x:f>
        <x:v>204081632.65306124</x:v>
      </x:c>
      <x:c r="N58" s="40" t="n">
        <x:f>1000000000*I58^2/(I58+J58)^2</x:f>
        <x:v>81632653.06122449</x:v>
      </x:c>
      <x:c r="O58" s="43" t="n">
        <x:f>1-N58/1000000000</x:f>
        <x:v>0.9183673469387755</x:v>
      </x:c>
      <x:c r="P58" s="46" t="n">
        <x:v>54430299</x:v>
      </x:c>
      <x:c r="Q58" s="12" t="str">
        <x:v>Approved / Native</x:v>
      </x:c>
      <x:c r="R58" s="33" t="str">
        <x:v>https://robinhoodchain.blockscout.com/address/0x58FfE4a942d3885bAa22D7520691F611EF09e7AA</x:v>
      </x:c>
      <x:c r="S58" s="27" t="inlineStr">
        <x:is>
          <x:t xml:space="preserve"/>
        </x:is>
      </x:c>
      <x:c r="T58" s="30">
        <x:v>46285.27346563658</x:v>
      </x:c>
      <x:c r="U58" s="33" t="inlineStr">
        <x:is>
          <x:t xml:space="preserve"/>
        </x:is>
      </x:c>
      <x:c r="V58" s="33" t="inlineStr">
        <x:is>
          <x:t xml:space="preserve">暂无合格池价；可手动输入</x:t>
        </x:is>
      </x:c>
    </x:row>
    <x:row r="59" ht="44" customHeight="1">
      <x:c r="A59" s="2"/>
      <x:c r="B59" s="2"/>
      <x:c r="C59" s="12" t="n">
        <x:v>51</x:v>
      </x:c>
      <x:c r="D59" s="12" t="str">
        <x:v>股票 / ETF</x:v>
      </x:c>
      <x:c r="E59" s="15" t="str">
        <x:v>TTWO</x:v>
      </x:c>
      <x:c r="F59" s="15" t="str">
        <x:v>Take-Two Interactive</x:v>
      </x:c>
      <x:c r="G59" s="18" t="str">
        <x:v>​0x5e81213613b6B86EaB4c6c50d718d34359459786</x:v>
      </x:c>
      <x:c r="H59" s="21" t="n">
        <x:v>18</x:v>
      </x:c>
      <x:c r="I59" s="24" t="n">
        <x:v>10.6556027528</x:v>
      </x:c>
      <x:c r="J59" s="24" t="n">
        <x:v>26.639006882</x:v>
      </x:c>
      <x:c r="K59" s="37" t="n">
        <x:f>J59/I59</x:f>
        <x:v>2.5</x:v>
      </x:c>
      <x:c r="L59" s="24" t="n">
        <x:f>J59</x:f>
        <x:v>26.639006882</x:v>
      </x:c>
      <x:c r="M59" s="40" t="n">
        <x:f>1000000000*I59*J59/(I59+J59)^2</x:f>
        <x:v>204081632.65306124</x:v>
      </x:c>
      <x:c r="N59" s="40" t="n">
        <x:f>1000000000*I59^2/(I59+J59)^2</x:f>
        <x:v>81632653.0612245</x:v>
      </x:c>
      <x:c r="O59" s="43" t="n">
        <x:f>1-N59/1000000000</x:f>
        <x:v>0.9183673469387755</x:v>
      </x:c>
      <x:c r="P59" s="46" t="n">
        <x:v>54430299</x:v>
      </x:c>
      <x:c r="Q59" s="12" t="str">
        <x:v>Approved / Native</x:v>
      </x:c>
      <x:c r="R59" s="33" t="str">
        <x:v>https://robinhoodchain.blockscout.com/address/0x5e81213613b6B86EaB4c6c50d718d34359459786</x:v>
      </x:c>
      <x:c r="S59" s="27" t="inlineStr">
        <x:is>
          <x:t xml:space="preserve"/>
        </x:is>
      </x:c>
      <x:c r="T59" s="30">
        <x:v>46285.273471423614</x:v>
      </x:c>
      <x:c r="U59" s="33" t="inlineStr">
        <x:is>
          <x:t xml:space="preserve"/>
        </x:is>
      </x:c>
      <x:c r="V59" s="33" t="inlineStr">
        <x:is>
          <x:t xml:space="preserve">暂无合格池价；可手动输入</x:t>
        </x:is>
      </x:c>
    </x:row>
    <x:row r="60" ht="44" customHeight="1">
      <x:c r="A60" s="2"/>
      <x:c r="B60" s="2"/>
      <x:c r="C60" s="12" t="n">
        <x:v>52</x:v>
      </x:c>
      <x:c r="D60" s="12" t="str">
        <x:v>股票 / ETF</x:v>
      </x:c>
      <x:c r="E60" s="15" t="str">
        <x:v>UPS</x:v>
      </x:c>
      <x:c r="F60" s="15" t="str">
        <x:v>UPS</x:v>
      </x:c>
      <x:c r="G60" s="18" t="str">
        <x:v>​0xf23250dac154d05bb671cb0d0ebef3c635c79ce2</x:v>
      </x:c>
      <x:c r="H60" s="21" t="n">
        <x:v>18</x:v>
      </x:c>
      <x:c r="I60" s="24" t="n">
        <x:v>40.12341813944455</x:v>
      </x:c>
      <x:c r="J60" s="24" t="n">
        <x:v>100.30854534861137</x:v>
      </x:c>
      <x:c r="K60" s="37" t="n">
        <x:f>J60/I60</x:f>
        <x:v>2.5</x:v>
      </x:c>
      <x:c r="L60" s="24" t="n">
        <x:f>J60</x:f>
        <x:v>100.30854534861137</x:v>
      </x:c>
      <x:c r="M60" s="40" t="n">
        <x:f>1000000000*I60*J60/(I60+J60)^2</x:f>
        <x:v>204081632.65306118</x:v>
      </x:c>
      <x:c r="N60" s="40" t="n">
        <x:f>1000000000*I60^2/(I60+J60)^2</x:f>
        <x:v>81632653.06122448</x:v>
      </x:c>
      <x:c r="O60" s="43" t="n">
        <x:f>1-N60/1000000000</x:f>
        <x:v>0.9183673469387755</x:v>
      </x:c>
      <x:c r="P60" s="46" t="n">
        <x:v>54430299</x:v>
      </x:c>
      <x:c r="Q60" s="12" t="str">
        <x:v>Approved / Native</x:v>
      </x:c>
      <x:c r="R60" s="33" t="str">
        <x:v>https://robinhoodchain.blockscout.com/address/0xf23250dac154d05bb671cb0d0ebef3c635c79ce2</x:v>
      </x:c>
      <x:c r="S60" s="27" t="inlineStr">
        <x:is>
          <x:t xml:space="preserve"/>
        </x:is>
      </x:c>
      <x:c r="T60" s="30">
        <x:v>46285.273477222225</x:v>
      </x:c>
      <x:c r="U60" s="33" t="inlineStr">
        <x:is>
          <x:t xml:space="preserve"/>
        </x:is>
      </x:c>
      <x:c r="V60" s="33" t="inlineStr">
        <x:is>
          <x:t xml:space="preserve">暂无合格池价；可手动输入</x:t>
        </x:is>
      </x:c>
    </x:row>
    <x:row r="61" ht="44" customHeight="1">
      <x:c r="A61" s="2"/>
      <x:c r="B61" s="2"/>
      <x:c r="C61" s="12" t="n">
        <x:v>53</x:v>
      </x:c>
      <x:c r="D61" s="12" t="str">
        <x:v>股票 / ETF</x:v>
      </x:c>
      <x:c r="E61" s="15" t="str">
        <x:v>USO</x:v>
      </x:c>
      <x:c r="F61" s="15" t="str">
        <x:v>United States Oil Fund</x:v>
      </x:c>
      <x:c r="G61" s="18" t="str">
        <x:v>​0xa30FA36Db767ad9eD3f7a60fC79526fB4d56D344</x:v>
      </x:c>
      <x:c r="H61" s="21" t="n">
        <x:v>18</x:v>
      </x:c>
      <x:c r="I61" s="24" t="n">
        <x:v>28.71954042552</x:v>
      </x:c>
      <x:c r="J61" s="24" t="n">
        <x:v>71.7988510638</x:v>
      </x:c>
      <x:c r="K61" s="37" t="n">
        <x:f>J61/I61</x:f>
        <x:v>2.5</x:v>
      </x:c>
      <x:c r="L61" s="24" t="n">
        <x:f>J61</x:f>
        <x:v>71.7988510638</x:v>
      </x:c>
      <x:c r="M61" s="40" t="n">
        <x:f>1000000000*I61*J61/(I61+J61)^2</x:f>
        <x:v>204081632.6530612</x:v>
      </x:c>
      <x:c r="N61" s="40" t="n">
        <x:f>1000000000*I61^2/(I61+J61)^2</x:f>
        <x:v>81632653.06122449</x:v>
      </x:c>
      <x:c r="O61" s="43" t="n">
        <x:f>1-N61/1000000000</x:f>
        <x:v>0.9183673469387755</x:v>
      </x:c>
      <x:c r="P61" s="46" t="n">
        <x:v>54430299</x:v>
      </x:c>
      <x:c r="Q61" s="12" t="str">
        <x:v>Approved / Native</x:v>
      </x:c>
      <x:c r="R61" s="33" t="str">
        <x:v>https://robinhoodchain.blockscout.com/address/0xa30FA36Db767ad9eD3f7a60fC79526fB4d56D344</x:v>
      </x:c>
      <x:c r="S61" s="27" t="inlineStr">
        <x:is>
          <x:t xml:space="preserve"/>
        </x:is>
      </x:c>
      <x:c r="T61" s="30">
        <x:v>46285.27348305556</x:v>
      </x:c>
      <x:c r="U61" s="33" t="inlineStr">
        <x:is>
          <x:t xml:space="preserve"/>
        </x:is>
      </x:c>
      <x:c r="V61" s="33" t="inlineStr">
        <x:is>
          <x:t xml:space="preserve">暂无合格池价；可手动输入</x:t>
        </x:is>
      </x:c>
    </x:row>
    <x:row r="62" ht="44" customHeight="1">
      <x:c r="A62" s="2"/>
      <x:c r="B62" s="2"/>
      <x:c r="C62" s="13" t="n">
        <x:v>54</x:v>
      </x:c>
      <x:c r="D62" s="13" t="str">
        <x:v>股票 / ETF</x:v>
      </x:c>
      <x:c r="E62" s="16" t="str">
        <x:v>WYFI</x:v>
      </x:c>
      <x:c r="F62" s="16" t="str">
        <x:v>WhiteFiber</x:v>
      </x:c>
      <x:c r="G62" s="19" t="str">
        <x:v>​0x9e7ABD3C9139D14E4c86DcE0e455AAB7A0C2FB3E</x:v>
      </x:c>
      <x:c r="H62" s="22" t="n">
        <x:v>18</x:v>
      </x:c>
      <x:c r="I62" s="25" t="n">
        <x:v>231.39744</x:v>
      </x:c>
      <x:c r="J62" s="25" t="n">
        <x:v>578.4936</x:v>
      </x:c>
      <x:c r="K62" s="38" t="n">
        <x:f>J62/I62</x:f>
        <x:v>2.5</x:v>
      </x:c>
      <x:c r="L62" s="25" t="n">
        <x:f>J62</x:f>
        <x:v>578.4936</x:v>
      </x:c>
      <x:c r="M62" s="41" t="n">
        <x:f>1000000000*I62*J62/(I62+J62)^2</x:f>
        <x:v>204081632.65306124</x:v>
      </x:c>
      <x:c r="N62" s="41" t="n">
        <x:f>1000000000*I62^2/(I62+J62)^2</x:f>
        <x:v>81632653.06122449</x:v>
      </x:c>
      <x:c r="O62" s="44" t="n">
        <x:f>1-N62/1000000000</x:f>
        <x:v>0.9183673469387755</x:v>
      </x:c>
      <x:c r="P62" s="47" t="n">
        <x:v>54430299</x:v>
      </x:c>
      <x:c r="Q62" s="13" t="str">
        <x:v>Approved / Native</x:v>
      </x:c>
      <x:c r="R62" s="34" t="str">
        <x:v>https://robinhoodchain.blockscout.com/address/0x9e7ABD3C9139D14E4c86DcE0e455AAB7A0C2FB3E</x:v>
      </x:c>
      <x:c r="S62" s="28" t="inlineStr">
        <x:is>
          <x:t xml:space="preserve"/>
        </x:is>
      </x:c>
      <x:c r="T62" s="31">
        <x:v>46285.27348880787</x:v>
      </x:c>
      <x:c r="U62" s="34" t="inlineStr">
        <x:is>
          <x:t xml:space="preserve"/>
        </x:is>
      </x:c>
      <x:c r="V62" s="34" t="inlineStr">
        <x:is>
          <x:t xml:space="preserve">暂无合格池价；可手动输入</x:t>
        </x:is>
      </x:c>
    </x:row>
    <x:row r="63" ht="42" customHeight="1">
      <x:c r="C63" t="n">
        <x:v>55</x:v>
      </x:c>
      <x:c r="D63" t="str">
        <x:v>稳定币</x:v>
      </x:c>
      <x:c r="E63" t="str">
        <x:v>USDG</x:v>
      </x:c>
      <x:c r="F63" t="str">
        <x:v>Global Dollar</x:v>
      </x:c>
      <x:c r="G63" t="str">
        <x:v>​0x5fc5360D0400a0Fd4f2af552ADD042D716F1d168</x:v>
      </x:c>
      <x:c r="H63" t="n">
        <x:v>6</x:v>
      </x:c>
      <x:c r="I63" t="n">
        <x:v>3236</x:v>
      </x:c>
      <x:c r="J63" t="n">
        <x:v>8090</x:v>
      </x:c>
      <x:c r="K63" t="n">
        <x:f>J63/I63</x:f>
        <x:v>2.5</x:v>
      </x:c>
      <x:c r="L63" t="n">
        <x:f>J63</x:f>
        <x:v>8090</x:v>
      </x:c>
      <x:c r="M63" t="n">
        <x:f>1000000000*I63*J63/(I63+J63)^2</x:f>
        <x:v>204081632.6530612</x:v>
      </x:c>
      <x:c r="N63" t="n">
        <x:f>1000000000*I63^2/(I63+J63)^2</x:f>
        <x:v>81632653.06122449</x:v>
      </x:c>
      <x:c r="O63" t="n">
        <x:f>1-N63/1000000000</x:f>
        <x:v>0.9183673469387755</x:v>
      </x:c>
      <x:c r="P63" t="n">
        <x:v>69045064</x:v>
      </x:c>
      <x:c r="Q63" t="str">
        <x:v>已发行实例 / ERC-20</x:v>
      </x:c>
      <x:c r="R63" t="str">
        <x:v>https://robinhoodchain.blockscout.com/address/0x5fc5360d0400a0fd4f2af552add042d716f1d168</x:v>
      </x:c>
      <x:c r="S63" s="155">
        <x:v>1.0003961568781237</x:v>
      </x:c>
      <x:c r="T63" s="156">
        <x:v>46285.27349457176</x:v>
      </x:c>
      <x:c r="U63" t="inlineStr">
        <x:is>
          <x:t xml:space="preserve">https://api.coingecko.com/api/v3/simple/price?ids=tether&amp;vs_currencies=usd</x:t>
        </x:is>
      </x:c>
      <x:c r="V63" s="157" t="inlineStr">
        <x:is>
          <x:t xml:space="preserve">USDG 按 1 USD 估算；本地可手动更新</x:t>
        </x:is>
      </x:c>
    </x:row>
  </x:sheetData>
  <x:mergeCells>
    <x:mergeCell ref="C3:R3"/>
    <x:mergeCell ref="C5:D5"/>
    <x:mergeCell ref="E5:G5"/>
    <x:mergeCell ref="H5:I5"/>
    <x:mergeCell ref="J5:R5"/>
    <x:mergeCell ref="C6:D6"/>
    <x:mergeCell ref="E6:G6"/>
    <x:mergeCell ref="H6:I6"/>
    <x:mergeCell ref="J6:R6"/>
    <x:mergeCell ref="C7:D7"/>
    <x:mergeCell ref="E7:G7"/>
    <x:mergeCell ref="H7:I7"/>
    <x:mergeCell ref="J7:R7"/>
    <x:mergeCell ref="U3:V3"/>
  </x:mergeCells>
  <x:pageMargins left="0.7" right="0.7" top="0.75" bottom="0.75" header="0.3" footer="0.3"/>
</x:worksheet>
</file>