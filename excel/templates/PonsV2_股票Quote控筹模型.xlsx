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69c418e98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f7e4b787ee604d02"/>
    <x:sheet xmlns:r="http://schemas.openxmlformats.org/officeDocument/2006/relationships" name="Quote参数" sheetId="2" r:id="R4dbb6c88067644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fff82cde9b4d50" /><Relationship Type="http://schemas.openxmlformats.org/officeDocument/2006/relationships/theme" Target="/xl/theme/theme1.xml" Id="Rfdcbc4d05ced4573" /><Relationship Type="http://schemas.openxmlformats.org/officeDocument/2006/relationships/sharedStrings" Target="/xl/sharedStrings.xml" Id="R5df2fd514eba47aa" /><Relationship Type="http://schemas.openxmlformats.org/officeDocument/2006/relationships/worksheet" Target="/xl/worksheets/sheet1.xml" Id="Rf7e4b787ee604d02" /><Relationship Type="http://schemas.openxmlformats.org/officeDocument/2006/relationships/worksheet" Target="/xl/worksheets/sheet2.xml" Id="R4dbb6c88067644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388.2681341634973</v>
      </c>
      <c r="E18" s="62" t="str">
        <f>$D$7</f>
        <v>ETH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966306.9143316748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963577.0103860209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134.1714565004891</v>
      </c>
      <c r="E22" s="106" t="str">
        <f>$D$7</f>
        <v>ETH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4.242424242424242</v>
      </c>
      <c r="E23" s="106" t="str">
        <f>$D$7</f>
        <v>ETH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244.85425342058392</v>
      </c>
      <c r="E24" s="106" t="str">
        <f>$D$7</f>
        <v>ETH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ETH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IF(LEFT($D$51,2)&lt;&gt;"可达","",0)</f>
        <v>0</v>
      </c>
      <c r="E26" s="106" t="str">
        <f>$D$7</f>
        <v>ETH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0.9333333333333333</v>
      </c>
      <c r="H37" s="127" t="str">
        <f>$D$7</f>
        <v>ETH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VLOOKUP($D$7,'Quote参数'!$E$9:$J$62,2,FALSE)</f>
        <v>Ether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4.242424242424242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VLOOKUP($D$7,'Quote参数'!$E$9:$J$62,3,FALSE)</f>
        <v>​Native ETH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8367346.938775495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102.4390243902441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4.2</v>
      </c>
      <c r="H44" s="107"/>
      <c r="I44" s="107" t="str">
        <v>外盘净增加 / Quote</v>
      </c>
      <c r="J44" s="108" t="n">
        <f>IF($J$43="","",MAX(0,$J$43-$G$44))</f>
        <v>98.2390243902441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IF($J$42="","",$G$50/($G$48-MAX(0,($D$52-$G$43)*$D$45)/(1-$G$42-$J$7))-$G$44)</f>
        <v>129.92903225806486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str">
        <f>VLOOKUP($D$7,'Quote参数'!$E$9:$P$62,12,FALSE)</f>
        <v>TIME 实币验证</v>
      </c>
      <c r="E46" s="107"/>
      <c r="F46" s="107" t="str">
        <v>phantom Quote</v>
      </c>
      <c r="G46" s="108" t="n">
        <f>VLOOKUP($D$7,'Quote参数'!$E$9:$J$62,5,FALSE)</f>
        <v>1.68</v>
      </c>
      <c r="H46" s="107"/>
      <c r="I46" s="107" t="str">
        <v>目标+1% FDV / Quote</v>
      </c>
      <c r="J46" s="108" t="n">
        <f>IF($J$43="","",$J$43/$J$42*$D$45)</f>
        <v>12242.712671029196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1680000000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4.2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857142857.1428572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MIN(1-$G$51/$D$45,$G$43+(1-$G$42-$J$7)*$G$48/$D$45)</f>
        <v>0.916326530612245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IF($D$9&lt;&gt;"",IF(AND(ISNUMBER($D$9),$D$9&gt;0),$D$9,""),IF(VLOOKUP($D$7,'Quote参数'!$E$9:$S$62,15,FALSE)&gt;0,VLOOKUP($D$7,'Quote参数'!$E$9:$S$62,15,FALSE),""))</f>
        <v>2481.7308596853964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$G$48-MAX(0,($D$8-$G$43)*$D$45)/MAX(0.000000001,1-$G$42-$J$7)</f>
        <v>16491445.062873632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IF(VLOOKUP($D$7,'Quote参数'!$E$9:$T$62,16,FALSE)=0,"",VLOOKUP($D$7,'Quote参数'!$E$9:$T$62,16,FALSE))</f>
        <v>46283.229076828706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$G$48-MAX(0,($D$27-$G$43)*$D$45)/MAX(0.000000001,1-$G$42-$J$7)</f>
        <v>16491445.062873632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1.68</v>
      </c>
      <c r="F59" s="135" t="n">
        <f>IF(OR(D59="",E59=""),"",E59/D59)</f>
        <v>1.68e-9</v>
      </c>
      <c r="G59" s="135" t="n">
        <f>IF(OR($D$55="",NOT(ISNUMBER(F59))),"",F59*$D$55)</f>
        <v>0.000004169307844271466</v>
      </c>
      <c r="H59" s="144" t="n">
        <f>IF(NOT(ISNUMBER(F59)),"",F59*$D$45)</f>
        <v>1.68</v>
      </c>
      <c r="I59" s="144" t="n">
        <f>IF(OR($D$55="",NOT(ISNUMBER(H59))),"",H59*$D$55)</f>
        <v>4169.307844271466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1.8666666666666667</v>
      </c>
      <c r="F60" s="136" t="n">
        <f>IF(OR(D60="",E60=""),"",E60/D60)</f>
        <v>2.074074074074074e-9</v>
      </c>
      <c r="G60" s="136" t="n">
        <f>IF(OR($D$55="",NOT(ISNUMBER(F60))),"",F60*$D$55)</f>
        <v>0.000005147293634903044</v>
      </c>
      <c r="H60" s="145" t="n">
        <f>IF(NOT(ISNUMBER(F60)),"",F60*$D$45)</f>
        <v>2.074074074074074</v>
      </c>
      <c r="I60" s="145" t="n">
        <f>IF(OR($D$55="",NOT(ISNUMBER(H60))),"",H60*$D$55)</f>
        <v>5147.293634903044</v>
      </c>
      <c r="J60" s="145" t="n">
        <f>E60-E59</f>
        <v>0.18666666666666676</v>
      </c>
      <c r="K60" s="145" t="n">
        <f>J60/(1-$G$41-$J$7)</f>
        <v>0.18855218855218864</v>
      </c>
      <c r="L60" s="148" t="n">
        <f>SUM($K$59:K60)</f>
        <v>0.18855218855218864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2.1</v>
      </c>
      <c r="F61" s="136" t="n">
        <f>IF(OR(D61="",E61=""),"",E61/D61)</f>
        <v>2.625e-9</v>
      </c>
      <c r="G61" s="136" t="n">
        <f>IF(OR($D$55="",NOT(ISNUMBER(F61))),"",F61*$D$55)</f>
        <v>0.0000065145435066741655</v>
      </c>
      <c r="H61" s="145" t="n">
        <f>IF(NOT(ISNUMBER(F61)),"",F61*$D$45)</f>
        <v>2.625</v>
      </c>
      <c r="I61" s="145" t="n">
        <f>IF(OR($D$55="",NOT(ISNUMBER(H61))),"",H61*$D$55)</f>
        <v>6514.543506674166</v>
      </c>
      <c r="J61" s="145" t="n">
        <f>E61-E60</f>
        <v>0.2333333333333334</v>
      </c>
      <c r="K61" s="145" t="n">
        <f>J61/(1-$G$41-$J$7)</f>
        <v>0.23569023569023576</v>
      </c>
      <c r="L61" s="148" t="n">
        <f>SUM($K$59:K61)</f>
        <v>0.4242424242424244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2.4</v>
      </c>
      <c r="F62" s="136" t="n">
        <f>IF(OR(D62="",E62=""),"",E62/D62)</f>
        <v>3.4285714285714283e-9</v>
      </c>
      <c r="G62" s="136" t="n">
        <f>IF(OR($D$55="",NOT(ISNUMBER(F62))),"",F62*$D$55)</f>
        <v>0.000008508791518921358</v>
      </c>
      <c r="H62" s="145" t="n">
        <f>IF(NOT(ISNUMBER(F62)),"",F62*$D$45)</f>
        <v>3.4285714285714284</v>
      </c>
      <c r="I62" s="145" t="n">
        <f>IF(OR($D$55="",NOT(ISNUMBER(H62))),"",H62*$D$55)</f>
        <v>8508.791518921358</v>
      </c>
      <c r="J62" s="145" t="n">
        <f>E62-E61</f>
        <v>0.2999999999999998</v>
      </c>
      <c r="K62" s="145" t="n">
        <f>J62/(1-$G$41-$J$7)</f>
        <v>0.30303030303030287</v>
      </c>
      <c r="L62" s="148" t="n">
        <f>SUM($K$59:K62)</f>
        <v>0.7272727272727273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2.8</v>
      </c>
      <c r="F63" s="136" t="n">
        <f>IF(OR(D63="",E63=""),"",E63/D63)</f>
        <v>4.666666666666666e-9</v>
      </c>
      <c r="G63" s="136" t="n">
        <f>IF(OR($D$55="",NOT(ISNUMBER(F63))),"",F63*$D$55)</f>
        <v>0.00001158141067853185</v>
      </c>
      <c r="H63" s="145" t="n">
        <f>IF(NOT(ISNUMBER(F63)),"",F63*$D$45)</f>
        <v>4.666666666666666</v>
      </c>
      <c r="I63" s="145" t="n">
        <f>IF(OR($D$55="",NOT(ISNUMBER(H63))),"",H63*$D$55)</f>
        <v>11581.410678531849</v>
      </c>
      <c r="J63" s="145" t="n">
        <f>E63-E62</f>
        <v>0.3999999999999999</v>
      </c>
      <c r="K63" s="145" t="n">
        <f>J63/(1-$G$41-$J$7)</f>
        <v>0.404040404040404</v>
      </c>
      <c r="L63" s="148" t="n">
        <f>SUM($K$59:K63)</f>
        <v>1.1313131313131313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3.36</v>
      </c>
      <c r="F64" s="136" t="n">
        <f>IF(OR(D64="",E64=""),"",E64/D64)</f>
        <v>6.72e-9</v>
      </c>
      <c r="G64" s="136" t="n">
        <f>IF(OR($D$55="",NOT(ISNUMBER(F64))),"",F64*$D$55)</f>
        <v>0.000016677231377085863</v>
      </c>
      <c r="H64" s="145" t="n">
        <f>IF(NOT(ISNUMBER(F64)),"",F64*$D$45)</f>
        <v>6.72</v>
      </c>
      <c r="I64" s="145" t="n">
        <f>IF(OR($D$55="",NOT(ISNUMBER(H64))),"",H64*$D$55)</f>
        <v>16677.231377085864</v>
      </c>
      <c r="J64" s="145" t="n">
        <f>E64-E63</f>
        <v>0.56</v>
      </c>
      <c r="K64" s="145" t="n">
        <f>J64/(1-$G$41-$J$7)</f>
        <v>0.5656565656565657</v>
      </c>
      <c r="L64" s="148" t="n">
        <f>SUM($K$59:K64)</f>
        <v>1.696969696969697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4.2</v>
      </c>
      <c r="F65" s="136" t="n">
        <f>IF(OR(D65="",E65=""),"",E65/D65)</f>
        <v>1.05e-8</v>
      </c>
      <c r="G65" s="136" t="n">
        <f>IF(OR($D$55="",NOT(ISNUMBER(F65))),"",F65*$D$55)</f>
        <v>0.000026058174026696662</v>
      </c>
      <c r="H65" s="145" t="n">
        <f>IF(NOT(ISNUMBER(F65)),"",F65*$D$45)</f>
        <v>10.5</v>
      </c>
      <c r="I65" s="145" t="n">
        <f>IF(OR($D$55="",NOT(ISNUMBER(H65))),"",H65*$D$55)</f>
        <v>26058.174026696663</v>
      </c>
      <c r="J65" s="145" t="n">
        <f>E65-E64</f>
        <v>0.8400000000000003</v>
      </c>
      <c r="K65" s="145" t="n">
        <f>J65/(1-$G$41-$J$7)</f>
        <v>0.8484848484848488</v>
      </c>
      <c r="L65" s="148" t="n">
        <f>SUM($K$59:K65)</f>
        <v>2.545454545454546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5.599999999999999</v>
      </c>
      <c r="F66" s="136" t="n">
        <f>IF(OR(D66="",E66=""),"",E66/D66)</f>
        <v>1.866666666666666e-8</v>
      </c>
      <c r="G66" s="136" t="n">
        <f>IF(OR($D$55="",NOT(ISNUMBER(F66))),"",F66*$D$55)</f>
        <v>0.000046325642714127376</v>
      </c>
      <c r="H66" s="145" t="n">
        <f>IF(NOT(ISNUMBER(F66)),"",F66*$D$45)</f>
        <v>18.666666666666657</v>
      </c>
      <c r="I66" s="145" t="n">
        <f>IF(OR($D$55="",NOT(ISNUMBER(H66))),"",H66*$D$55)</f>
        <v>46325.642714127374</v>
      </c>
      <c r="J66" s="145" t="n">
        <f>E66-E65</f>
        <v>1.3999999999999986</v>
      </c>
      <c r="K66" s="145" t="n">
        <f>J66/(1-$G$41-$J$7)</f>
        <v>1.4141414141414128</v>
      </c>
      <c r="L66" s="148" t="n">
        <f>SUM($K$59:K66)</f>
        <v>3.9595959595959584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5.880000000000001</v>
      </c>
      <c r="F67" s="137" t="n">
        <f>IF(OR(D67="",E67=""),"",E67/D67)</f>
        <v>2.0580000000000006e-8</v>
      </c>
      <c r="G67" s="137" t="n">
        <f>IF(OR($D$55="",NOT(ISNUMBER(F67))),"",F67*$D$55)</f>
        <v>0.00005107402109232547</v>
      </c>
      <c r="H67" s="146" t="n">
        <f>IF(NOT(ISNUMBER(F67)),"",F67*$D$45)</f>
        <v>20.580000000000005</v>
      </c>
      <c r="I67" s="146" t="n">
        <f>IF(OR($D$55="",NOT(ISNUMBER(H67))),"",H67*$D$55)</f>
        <v>51074.02109232547</v>
      </c>
      <c r="J67" s="146" t="n">
        <f>E67-E66</f>
        <v>0.280000000000002</v>
      </c>
      <c r="K67" s="146" t="n">
        <f>J67/(1-$G$41-$J$7)</f>
        <v>0.28282828282828487</v>
      </c>
      <c r="L67" s="149" t="n">
        <f>SUM($K$59:K67)</f>
        <v>4.242424242424243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4.2</v>
      </c>
      <c r="F72" s="135" t="n">
        <f>IF(OR(D72="",E72=""),"",E72/D72)</f>
        <v>2.058e-8</v>
      </c>
      <c r="G72" s="135" t="n">
        <f>IF(OR($D$55="",NOT(ISNUMBER(F72))),"",F72*$D$55)</f>
        <v>0.000051074021092325456</v>
      </c>
      <c r="H72" s="144" t="n">
        <f>IF(NOT(ISNUMBER(F72)),"",F72*$D$45)</f>
        <v>20.58</v>
      </c>
      <c r="I72" s="144" t="n">
        <f>IF(OR($D$55="",NOT(ISNUMBER(H72))),"",H72*$D$55)</f>
        <v>51074.021092325456</v>
      </c>
      <c r="J72" s="144" t="n">
        <f>0</f>
        <v>0</v>
      </c>
      <c r="K72" s="144" t="n">
        <f>0</f>
        <v>0</v>
      </c>
      <c r="L72" s="147" t="n">
        <f>$J$41</f>
        <v>4.242424242424242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168367346.93877554</v>
      </c>
      <c r="E73" s="145" t="n">
        <f>IF(D73="","",$G$50/D73)</f>
        <v>5.09090909090909</v>
      </c>
      <c r="F73" s="136" t="n">
        <f>IF(OR(D73="",E73=""),"",E73/D73)</f>
        <v>3.023691460055095e-8</v>
      </c>
      <c r="G73" s="136" t="n">
        <f>IF(OR($D$55="",NOT(ISNUMBER(F73))),"",F73*$D$55)</f>
        <v>0.00007503988406585923</v>
      </c>
      <c r="H73" s="145" t="n">
        <f>IF(NOT(ISNUMBER(F73)),"",F73*$D$45)</f>
        <v>30.236914600550953</v>
      </c>
      <c r="I73" s="145" t="n">
        <f>IF(OR($D$55="",NOT(ISNUMBER(H73))),"",H73*$D$55)</f>
        <v>75039.88406585922</v>
      </c>
      <c r="J73" s="145" t="n">
        <f>IF(E73="","",MAX(0,E73-$G$44))</f>
        <v>0.8909090909090898</v>
      </c>
      <c r="K73" s="145" t="n">
        <f>IF(D73="","",$G$50/($G$48-MAX(0,(C73-$G$43)*$D$45)/(1-$G$42-$J$7))-$G$44)</f>
        <v>0.9018404907975457</v>
      </c>
      <c r="L73" s="148" t="n">
        <f>IF(K73="","",$J$41+K73)</f>
        <v>5.144264733221788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118367346.9387755</v>
      </c>
      <c r="E74" s="145" t="n">
        <f>IF(D74="","",$G$50/D74)</f>
        <v>7.241379310344829</v>
      </c>
      <c r="F74" s="136" t="n">
        <f>IF(OR(D74="",E74=""),"",E74/D74)</f>
        <v>6.117717003567184e-8</v>
      </c>
      <c r="G74" s="136" t="n">
        <f>IF(OR($D$55="",NOT(ISNUMBER(F74))),"",F74*$D$55)</f>
        <v>0.00015182527078574755</v>
      </c>
      <c r="H74" s="145" t="n">
        <f>IF(NOT(ISNUMBER(F74)),"",F74*$D$45)</f>
        <v>61.17717003567184</v>
      </c>
      <c r="I74" s="145" t="n">
        <f>IF(OR($D$55="",NOT(ISNUMBER(H74))),"",H74*$D$55)</f>
        <v>151825.27078574756</v>
      </c>
      <c r="J74" s="145" t="n">
        <f>IF(E74="","",MAX(0,E74-$G$44))</f>
        <v>3.041379310344829</v>
      </c>
      <c r="K74" s="145" t="n">
        <f>IF(D74="","",$G$50/($G$48-MAX(0,(C74-$G$43)*$D$45)/(1-$G$42-$J$7))-$G$44)</f>
        <v>3.094736842105265</v>
      </c>
      <c r="L74" s="148" t="n">
        <f>IF(K74="","",$J$41+K74)</f>
        <v>7.337161084529507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98367346.93877558</v>
      </c>
      <c r="E75" s="145" t="n">
        <f>IF(D75="","",$G$50/D75)</f>
        <v>8.713692946058085</v>
      </c>
      <c r="F75" s="136" t="n">
        <f>IF(OR(D75="",E75=""),"",E75/D75)</f>
        <v>8.858318555121283e-8</v>
      </c>
      <c r="G75" s="136" t="n">
        <f>IF(OR($D$55="",NOT(ISNUMBER(F75))),"",F75*$D$55)</f>
        <v>0.00021983962523168242</v>
      </c>
      <c r="H75" s="145" t="n">
        <f>IF(NOT(ISNUMBER(F75)),"",F75*$D$45)</f>
        <v>88.58318555121284</v>
      </c>
      <c r="I75" s="145" t="n">
        <f>IF(OR($D$55="",NOT(ISNUMBER(H75))),"",H75*$D$55)</f>
        <v>219839.6252316824</v>
      </c>
      <c r="J75" s="145" t="n">
        <f>IF(E75="","",MAX(0,E75-$G$44))</f>
        <v>4.513692946058085</v>
      </c>
      <c r="K75" s="145" t="n">
        <f>IF(D75="","",$G$50/($G$48-MAX(0,(C75-$G$43)*$D$45)/(1-$G$42-$J$7))-$G$44)</f>
        <v>4.609322033898299</v>
      </c>
      <c r="L75" s="148" t="n">
        <f>IF(K75="","",$J$41+K75)</f>
        <v>8.85174627632254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78367346.93877555</v>
      </c>
      <c r="E76" s="145" t="n">
        <f>IF(D76="","",$G$50/D76)</f>
        <v>10.937499999999995</v>
      </c>
      <c r="F76" s="136" t="n">
        <f>IF(OR(D76="",E76=""),"",E76/D76)</f>
        <v>1.3956705729166652e-7</v>
      </c>
      <c r="G76" s="136" t="n">
        <f>IF(OR($D$55="",NOT(ISNUMBER(F76))),"",F76*$D$55)</f>
        <v>0.00034636787307620854</v>
      </c>
      <c r="H76" s="145" t="n">
        <f>IF(NOT(ISNUMBER(F76)),"",F76*$D$45)</f>
        <v>139.56705729166652</v>
      </c>
      <c r="I76" s="145" t="n">
        <f>IF(OR($D$55="",NOT(ISNUMBER(H76))),"",H76*$D$55)</f>
        <v>346367.8730762085</v>
      </c>
      <c r="J76" s="145" t="n">
        <f>IF(E76="","",MAX(0,E76-$G$44))</f>
        <v>6.7374999999999945</v>
      </c>
      <c r="K76" s="145" t="n">
        <f>IF(D76="","",$G$50/($G$48-MAX(0,(C76-$G$43)*$D$45)/(1-$G$42-$J$7))-$G$44)</f>
        <v>6.917647058823522</v>
      </c>
      <c r="L76" s="148" t="n">
        <f>IF(K76="","",$J$41+K76)</f>
        <v>11.160071301247765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58367346.938775524</v>
      </c>
      <c r="E77" s="145" t="n">
        <f>IF(D77="","",$G$50/D77)</f>
        <v>14.685314685314683</v>
      </c>
      <c r="F77" s="136" t="n">
        <f>IF(OR(D77="",E77=""),"",E77/D77)</f>
        <v>2.5160154530783893e-7</v>
      </c>
      <c r="G77" s="136" t="n">
        <f>IF(OR($D$55="",NOT(ISNUMBER(F77))),"",F77*$D$55)</f>
        <v>0.0006244073193349972</v>
      </c>
      <c r="H77" s="145" t="n">
        <f>IF(NOT(ISNUMBER(F77)),"",F77*$D$45)</f>
        <v>251.60154530783893</v>
      </c>
      <c r="I77" s="145" t="n">
        <f>IF(OR($D$55="",NOT(ISNUMBER(H77))),"",H77*$D$55)</f>
        <v>624407.3193349973</v>
      </c>
      <c r="J77" s="145" t="n">
        <f>IF(E77="","",MAX(0,E77-$G$44))</f>
        <v>10.485314685314684</v>
      </c>
      <c r="K77" s="145" t="n">
        <f>IF(D77="","",$G$50/($G$48-MAX(0,(C77-$G$43)*$D$45)/(1-$G$42-$J$7))-$G$44)</f>
        <v>10.865217391304334</v>
      </c>
      <c r="L77" s="148" t="n">
        <f>IF(K77="","",$J$41+K77)</f>
        <v>15.107641633728576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38367346.938775524</v>
      </c>
      <c r="E78" s="145" t="n">
        <f>IF(D78="","",$G$50/D78)</f>
        <v>22.340425531914885</v>
      </c>
      <c r="F78" s="136" t="n">
        <f>IF(OR(D78="",E78=""),"",E78/D78)</f>
        <v>5.822770484382069e-7</v>
      </c>
      <c r="G78" s="136" t="n">
        <f>IF(OR($D$55="",NOT(ISNUMBER(F78))),"",F78*$D$55)</f>
        <v>0.0014450549199956262</v>
      </c>
      <c r="H78" s="145" t="n">
        <f>IF(NOT(ISNUMBER(F78)),"",F78*$D$45)</f>
        <v>582.2770484382069</v>
      </c>
      <c r="I78" s="145" t="n">
        <f>IF(OR($D$55="",NOT(ISNUMBER(H78))),"",H78*$D$55)</f>
        <v>1445054.9199956262</v>
      </c>
      <c r="J78" s="145" t="n">
        <f>IF(E78="","",MAX(0,E78-$G$44))</f>
        <v>18.140425531914886</v>
      </c>
      <c r="K78" s="145" t="n">
        <f>IF(D78="","",$G$50/($G$48-MAX(0,(C78-$G$43)*$D$45)/(1-$G$42-$J$7))-$G$44)</f>
        <v>19.15955056179774</v>
      </c>
      <c r="L78" s="148" t="n">
        <f>IF(K78="","",$J$41+K78)</f>
        <v>23.401974804221982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28367346.93877551</v>
      </c>
      <c r="E79" s="145" t="n">
        <f>IF(D79="","",$G$50/D79)</f>
        <v>30.2158273381295</v>
      </c>
      <c r="F79" s="136" t="n">
        <f>IF(OR(D79="",E79=""),"",E79/D79)</f>
        <v>0.0000010651622586822629</v>
      </c>
      <c r="G79" s="136" t="n">
        <f>IF(OR($D$55="",NOT(ISNUMBER(F79))),"",F79*$D$55)</f>
        <v>0.0026434460479439707</v>
      </c>
      <c r="H79" s="145" t="n">
        <f>IF(NOT(ISNUMBER(F79)),"",F79*$D$45)</f>
        <v>1065.162258682263</v>
      </c>
      <c r="I79" s="145" t="n">
        <f>IF(OR($D$55="",NOT(ISNUMBER(H79))),"",H79*$D$55)</f>
        <v>2643446.047943971</v>
      </c>
      <c r="J79" s="145" t="n">
        <f>IF(E79="","",MAX(0,E79-$G$44))</f>
        <v>26.0158273381295</v>
      </c>
      <c r="K79" s="145" t="n">
        <f>IF(D79="","",$G$50/($G$48-MAX(0,(C79-$G$43)*$D$45)/(1-$G$42-$J$7))-$G$44)</f>
        <v>28.03255813953484</v>
      </c>
      <c r="L79" s="148" t="n">
        <f>IF(K79="","",$J$41+K79)</f>
        <v>32.27498238195908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18367346.93877551</v>
      </c>
      <c r="E80" s="145" t="n">
        <f>IF(D80="","",$G$50/D80)</f>
        <v>46.66666666666667</v>
      </c>
      <c r="F80" s="136" t="n">
        <f>IF(OR(D80="",E80=""),"",E80/D80)</f>
        <v>0.000002540740740740741</v>
      </c>
      <c r="G80" s="136" t="n">
        <f>IF(OR($D$55="",NOT(ISNUMBER(F80))),"",F80*$D$55)</f>
        <v>0.0063054347027562295</v>
      </c>
      <c r="H80" s="145" t="n">
        <f>IF(NOT(ISNUMBER(F80)),"",F80*$D$45)</f>
        <v>2540.740740740741</v>
      </c>
      <c r="I80" s="145" t="n">
        <f>IF(OR($D$55="",NOT(ISNUMBER(H80))),"",H80*$D$55)</f>
        <v>6305434.70275623</v>
      </c>
      <c r="J80" s="145" t="n">
        <f>IF(E80="","",MAX(0,E80-$G$44))</f>
        <v>42.46666666666667</v>
      </c>
      <c r="K80" s="145" t="n">
        <f>IF(D80="","",$G$50/($G$48-MAX(0,(C80-$G$43)*$D$45)/(1-$G$42-$J$7))-$G$44)</f>
        <v>47.775000000000006</v>
      </c>
      <c r="L80" s="148" t="n">
        <f>IF(K80="","",$J$41+K80)</f>
        <v>52.01742424242425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13367346.938775495</v>
      </c>
      <c r="E81" s="145" t="n">
        <f>IF(D81="","",$G$50/D81)</f>
        <v>64.12213740458023</v>
      </c>
      <c r="F81" s="136" t="n">
        <f>IF(OR(D81="",E81=""),"",E81/D81)</f>
        <v>0.000004796923256220511</v>
      </c>
      <c r="G81" s="136" t="n">
        <f>IF(OR($D$55="",NOT(ISNUMBER(F81))),"",F81*$D$55)</f>
        <v>0.011904672476504998</v>
      </c>
      <c r="H81" s="145" t="n">
        <f>IF(NOT(ISNUMBER(F81)),"",F81*$D$45)</f>
        <v>4796.923256220511</v>
      </c>
      <c r="I81" s="145" t="n">
        <f>IF(OR($D$55="",NOT(ISNUMBER(H81))),"",H81*$D$55)</f>
        <v>11904672.476504998</v>
      </c>
      <c r="J81" s="145" t="n">
        <f>IF(E81="","",MAX(0,E81-$G$44))</f>
        <v>59.922137404580226</v>
      </c>
      <c r="K81" s="145" t="n">
        <f>IF(D81="","",$G$50/($G$48-MAX(0,(C81-$G$43)*$D$45)/(1-$G$42-$J$7))-$G$44)</f>
        <v>70.71891891891889</v>
      </c>
      <c r="L81" s="148" t="n">
        <f>IF(K81="","",$J$41+K81)</f>
        <v>74.96134316134314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8367346.938775495</v>
      </c>
      <c r="E82" s="145" t="n">
        <f>IF(D82="","",$G$50/D82)</f>
        <v>102.4390243902441</v>
      </c>
      <c r="F82" s="136" t="n">
        <f>IF(OR(D82="",E82=""),"",E82/D82)</f>
        <v>0.000012242712671029196</v>
      </c>
      <c r="G82" s="136" t="n">
        <f>IF(OR($D$55="",NOT(ISNUMBER(F82))),"",F82*$D$55)</f>
        <v>0.03038311784195458</v>
      </c>
      <c r="H82" s="145" t="n">
        <f>IF(NOT(ISNUMBER(F82)),"",F82*$D$45)</f>
        <v>12242.712671029196</v>
      </c>
      <c r="I82" s="145" t="n">
        <f>IF(OR($D$55="",NOT(ISNUMBER(H82))),"",H82*$D$55)</f>
        <v>30383117.84195458</v>
      </c>
      <c r="J82" s="145" t="n">
        <f>IF(E82="","",MAX(0,E82-$G$44))</f>
        <v>98.2390243902441</v>
      </c>
      <c r="K82" s="145" t="n">
        <f>IF(D82="","",$G$50/($G$48-MAX(0,(C82-$G$43)*$D$45)/(1-$G$42-$J$7))-$G$44)</f>
        <v>129.92903225806486</v>
      </c>
      <c r="L82" s="148" t="n">
        <f>IF(K82="","",$J$41+K82)</f>
        <v>134.1714565004891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3367346.9387754947</v>
      </c>
      <c r="E83" s="145" t="n">
        <f>IF(D83="","",$G$50/D83)</f>
        <v>254.54545454545573</v>
      </c>
      <c r="F83" s="136" t="n">
        <f>IF(OR(D83="",E83=""),"",E83/D83)</f>
        <v>0.00007559228650137811</v>
      </c>
      <c r="G83" s="136" t="n">
        <f>IF(OR($D$55="",NOT(ISNUMBER(F83))),"",F83*$D$55)</f>
        <v>0.18759971016464988</v>
      </c>
      <c r="H83" s="145" t="n">
        <f>IF(NOT(ISNUMBER(F83)),"",F83*$D$45)</f>
        <v>75592.28650137811</v>
      </c>
      <c r="I83" s="145" t="n">
        <f>IF(OR($D$55="",NOT(ISNUMBER(H83))),"",H83*$D$55)</f>
        <v>187599710.16464987</v>
      </c>
      <c r="J83" s="145" t="n">
        <f>IF(E83="","",MAX(0,E83-$G$44))</f>
        <v>250.34545454545574</v>
      </c>
      <c r="K83" s="145" t="n">
        <f>IF(D83="","",$G$50/($G$48-MAX(0,(C83-$G$43)*$D$45)/(1-$G$42-$J$7))-$G$44)</f>
        <v>635.4923076923111</v>
      </c>
      <c r="L83" s="148" t="n">
        <f>IF(K83="","",$J$41+K83)</f>
        <v>639.7347319347354</v>
      </c>
    </row>
    <row r="84" ht="20" customHeight="1">
      <c r="A84"/>
      <c r="B84"/>
      <c r="C84" s="133" t="n">
        <v>0.918</v>
      </c>
      <c r="D84" s="145" t="str">
        <f>IF(C84&lt;$D$54,$D$45*(1-C84)-$G$51,"")</f>
      </c>
      <c r="E84" s="145" t="str">
        <f>IF(D84="","",$G$50/D84)</f>
      </c>
      <c r="F84" s="136" t="str">
        <f>IF(OR(D84="",E84=""),"",E84/D84)</f>
      </c>
      <c r="G84" s="136" t="str">
        <f>IF(OR($D$55="",NOT(ISNUMBER(F84))),"",F84*$D$55)</f>
      </c>
      <c r="H84" s="145" t="str">
        <f>IF(NOT(ISNUMBER(F84)),"",F84*$D$45)</f>
      </c>
      <c r="I84" s="145" t="str">
        <f>IF(OR($D$55="",NOT(ISNUMBER(H84))),"",H84*$D$55)</f>
      </c>
      <c r="J84" s="145" t="str">
        <f>IF(E84="","",MAX(0,E84-$G$44))</f>
      </c>
      <c r="K84" s="145" t="str">
        <f>IF(D84="","",$G$50/($G$48-MAX(0,(C84-$G$43)*$D$45)/(1-$G$42-$J$7))-$G$44)</f>
      </c>
      <c r="L84" s="148" t="str">
        <f>IF(K84="","",$J$41+K84)</f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IF(D85="","",$G$50/($G$48-MAX(0,(C85-$G$43)*$D$45)/(1-$G$42-$J$7))-$G$44)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4.2</v>
      </c>
      <c r="F90" s="135" t="n">
        <f>IF(OR(D90="",E90=""),"",E90/D90)</f>
        <v>2.0580000000000003e-8</v>
      </c>
      <c r="G90" s="135" t="n">
        <f>IF(OR($D$55="",NOT(ISNUMBER(F90))),"",F90*$D$55)</f>
        <v>0.00005107402109232546</v>
      </c>
      <c r="H90" s="144" t="n">
        <f>IF(NOT(ISNUMBER(F90)),"",F90*$D$45)</f>
        <v>20.580000000000002</v>
      </c>
      <c r="I90" s="144" t="n">
        <f>IF(OR($D$55="",NOT(ISNUMBER(H90))),"",H90*$D$55)</f>
        <v>51074.02109232546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3.9252336448598117</v>
      </c>
      <c r="F91" s="136" t="n">
        <f>IF(OR(D91="",E91=""),"",E91/D91)</f>
        <v>1.797536902786268e-8</v>
      </c>
      <c r="G91" s="136" t="n">
        <f>IF(OR($D$55="",NOT(ISNUMBER(F91))),"",F91*$D$55)</f>
        <v>0.0000446100280306799</v>
      </c>
      <c r="H91" s="145" t="n">
        <f>IF(NOT(ISNUMBER(F91)),"",F91*$D$45)</f>
        <v>17.97536902786268</v>
      </c>
      <c r="I91" s="145" t="n">
        <f>IF(OR($D$55="",NOT(ISNUMBER(H91))),"",H91*$D$55)</f>
        <v>44610.028030679896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2.692307692307692</v>
      </c>
      <c r="F92" s="136" t="n">
        <f>IF(OR(D92="",E92=""),"",E92/D92)</f>
        <v>8.456607495069032e-9</v>
      </c>
      <c r="G92" s="136" t="n">
        <f>IF(OR($D$55="",NOT(ISNUMBER(F92))),"",F92*$D$55)</f>
        <v>0.000020987023788759636</v>
      </c>
      <c r="H92" s="145" t="n">
        <f>IF(NOT(ISNUMBER(F92)),"",F92*$D$45)</f>
        <v>8.456607495069033</v>
      </c>
      <c r="I92" s="145" t="n">
        <f>IF(OR($D$55="",NOT(ISNUMBER(H92))),"",H92*$D$55)</f>
        <v>20987.023788759638</v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2.048780487804878</v>
      </c>
      <c r="F93" s="136" t="n">
        <f>IF(OR(D93="",E93=""),"",E93/D93)</f>
        <v>4.89708506841166e-9</v>
      </c>
      <c r="G93" s="136" t="n">
        <f>IF(OR($D$55="",NOT(ISNUMBER(F93))),"",F93*$D$55)</f>
        <v>0.000012153247136781787</v>
      </c>
      <c r="H93" s="145" t="n">
        <f>IF(NOT(ISNUMBER(F93)),"",F93*$D$45)</f>
        <v>4.89708506841166</v>
      </c>
      <c r="I93" s="145" t="n">
        <f>IF(OR($D$55="",NOT(ISNUMBER(H93))),"",H93*$D$55)</f>
        <v>12153.247136781787</v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1.6535433070866141</v>
      </c>
      <c r="F94" s="136" t="n">
        <f>IF(OR(D94="",E94=""),"",E94/D94)</f>
        <v>3.189906379812759e-9</v>
      </c>
      <c r="G94" s="136" t="n">
        <f>IF(OR($D$55="",NOT(ISNUMBER(F94))),"",F94*$D$55)</f>
        <v>0.000007916489102288648</v>
      </c>
      <c r="H94" s="145" t="n">
        <f>IF(NOT(ISNUMBER(F94)),"",F94*$D$45)</f>
        <v>3.189906379812759</v>
      </c>
      <c r="I94" s="145" t="n">
        <f>IF(OR($D$55="",NOT(ISNUMBER(H94))),"",H94*$D$55)</f>
        <v>7916.4891022886495</v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1.3861386138613863</v>
      </c>
      <c r="F95" s="136" t="n">
        <f>IF(OR(D95="",E95=""),"",E95/D95)</f>
        <v>2.2416102996438257e-9</v>
      </c>
      <c r="G95" s="136" t="n">
        <f>IF(OR($D$55="",NOT(ISNUMBER(F95))),"",F95*$D$55)</f>
        <v>0.000005563073456014711</v>
      </c>
      <c r="H95" s="145" t="n">
        <f>IF(NOT(ISNUMBER(F95)),"",F95*$D$45)</f>
        <v>2.241610299643826</v>
      </c>
      <c r="I95" s="145" t="n">
        <f>IF(OR($D$55="",NOT(ISNUMBER(H95))),"",H95*$D$55)</f>
        <v>5563.073456014711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1.1931818181818181</v>
      </c>
      <c r="F96" s="136" t="n">
        <f>IF(OR(D96="",E96=""),"",E96/D96)</f>
        <v>1.6609633264462809e-9</v>
      </c>
      <c r="G96" s="136" t="n">
        <f>IF(OR($D$55="",NOT(ISNUMBER(F96))),"",F96*$D$55)</f>
        <v>0.000004122063944047444</v>
      </c>
      <c r="H96" s="145" t="n">
        <f>IF(NOT(ISNUMBER(F96)),"",F96*$D$45)</f>
        <v>1.6609633264462809</v>
      </c>
      <c r="I96" s="145" t="n">
        <f>IF(OR($D$55="",NOT(ISNUMBER(H96))),"",H96*$D$55)</f>
        <v>4122.063944047444</v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1.0473815461346634</v>
      </c>
      <c r="F97" s="136" t="n">
        <f>IF(OR(D97="",E97=""),"",E97/D97)</f>
        <v>1.2798427870473443e-9</v>
      </c>
      <c r="G97" s="136" t="n">
        <f>IF(OR($D$55="",NOT(ISNUMBER(F97))),"",F97*$D$55)</f>
        <v>0.0000031762253401611592</v>
      </c>
      <c r="H97" s="145" t="n">
        <f>IF(NOT(ISNUMBER(F97)),"",F97*$D$45)</f>
        <v>1.2798427870473443</v>
      </c>
      <c r="I97" s="145" t="n">
        <f>IF(OR($D$55="",NOT(ISNUMBER(H97))),"",H97*$D$55)</f>
        <v>3176.2253401611597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0.9333333333333333</v>
      </c>
      <c r="F98" s="137" t="n">
        <f>IF(OR(D98="",E98=""),"",E98/D98)</f>
        <v>1.0162962962962963e-9</v>
      </c>
      <c r="G98" s="137" t="n">
        <f>IF(OR($D$55="",NOT(ISNUMBER(F98))),"",F98*$D$55)</f>
        <v>0.0000025221738811024916</v>
      </c>
      <c r="H98" s="146" t="n">
        <f>IF(NOT(ISNUMBER(F98)),"",F98*$D$45)</f>
        <v>1.0162962962962963</v>
      </c>
      <c r="I98" s="146" t="n">
        <f>IF(OR($D$55="",NOT(ISNUMBER(H98))),"",H98*$D$55)</f>
        <v>2522.1738811024916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0.9333333333333333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费用始终按 Quote leg 计收；Hook 暂存的 Meme 费用会转换回 Quote。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