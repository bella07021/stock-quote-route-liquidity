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1650d85764c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4814a66d1064eec"/>
    <x:sheet xmlns:r="http://schemas.openxmlformats.org/officeDocument/2006/relationships" name="Quote参数" sheetId="2" r:id="Rb96d4fcf946144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73f28822ad4401" /><Relationship Type="http://schemas.openxmlformats.org/officeDocument/2006/relationships/theme" Target="/xl/theme/theme1.xml" Id="R045d169d0b6540aa" /><Relationship Type="http://schemas.openxmlformats.org/officeDocument/2006/relationships/sharedStrings" Target="/xl/sharedStrings.xml" Id="R49c4c7773d5b4d6f" /><Relationship Type="http://schemas.openxmlformats.org/officeDocument/2006/relationships/worksheet" Target="/xl/worksheets/sheet1.xml" Id="R74814a66d1064eec" /><Relationship Type="http://schemas.openxmlformats.org/officeDocument/2006/relationships/worksheet" Target="/xl/worksheets/sheet2.xml" Id="Rb96d4fcf946144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15773.425525779472</v>
      </c>
      <c r="E18" s="62" t="str">
        <f>$D$7</f>
        <v>SLV</v>
      </c>
      <c r="F18" s="107" t="str">
        <v>原生币 Gas 储备</v>
      </c>
      <c r="G18" s="74" t="n">
        <f>$D$53*MAX(0,$G$11)</f>
        <v>0.61</v>
      </c>
      <c r="H18" s="62" t="str">
        <v>ETH</v>
      </c>
      <c r="I18" s="107" t="str">
        <v>总折算 / USDT</v>
      </c>
      <c r="J18" s="121" t="str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str">
        <f>IF(ISNUMBER($D$18),IF($D$18=0,0,IF($D$55&gt;0,$D$18*$D$55,"")),"")</f>
      </c>
      <c r="E19" s="106" t="str">
        <v>USDT</v>
      </c>
      <c r="F19" s="107" t="str">
        <v>Gas 折算 / USDT</v>
      </c>
      <c r="G19" s="122" t="n">
        <f>IF($G$18=0,0,IF($J$19="","",$G$18*$J$19))</f>
        <v>1513.8558244080918</v>
      </c>
      <c r="H19" s="106" t="str">
        <v>USDT</v>
      </c>
      <c r="I19" s="107" t="str">
        <v>原生币价格 / USDT</v>
      </c>
      <c r="J19" s="123" t="n">
        <f>IF($D$7="ETH",$D$55,IF(VLOOKUP("ETH",'Quote参数'!$E$9:$S$62,15,FALSE)&gt;0,VLOOKUP("ETH",'Quote参数'!$E$9:$S$62,15,FALSE),""))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5520.084846424523</v>
      </c>
      <c r="E22" s="106" t="str">
        <f>$D$7</f>
        <v>SLV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174.54190618125045</v>
      </c>
      <c r="E23" s="106" t="str">
        <f>$D$7</f>
        <v>SLV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10073.7987731737</v>
      </c>
      <c r="E24" s="106" t="str">
        <f>$D$7</f>
        <v>SLV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5</v>
      </c>
      <c r="E25" s="106" t="str">
        <f>$D$7</f>
        <v>SLV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恢复目标控筹资金</v>
      </c>
      <c r="D26" s="122" t="n">
        <f>IF(LEFT($D$51,2)&lt;&gt;"可达","",0)</f>
        <v>0</v>
      </c>
      <c r="E26" s="106" t="str">
        <f>$D$7</f>
        <v>SLV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38.399219359875104</v>
      </c>
      <c r="H37" s="127" t="str">
        <f>$D$7</f>
        <v>SLV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 t="str">
        <f>VLOOKUP($D$7,'Quote参数'!$E$9:$J$62,2,FALSE)</f>
        <v>iShares Silver Trust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174.54190618125045</v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 t="str">
        <f>VLOOKUP($D$7,'Quote参数'!$E$9:$J$62,3,FALSE)</f>
        <v>​0x411efb0e7f985935daec3d4c3ebaea0d0ad7d89f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8367346.938775495</v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4214.548466327764</v>
      </c>
      <c r="K43" s="107"/>
      <c r="L43" s="107"/>
    </row>
    <row r="44" ht="30" customHeight="1" outlineLevel="1" hidden="1">
      <c r="A44"/>
      <c r="B44"/>
      <c r="C44" s="107" t="str">
        <v>Decimals</v>
      </c>
      <c r="D44" s="110" t="n">
        <f>VLOOKUP($D$7,'Quote参数'!$E$9:$J$62,4,FALSE)</f>
        <v>18</v>
      </c>
      <c r="E44" s="107"/>
      <c r="F44" s="107" t="str">
        <v>毕业真实 Quote</v>
      </c>
      <c r="G44" s="108" t="n">
        <f>VLOOKUP($D$7,'Quote参数'!$E$9:$J$62,6,FALSE)</f>
        <v>172.79648711943796</v>
      </c>
      <c r="H44" s="107"/>
      <c r="I44" s="107" t="str">
        <v>外盘净增加 / Quote</v>
      </c>
      <c r="J44" s="108" t="n">
        <f>IF($J$43="","",MAX(0,$J$43-$G$44))</f>
        <v>4041.751979208326</v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IF($J$42="","",$G$50/($G$48-MAX(0,($D$52-$G$43)*$D$45)/(1-$G$42-$J$7))-$G$44)</f>
        <v>5345.542940243272</v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 t="n">
        <f>VLOOKUP($D$7,'Quote参数'!$E$9:$P$62,12,FALSE)</f>
        <v>54430299</v>
      </c>
      <c r="E46" s="107"/>
      <c r="F46" s="107" t="str">
        <v>phantom Quote</v>
      </c>
      <c r="G46" s="108" t="n">
        <f>VLOOKUP($D$7,'Quote参数'!$E$9:$J$62,5,FALSE)</f>
        <v>69.11859484777517</v>
      </c>
      <c r="H46" s="107"/>
      <c r="I46" s="107" t="str">
        <v>目标+1% FDV / Quote</v>
      </c>
      <c r="J46" s="108" t="n">
        <f>IF($J$43="","",$J$43/$J$42*$D$45)</f>
        <v>503689.93865868496</v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69118594847.77518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204081632.65306124</v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172.79648711943796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 t="n">
        <f>$G$48*$G$44</f>
        <v>35264589208.04857</v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81632653.06122448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 t="n">
        <f>MAX(0,$G$8)*MAX(0,$G$7)+MAX(0,$G$9)+MAX(0,$G$10)</f>
        <v>122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 t="n">
        <f>MIN(1-$G$51/$D$45,$G$43+(1-$G$42-$J$7)*$G$48/$D$45)</f>
        <v>0.916326530612245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 t="str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缺少价格</v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 t="n">
        <f>IF(VLOOKUP($D$7,'Quote参数'!$E$9:$T$62,16,FALSE)=0,"",VLOOKUP($D$7,'Quote参数'!$E$9:$T$62,16,FALSE))</f>
        <v>46283.229019363425</v>
      </c>
      <c r="E56" s="107"/>
      <c r="F56" s="107"/>
      <c r="G56" s="108"/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69.11859484777517</v>
      </c>
      <c r="F59" s="135" t="n">
        <f>IF(OR(D59="",E59=""),"",E59/D59)</f>
        <v>6.911859484777517e-8</v>
      </c>
      <c r="G59" s="135" t="str">
        <f>IF(OR($D$55="",NOT(ISNUMBER(F59))),"",F59*$D$55)</f>
      </c>
      <c r="H59" s="144" t="n">
        <f>IF(NOT(ISNUMBER(F59)),"",F59*$D$45)</f>
        <v>69.11859484777517</v>
      </c>
      <c r="I59" s="144" t="str">
        <f>IF(OR($D$55="",NOT(ISNUMBER(H59))),"",H59*$D$55)</f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76.7984387197502</v>
      </c>
      <c r="F60" s="136" t="n">
        <f>IF(OR(D60="",E60=""),"",E60/D60)</f>
        <v>8.533159857750022e-8</v>
      </c>
      <c r="G60" s="136" t="str">
        <f>IF(OR($D$55="",NOT(ISNUMBER(F60))),"",F60*$D$55)</f>
      </c>
      <c r="H60" s="145" t="n">
        <f>IF(NOT(ISNUMBER(F60)),"",F60*$D$45)</f>
        <v>85.33159857750022</v>
      </c>
      <c r="I60" s="145" t="str">
        <f>IF(OR($D$55="",NOT(ISNUMBER(H60))),"",H60*$D$55)</f>
      </c>
      <c r="J60" s="145" t="n">
        <f>E60-E59</f>
        <v>7.679843871975024</v>
      </c>
      <c r="K60" s="145" t="n">
        <f>J60/(1-$G$41-$J$7)</f>
        <v>7.757418052500024</v>
      </c>
      <c r="L60" s="148" t="n">
        <f>SUM($K$59:K60)</f>
        <v>7.757418052500024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86.39824355971898</v>
      </c>
      <c r="F61" s="136" t="n">
        <f>IF(OR(D61="",E61=""),"",E61/D61)</f>
        <v>1.0799780444964873e-7</v>
      </c>
      <c r="G61" s="136" t="str">
        <f>IF(OR($D$55="",NOT(ISNUMBER(F61))),"",F61*$D$55)</f>
      </c>
      <c r="H61" s="145" t="n">
        <f>IF(NOT(ISNUMBER(F61)),"",F61*$D$45)</f>
        <v>107.99780444964873</v>
      </c>
      <c r="I61" s="145" t="str">
        <f>IF(OR($D$55="",NOT(ISNUMBER(H61))),"",H61*$D$55)</f>
      </c>
      <c r="J61" s="145" t="n">
        <f>E61-E60</f>
        <v>9.599804839968783</v>
      </c>
      <c r="K61" s="145" t="n">
        <f>J61/(1-$G$41-$J$7)</f>
        <v>9.696772565625034</v>
      </c>
      <c r="L61" s="148" t="n">
        <f>SUM($K$59:K61)</f>
        <v>17.454190618125057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98.74084978253596</v>
      </c>
      <c r="F62" s="136" t="n">
        <f>IF(OR(D62="",E62=""),"",E62/D62)</f>
        <v>1.4105835683219424e-7</v>
      </c>
      <c r="G62" s="136" t="str">
        <f>IF(OR($D$55="",NOT(ISNUMBER(F62))),"",F62*$D$55)</f>
      </c>
      <c r="H62" s="145" t="n">
        <f>IF(NOT(ISNUMBER(F62)),"",F62*$D$45)</f>
        <v>141.05835683219425</v>
      </c>
      <c r="I62" s="145" t="str">
        <f>IF(OR($D$55="",NOT(ISNUMBER(H62))),"",H62*$D$55)</f>
      </c>
      <c r="J62" s="145" t="n">
        <f>E62-E61</f>
        <v>12.342606222816983</v>
      </c>
      <c r="K62" s="145" t="n">
        <f>J62/(1-$G$41-$J$7)</f>
        <v>12.467279012946447</v>
      </c>
      <c r="L62" s="148" t="n">
        <f>SUM($K$59:K62)</f>
        <v>29.921469631071503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115.1976580796253</v>
      </c>
      <c r="F63" s="136" t="n">
        <f>IF(OR(D63="",E63=""),"",E63/D63)</f>
        <v>1.919960967993755e-7</v>
      </c>
      <c r="G63" s="136" t="str">
        <f>IF(OR($D$55="",NOT(ISNUMBER(F63))),"",F63*$D$55)</f>
      </c>
      <c r="H63" s="145" t="n">
        <f>IF(NOT(ISNUMBER(F63)),"",F63*$D$45)</f>
        <v>191.99609679937552</v>
      </c>
      <c r="I63" s="145" t="str">
        <f>IF(OR($D$55="",NOT(ISNUMBER(H63))),"",H63*$D$55)</f>
      </c>
      <c r="J63" s="145" t="n">
        <f>E63-E62</f>
        <v>16.45680829708934</v>
      </c>
      <c r="K63" s="145" t="n">
        <f>J63/(1-$G$41-$J$7)</f>
        <v>16.623038683928623</v>
      </c>
      <c r="L63" s="148" t="n">
        <f>SUM($K$59:K63)</f>
        <v>46.54450831500013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138.23718969555034</v>
      </c>
      <c r="F64" s="136" t="n">
        <f>IF(OR(D64="",E64=""),"",E64/D64)</f>
        <v>2.7647437939110067e-7</v>
      </c>
      <c r="G64" s="136" t="str">
        <f>IF(OR($D$55="",NOT(ISNUMBER(F64))),"",F64*$D$55)</f>
      </c>
      <c r="H64" s="145" t="n">
        <f>IF(NOT(ISNUMBER(F64)),"",F64*$D$45)</f>
        <v>276.4743793911007</v>
      </c>
      <c r="I64" s="145" t="str">
        <f>IF(OR($D$55="",NOT(ISNUMBER(H64))),"",H64*$D$55)</f>
      </c>
      <c r="J64" s="145" t="n">
        <f>E64-E63</f>
        <v>23.039531615925043</v>
      </c>
      <c r="K64" s="145" t="n">
        <f>J64/(1-$G$41-$J$7)</f>
        <v>23.272254157500043</v>
      </c>
      <c r="L64" s="148" t="n">
        <f>SUM($K$59:K64)</f>
        <v>69.81676247250017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172.79648711943796</v>
      </c>
      <c r="F65" s="136" t="n">
        <f>IF(OR(D65="",E65=""),"",E65/D65)</f>
        <v>4.319912177985949e-7</v>
      </c>
      <c r="G65" s="136" t="str">
        <f>IF(OR($D$55="",NOT(ISNUMBER(F65))),"",F65*$D$55)</f>
      </c>
      <c r="H65" s="145" t="n">
        <f>IF(NOT(ISNUMBER(F65)),"",F65*$D$45)</f>
        <v>431.9912177985949</v>
      </c>
      <c r="I65" s="145" t="str">
        <f>IF(OR($D$55="",NOT(ISNUMBER(H65))),"",H65*$D$55)</f>
      </c>
      <c r="J65" s="145" t="n">
        <f>E65-E64</f>
        <v>34.559297423887614</v>
      </c>
      <c r="K65" s="145" t="n">
        <f>J65/(1-$G$41-$J$7)</f>
        <v>34.908381236250115</v>
      </c>
      <c r="L65" s="148" t="n">
        <f>SUM($K$59:K65)</f>
        <v>104.7251437087503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230.39531615925054</v>
      </c>
      <c r="F66" s="136" t="n">
        <f>IF(OR(D66="",E66=""),"",E66/D66)</f>
        <v>7.679843871975016e-7</v>
      </c>
      <c r="G66" s="136" t="str">
        <f>IF(OR($D$55="",NOT(ISNUMBER(F66))),"",F66*$D$55)</f>
      </c>
      <c r="H66" s="145" t="n">
        <f>IF(NOT(ISNUMBER(F66)),"",F66*$D$45)</f>
        <v>767.9843871975016</v>
      </c>
      <c r="I66" s="145" t="str">
        <f>IF(OR($D$55="",NOT(ISNUMBER(H66))),"",H66*$D$55)</f>
      </c>
      <c r="J66" s="145" t="n">
        <f>E66-E65</f>
        <v>57.598829039812586</v>
      </c>
      <c r="K66" s="145" t="n">
        <f>J66/(1-$G$41-$J$7)</f>
        <v>58.18063539375009</v>
      </c>
      <c r="L66" s="148" t="n">
        <f>SUM($K$59:K66)</f>
        <v>162.9057791025004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241.91508196721315</v>
      </c>
      <c r="F67" s="137" t="n">
        <f>IF(OR(D67="",E67=""),"",E67/D67)</f>
        <v>8.467027868852461e-7</v>
      </c>
      <c r="G67" s="137" t="str">
        <f>IF(OR($D$55="",NOT(ISNUMBER(F67))),"",F67*$D$55)</f>
      </c>
      <c r="H67" s="146" t="n">
        <f>IF(NOT(ISNUMBER(F67)),"",F67*$D$45)</f>
        <v>846.7027868852462</v>
      </c>
      <c r="I67" s="146" t="str">
        <f>IF(OR($D$55="",NOT(ISNUMBER(H67))),"",H67*$D$55)</f>
      </c>
      <c r="J67" s="146" t="n">
        <f>E67-E66</f>
        <v>11.519765807962614</v>
      </c>
      <c r="K67" s="146" t="n">
        <f>J67/(1-$G$41-$J$7)</f>
        <v>11.636127078750116</v>
      </c>
      <c r="L67" s="149" t="n">
        <f>SUM($K$59:K67)</f>
        <v>174.5419061812505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204081632.65306124</v>
      </c>
      <c r="E72" s="144" t="n">
        <f>$G$44</f>
        <v>172.79648711943796</v>
      </c>
      <c r="F72" s="135" t="n">
        <f>IF(OR(D72="",E72=""),"",E72/D72)</f>
        <v>8.467027868852459e-7</v>
      </c>
      <c r="G72" s="135" t="str">
        <f>IF(OR($D$55="",NOT(ISNUMBER(F72))),"",F72*$D$55)</f>
      </c>
      <c r="H72" s="144" t="n">
        <f>IF(NOT(ISNUMBER(F72)),"",F72*$D$45)</f>
        <v>846.7027868852459</v>
      </c>
      <c r="I72" s="144" t="str">
        <f>IF(OR($D$55="",NOT(ISNUMBER(H72))),"",H72*$D$55)</f>
      </c>
      <c r="J72" s="144" t="n">
        <f>0</f>
        <v>0</v>
      </c>
      <c r="K72" s="144" t="n">
        <f>0</f>
        <v>0</v>
      </c>
      <c r="L72" s="147" t="n">
        <f>$J$41</f>
        <v>174.54190618125045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168367346.93877554</v>
      </c>
      <c r="E73" s="145" t="n">
        <f>IF(D73="","",$G$50/D73)</f>
        <v>209.45028741750056</v>
      </c>
      <c r="F73" s="136" t="n">
        <f>IF(OR(D73="",E73=""),"",E73/D73)</f>
        <v>0.0000012440077676918213</v>
      </c>
      <c r="G73" s="136" t="str">
        <f>IF(OR($D$55="",NOT(ISNUMBER(F73))),"",F73*$D$55)</f>
      </c>
      <c r="H73" s="145" t="n">
        <f>IF(NOT(ISNUMBER(F73)),"",F73*$D$45)</f>
        <v>1244.0077676918213</v>
      </c>
      <c r="I73" s="145" t="str">
        <f>IF(OR($D$55="",NOT(ISNUMBER(H73))),"",H73*$D$55)</f>
      </c>
      <c r="J73" s="145" t="n">
        <f>IF(E73="","",MAX(0,E73-$G$44))</f>
        <v>36.653800298062606</v>
      </c>
      <c r="K73" s="145" t="n">
        <f>IF(D73="","",$G$50/($G$48-MAX(0,(C73-$G$43)*$D$45)/(1-$G$42-$J$7))-$G$44)</f>
        <v>37.103540179020456</v>
      </c>
      <c r="L73" s="148" t="n">
        <f>IF(K73="","",$J$41+K73)</f>
        <v>211.6454463602709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118367346.9387755</v>
      </c>
      <c r="E74" s="145" t="n">
        <f>IF(D74="","",$G$50/D74)</f>
        <v>297.9249777921345</v>
      </c>
      <c r="F74" s="136" t="n">
        <f>IF(OR(D74="",E74=""),"",E74/D74)</f>
        <v>0.0000025169523985887227</v>
      </c>
      <c r="G74" s="136" t="str">
        <f>IF(OR($D$55="",NOT(ISNUMBER(F74))),"",F74*$D$55)</f>
      </c>
      <c r="H74" s="145" t="n">
        <f>IF(NOT(ISNUMBER(F74)),"",F74*$D$45)</f>
        <v>2516.9523985887226</v>
      </c>
      <c r="I74" s="145" t="str">
        <f>IF(OR($D$55="",NOT(ISNUMBER(H74))),"",H74*$D$55)</f>
      </c>
      <c r="J74" s="145" t="n">
        <f>IF(E74="","",MAX(0,E74-$G$44))</f>
        <v>125.12849067269653</v>
      </c>
      <c r="K74" s="145" t="n">
        <f>IF(D74="","",$G$50/($G$48-MAX(0,(C74-$G$43)*$D$45)/(1-$G$42-$J$7))-$G$44)</f>
        <v>127.32372735116493</v>
      </c>
      <c r="L74" s="148" t="n">
        <f>IF(K74="","",$J$41+K74)</f>
        <v>301.86563353241536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98367346.93877558</v>
      </c>
      <c r="E75" s="145" t="n">
        <f>IF(D75="","",$G$50/D75)</f>
        <v>358.4989359324437</v>
      </c>
      <c r="F75" s="136" t="n">
        <f>IF(OR(D75="",E75=""),"",E75/D75)</f>
        <v>0.000003644491257404508</v>
      </c>
      <c r="G75" s="136" t="str">
        <f>IF(OR($D$55="",NOT(ISNUMBER(F75))),"",F75*$D$55)</f>
      </c>
      <c r="H75" s="145" t="n">
        <f>IF(NOT(ISNUMBER(F75)),"",F75*$D$45)</f>
        <v>3644.4912574045084</v>
      </c>
      <c r="I75" s="145" t="str">
        <f>IF(OR($D$55="",NOT(ISNUMBER(H75))),"",H75*$D$55)</f>
      </c>
      <c r="J75" s="145" t="n">
        <f>IF(E75="","",MAX(0,E75-$G$44))</f>
        <v>185.70244881300576</v>
      </c>
      <c r="K75" s="145" t="n">
        <f>IF(D75="","",$G$50/($G$48-MAX(0,(C75-$G$43)*$D$45)/(1-$G$42-$J$7))-$G$44)</f>
        <v>189.63682272853552</v>
      </c>
      <c r="L75" s="148" t="n">
        <f>IF(K75="","",$J$41+K75)</f>
        <v>364.17872890978595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78367346.93877555</v>
      </c>
      <c r="E76" s="145" t="n">
        <f>IF(D76="","",$G$50/D76)</f>
        <v>449.99085187353614</v>
      </c>
      <c r="F76" s="136" t="n">
        <f>IF(OR(D76="",E76=""),"",E76/D76)</f>
        <v>0.000005742070766094599</v>
      </c>
      <c r="G76" s="136" t="str">
        <f>IF(OR($D$55="",NOT(ISNUMBER(F76))),"",F76*$D$55)</f>
      </c>
      <c r="H76" s="145" t="n">
        <f>IF(NOT(ISNUMBER(F76)),"",F76*$D$45)</f>
        <v>5742.070766094599</v>
      </c>
      <c r="I76" s="145" t="str">
        <f>IF(OR($D$55="",NOT(ISNUMBER(H76))),"",H76*$D$55)</f>
      </c>
      <c r="J76" s="145" t="n">
        <f>IF(E76="","",MAX(0,E76-$G$44))</f>
        <v>277.19436475409816</v>
      </c>
      <c r="K76" s="145" t="n">
        <f>IF(D76="","",$G$50/($G$48-MAX(0,(C76-$G$43)*$D$45)/(1-$G$42-$J$7))-$G$44)</f>
        <v>284.6059787849564</v>
      </c>
      <c r="L76" s="148" t="n">
        <f>IF(K76="","",$J$41+K76)</f>
        <v>459.14788496620685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58367346.938775524</v>
      </c>
      <c r="E77" s="145" t="n">
        <f>IF(D77="","",$G$50/D77)</f>
        <v>604.1835213966361</v>
      </c>
      <c r="F77" s="136" t="n">
        <f>IF(OR(D77="",E77=""),"",E77/D77)</f>
        <v>0.00001035139599595635</v>
      </c>
      <c r="G77" s="136" t="str">
        <f>IF(OR($D$55="",NOT(ISNUMBER(F77))),"",F77*$D$55)</f>
      </c>
      <c r="H77" s="145" t="n">
        <f>IF(NOT(ISNUMBER(F77)),"",F77*$D$45)</f>
        <v>10351.39599595635</v>
      </c>
      <c r="I77" s="145" t="str">
        <f>IF(OR($D$55="",NOT(ISNUMBER(H77))),"",H77*$D$55)</f>
      </c>
      <c r="J77" s="145" t="n">
        <f>IF(E77="","",MAX(0,E77-$G$44))</f>
        <v>431.38703427719815</v>
      </c>
      <c r="K77" s="145" t="n">
        <f>IF(D77="","",$G$50/($G$48-MAX(0,(C77-$G$43)*$D$45)/(1-$G$42-$J$7))-$G$44)</f>
        <v>447.0169992872412</v>
      </c>
      <c r="L77" s="148" t="n">
        <f>IF(K77="","",$J$41+K77)</f>
        <v>621.5589054684917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38367346.938775524</v>
      </c>
      <c r="E78" s="145" t="n">
        <f>IF(D78="","",$G$50/D78)</f>
        <v>919.1302506353081</v>
      </c>
      <c r="F78" s="136" t="n">
        <f>IF(OR(D78="",E78=""),"",E78/D78)</f>
        <v>0.000023956054404856426</v>
      </c>
      <c r="G78" s="136" t="str">
        <f>IF(OR($D$55="",NOT(ISNUMBER(F78))),"",F78*$D$55)</f>
      </c>
      <c r="H78" s="145" t="n">
        <f>IF(NOT(ISNUMBER(F78)),"",F78*$D$45)</f>
        <v>23956.054404856426</v>
      </c>
      <c r="I78" s="145" t="str">
        <f>IF(OR($D$55="",NOT(ISNUMBER(H78))),"",H78*$D$55)</f>
      </c>
      <c r="J78" s="145" t="n">
        <f>IF(E78="","",MAX(0,E78-$G$44))</f>
        <v>746.3337635158701</v>
      </c>
      <c r="K78" s="145" t="n">
        <f>IF(D78="","",$G$50/($G$48-MAX(0,(C78-$G$43)*$D$45)/(1-$G$42-$J$7))-$G$44)</f>
        <v>788.2626266347389</v>
      </c>
      <c r="L78" s="148" t="n">
        <f>IF(K78="","",$J$41+K78)</f>
        <v>962.8045328159894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28367346.93877551</v>
      </c>
      <c r="E79" s="145" t="n">
        <f>IF(D79="","",$G$50/D79)</f>
        <v>1243.1401951038704</v>
      </c>
      <c r="F79" s="136" t="n">
        <f>IF(OR(D79="",E79=""),"",E79/D79)</f>
        <v>0.00004382292774107169</v>
      </c>
      <c r="G79" s="136" t="str">
        <f>IF(OR($D$55="",NOT(ISNUMBER(F79))),"",F79*$D$55)</f>
      </c>
      <c r="H79" s="145" t="n">
        <f>IF(NOT(ISNUMBER(F79)),"",F79*$D$45)</f>
        <v>43822.92774107169</v>
      </c>
      <c r="I79" s="145" t="str">
        <f>IF(OR($D$55="",NOT(ISNUMBER(H79))),"",H79*$D$55)</f>
      </c>
      <c r="J79" s="145" t="n">
        <f>IF(E79="","",MAX(0,E79-$G$44))</f>
        <v>1070.3437079844325</v>
      </c>
      <c r="K79" s="145" t="n">
        <f>IF(D79="","",$G$50/($G$48-MAX(0,(C79-$G$43)*$D$45)/(1-$G$42-$J$7))-$G$44)</f>
        <v>1153.31608844834</v>
      </c>
      <c r="L79" s="148" t="n">
        <f>IF(K79="","",$J$41+K79)</f>
        <v>1327.8579946295904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18367346.93877551</v>
      </c>
      <c r="E80" s="145" t="n">
        <f>IF(D80="","",$G$50/D80)</f>
        <v>1919.9609679937555</v>
      </c>
      <c r="F80" s="136" t="n">
        <f>IF(OR(D80="",E80=""),"",E80/D80)</f>
        <v>0.0001045312082574378</v>
      </c>
      <c r="G80" s="136" t="str">
        <f>IF(OR($D$55="",NOT(ISNUMBER(F80))),"",F80*$D$55)</f>
      </c>
      <c r="H80" s="145" t="n">
        <f>IF(NOT(ISNUMBER(F80)),"",F80*$D$45)</f>
        <v>104531.2082574378</v>
      </c>
      <c r="I80" s="145" t="str">
        <f>IF(OR($D$55="",NOT(ISNUMBER(H80))),"",H80*$D$55)</f>
      </c>
      <c r="J80" s="145" t="n">
        <f>IF(E80="","",MAX(0,E80-$G$44))</f>
        <v>1747.1644808743176</v>
      </c>
      <c r="K80" s="145" t="n">
        <f>IF(D80="","",$G$50/($G$48-MAX(0,(C80-$G$43)*$D$45)/(1-$G$42-$J$7))-$G$44)</f>
        <v>1965.5600409836077</v>
      </c>
      <c r="L80" s="148" t="n">
        <f>IF(K80="","",$J$41+K80)</f>
        <v>2140.1019471648583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13367346.938775495</v>
      </c>
      <c r="E81" s="145" t="n">
        <f>IF(D81="","",$G$50/D81)</f>
        <v>2638.1143071669953</v>
      </c>
      <c r="F81" s="136" t="n">
        <f>IF(OR(D81="",E81=""),"",E81/D81)</f>
        <v>0.00019735511610867622</v>
      </c>
      <c r="G81" s="136" t="str">
        <f>IF(OR($D$55="",NOT(ISNUMBER(F81))),"",F81*$D$55)</f>
      </c>
      <c r="H81" s="145" t="n">
        <f>IF(NOT(ISNUMBER(F81)),"",F81*$D$45)</f>
        <v>197355.11610867621</v>
      </c>
      <c r="I81" s="145" t="str">
        <f>IF(OR($D$55="",NOT(ISNUMBER(H81))),"",H81*$D$55)</f>
      </c>
      <c r="J81" s="145" t="n">
        <f>IF(E81="","",MAX(0,E81-$G$44))</f>
        <v>2465.3178200475572</v>
      </c>
      <c r="K81" s="145" t="n">
        <f>IF(D81="","",$G$50/($G$48-MAX(0,(C81-$G$43)*$D$45)/(1-$G$42-$J$7))-$G$44)</f>
        <v>2909.51922906513</v>
      </c>
      <c r="L81" s="148" t="n">
        <f>IF(K81="","",$J$41+K81)</f>
        <v>3084.06113524638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8367346.938775495</v>
      </c>
      <c r="E82" s="145" t="n">
        <f>IF(D82="","",$G$50/D82)</f>
        <v>4214.548466327764</v>
      </c>
      <c r="F82" s="136" t="n">
        <f>IF(OR(D82="",E82=""),"",E82/D82)</f>
        <v>0.0005036899386586849</v>
      </c>
      <c r="G82" s="136" t="str">
        <f>IF(OR($D$55="",NOT(ISNUMBER(F82))),"",F82*$D$55)</f>
      </c>
      <c r="H82" s="145" t="n">
        <f>IF(NOT(ISNUMBER(F82)),"",F82*$D$45)</f>
        <v>503689.93865868496</v>
      </c>
      <c r="I82" s="145" t="str">
        <f>IF(OR($D$55="",NOT(ISNUMBER(H82))),"",H82*$D$55)</f>
      </c>
      <c r="J82" s="145" t="n">
        <f>IF(E82="","",MAX(0,E82-$G$44))</f>
        <v>4041.751979208326</v>
      </c>
      <c r="K82" s="145" t="n">
        <f>IF(D82="","",$G$50/($G$48-MAX(0,(C82-$G$43)*$D$45)/(1-$G$42-$J$7))-$G$44)</f>
        <v>5345.542940243272</v>
      </c>
      <c r="L82" s="148" t="n">
        <f>IF(K82="","",$J$41+K82)</f>
        <v>5520.084846424523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3367346.9387754947</v>
      </c>
      <c r="E83" s="145" t="n">
        <f>IF(D83="","",$G$50/D83)</f>
        <v>10472.514370875078</v>
      </c>
      <c r="F83" s="136" t="n">
        <f>IF(OR(D83="",E83=""),"",E83/D83)</f>
        <v>0.0031100194192295832</v>
      </c>
      <c r="G83" s="136" t="str">
        <f>IF(OR($D$55="",NOT(ISNUMBER(F83))),"",F83*$D$55)</f>
      </c>
      <c r="H83" s="145" t="n">
        <f>IF(NOT(ISNUMBER(F83)),"",F83*$D$45)</f>
        <v>3110019.4192295833</v>
      </c>
      <c r="I83" s="145" t="str">
        <f>IF(OR($D$55="",NOT(ISNUMBER(H83))),"",H83*$D$55)</f>
      </c>
      <c r="J83" s="145" t="n">
        <f>IF(E83="","",MAX(0,E83-$G$44))</f>
        <v>10299.71788375564</v>
      </c>
      <c r="K83" s="145" t="n">
        <f>IF(D83="","",$G$50/($G$48-MAX(0,(C83-$G$43)*$D$45)/(1-$G$42-$J$7))-$G$44)</f>
        <v>26145.43770491818</v>
      </c>
      <c r="L83" s="148" t="n">
        <f>IF(K83="","",$J$41+K83)</f>
        <v>26319.97961109943</v>
      </c>
    </row>
    <row r="84" ht="20" customHeight="1">
      <c r="A84"/>
      <c r="B84"/>
      <c r="C84" s="133" t="n">
        <v>0.918</v>
      </c>
      <c r="D84" s="145" t="str">
        <f>IF(C84&lt;$D$54,$D$45*(1-C84)-$G$51,"")</f>
      </c>
      <c r="E84" s="145" t="str">
        <f>IF(D84="","",$G$50/D84)</f>
      </c>
      <c r="F84" s="136" t="str">
        <f>IF(OR(D84="",E84=""),"",E84/D84)</f>
      </c>
      <c r="G84" s="136" t="str">
        <f>IF(OR($D$55="",NOT(ISNUMBER(F84))),"",F84*$D$55)</f>
      </c>
      <c r="H84" s="145" t="str">
        <f>IF(NOT(ISNUMBER(F84)),"",F84*$D$45)</f>
      </c>
      <c r="I84" s="145" t="str">
        <f>IF(OR($D$55="",NOT(ISNUMBER(H84))),"",H84*$D$55)</f>
      </c>
      <c r="J84" s="145" t="str">
        <f>IF(E84="","",MAX(0,E84-$G$44))</f>
      </c>
      <c r="K84" s="145" t="str">
        <f>IF(D84="","",$G$50/($G$48-MAX(0,(C84-$G$43)*$D$45)/(1-$G$42-$J$7))-$G$44)</f>
      </c>
      <c r="L84" s="148" t="str">
        <f>IF(K84="","",$J$41+K84)</f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IF(D85="","",$G$50/($G$48-MAX(0,(C85-$G$43)*$D$45)/(1-$G$42-$J$7))-$G$44)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204081632.6530612</v>
      </c>
      <c r="E90" s="144" t="n">
        <f>$G$50/D90</f>
        <v>172.79648711943798</v>
      </c>
      <c r="F90" s="135" t="n">
        <f>IF(OR(D90="",E90=""),"",E90/D90)</f>
        <v>8.467027868852462e-7</v>
      </c>
      <c r="G90" s="135" t="str">
        <f>IF(OR($D$55="",NOT(ISNUMBER(F90))),"",F90*$D$55)</f>
      </c>
      <c r="H90" s="144" t="n">
        <f>IF(NOT(ISNUMBER(F90)),"",F90*$D$45)</f>
        <v>846.7027868852463</v>
      </c>
      <c r="I90" s="144" t="str">
        <f>IF(OR($D$55="",NOT(ISNUMBER(H90))),"",H90*$D$55)</f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218367346.9387756</v>
      </c>
      <c r="E91" s="145" t="n">
        <f>$G$50/D91</f>
        <v>161.49204403685786</v>
      </c>
      <c r="F91" s="136" t="n">
        <f>IF(OR(D91="",E91=""),"",E91/D91)</f>
        <v>7.395430054024329e-7</v>
      </c>
      <c r="G91" s="136" t="str">
        <f>IF(OR($D$55="",NOT(ISNUMBER(F91))),"",F91*$D$55)</f>
      </c>
      <c r="H91" s="145" t="n">
        <f>IF(NOT(ISNUMBER(F91)),"",F91*$D$45)</f>
        <v>739.5430054024329</v>
      </c>
      <c r="I91" s="145" t="str">
        <f>IF(OR($D$55="",NOT(ISNUMBER(H91))),"",H91*$D$55)</f>
      </c>
      <c r="J91" s="133" t="n">
        <f>IF($H$90&gt;0,1-H91/$H$90,0)</f>
        <v>0.12656127172678933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110.76697892271665</v>
      </c>
      <c r="F92" s="136" t="n">
        <f>IF(OR(D92="",E92=""),"",E92/D92)</f>
        <v>3.479219209751997e-7</v>
      </c>
      <c r="G92" s="136" t="str">
        <f>IF(OR($D$55="",NOT(ISNUMBER(F92))),"",F92*$D$55)</f>
      </c>
      <c r="H92" s="145" t="n">
        <f>IF(NOT(ISNUMBER(F92)),"",F92*$D$45)</f>
        <v>347.9219209751997</v>
      </c>
      <c r="I92" s="145" t="str">
        <f>IF(OR($D$55="",NOT(ISNUMBER(H92))),"",H92*$D$55)</f>
      </c>
      <c r="J92" s="133" t="n">
        <f>IF($H$90&gt;0,1-H92/$H$90,0)</f>
        <v>0.5890861275476661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84.29096932655511</v>
      </c>
      <c r="F93" s="136" t="n">
        <f>IF(OR(D93="",E93=""),"",E93/D93)</f>
        <v>2.0147597546347317e-7</v>
      </c>
      <c r="G93" s="136" t="str">
        <f>IF(OR($D$55="",NOT(ISNUMBER(F93))),"",F93*$D$55)</f>
      </c>
      <c r="H93" s="145" t="n">
        <f>IF(NOT(ISNUMBER(F93)),"",F93*$D$45)</f>
        <v>201.47597546347316</v>
      </c>
      <c r="I93" s="145" t="str">
        <f>IF(OR($D$55="",NOT(ISNUMBER(H93))),"",H93*$D$55)</f>
      </c>
      <c r="J93" s="133" t="n">
        <f>IF($H$90&gt;0,1-H93/$H$90,0)</f>
        <v>0.7620464009518144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68.03011303914882</v>
      </c>
      <c r="F94" s="136" t="n">
        <f>IF(OR(D94="",E94=""),"",E94/D94)</f>
        <v>1.3123919444560203e-7</v>
      </c>
      <c r="G94" s="136" t="str">
        <f>IF(OR($D$55="",NOT(ISNUMBER(F94))),"",F94*$D$55)</f>
      </c>
      <c r="H94" s="145" t="n">
        <f>IF(NOT(ISNUMBER(F94)),"",F94*$D$45)</f>
        <v>131.23919444560204</v>
      </c>
      <c r="I94" s="145" t="str">
        <f>IF(OR($D$55="",NOT(ISNUMBER(H94))),"",H94*$D$55)</f>
      </c>
      <c r="J94" s="133" t="n">
        <f>IF($H$90&gt;0,1-H94/$H$90,0)</f>
        <v>0.84499968999938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57.028543603774914</v>
      </c>
      <c r="F95" s="136" t="n">
        <f>IF(OR(D95="",E95=""),"",E95/D95)</f>
        <v>9.222437744504854e-8</v>
      </c>
      <c r="G95" s="136" t="str">
        <f>IF(OR($D$55="",NOT(ISNUMBER(F95))),"",F95*$D$55)</f>
      </c>
      <c r="H95" s="145" t="n">
        <f>IF(NOT(ISNUMBER(F95)),"",F95*$D$45)</f>
        <v>92.22437744504853</v>
      </c>
      <c r="I95" s="145" t="str">
        <f>IF(OR($D$55="",NOT(ISNUMBER(H95))),"",H95*$D$55)</f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49.089911113476695</v>
      </c>
      <c r="F96" s="136" t="n">
        <f>IF(OR(D96="",E96=""),"",E96/D96)</f>
        <v>6.833538762955562e-8</v>
      </c>
      <c r="G96" s="136" t="str">
        <f>IF(OR($D$55="",NOT(ISNUMBER(F96))),"",F96*$D$55)</f>
      </c>
      <c r="H96" s="145" t="n">
        <f>IF(NOT(ISNUMBER(F96)),"",F96*$D$45)</f>
        <v>68.33538762955563</v>
      </c>
      <c r="I96" s="145" t="str">
        <f>IF(OR($D$55="",NOT(ISNUMBER(H96))),"",H96*$D$55)</f>
      </c>
      <c r="J96" s="133" t="n">
        <f>IF($H$90&gt;0,1-H96/$H$90,0)</f>
        <v>0.9192923553719008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43.09139329661795</v>
      </c>
      <c r="F97" s="136" t="n">
        <f>IF(OR(D97="",E97=""),"",E97/D97)</f>
        <v>5.265531849212667e-8</v>
      </c>
      <c r="G97" s="136" t="str">
        <f>IF(OR($D$55="",NOT(ISNUMBER(F97))),"",F97*$D$55)</f>
      </c>
      <c r="H97" s="145" t="n">
        <f>IF(NOT(ISNUMBER(F97)),"",F97*$D$45)</f>
        <v>52.65531849212667</v>
      </c>
      <c r="I97" s="145" t="str">
        <f>IF(OR($D$55="",NOT(ISNUMBER(H97))),"",H97*$D$55)</f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38.399219359875104</v>
      </c>
      <c r="F98" s="137" t="n">
        <f>IF(OR(D98="",E98=""),"",E98/D98)</f>
        <v>4.181248330297511e-8</v>
      </c>
      <c r="G98" s="137" t="str">
        <f>IF(OR($D$55="",NOT(ISNUMBER(F98))),"",F98*$D$55)</f>
      </c>
      <c r="H98" s="146" t="n">
        <f>IF(NOT(ISNUMBER(F98)),"",F98*$D$45)</f>
        <v>41.81248330297511</v>
      </c>
      <c r="I98" s="146" t="str">
        <f>IF(OR($D$55="",NOT(ISNUMBER(H98))),"",H98*$D$55)</f>
      </c>
      <c r="J98" s="134" t="n">
        <f>IF($H$90&gt;0,1-H98/$H$90,0)</f>
        <v>0.9506172839506173</v>
      </c>
      <c r="K98" s="131" t="str">
        <v>沉没成本 / Quote</v>
      </c>
      <c r="L98" s="131" t="n">
        <f>E98</f>
        <v>38.399219359875104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60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35" t="str">
        <x:v>外盘成交口径</x:v>
      </x:c>
      <x:c r="I6" s="35"/>
      <x:c r="J6" s="35" t="str">
        <x:v>exact-input；Hook fee 与 Creator Tax 从 Meme 输出端扣除</x:v>
      </x:c>
      <x:c r="K6" s="35"/>
      <x:c r="L6" s="35"/>
      <x:c r="M6" s="35"/>
      <x:c r="N6" s="35"/>
      <x:c r="O6" s="35"/>
      <x:c r="P6" s="35"/>
      <x:c r="Q6" s="35"/>
      <x:c r="R6" s="35"/>
      <x:c r="S6" s="2"/>
      <x:c r="T6" s="2"/>
      <x:c r="U6" s="2"/>
      <x:c r="V6" s="2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