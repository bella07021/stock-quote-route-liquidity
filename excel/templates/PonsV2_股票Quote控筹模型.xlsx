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06331e34a42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88c0330aa756435a"/>
    <x:sheet xmlns:r="http://schemas.openxmlformats.org/officeDocument/2006/relationships" name="Quote参数" sheetId="2" r:id="R0a1c5690fff849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1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b/>
      <x:sz val="13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EAF3FA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0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9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4" borderId="2" xfId="0" applyNumberFormat="1" applyFont="1" applyFill="1" applyBorder="1" applyAlignment="1">
      <x:alignment vertical="center"/>
    </x:xf>
    <x:xf numFmtId="202" fontId="1" fillId="4" borderId="3" xfId="0" applyNumberFormat="1" applyFont="1" applyFill="1" applyBorder="1" applyAlignment="1">
      <x:alignment vertical="center"/>
    </x:xf>
    <x:xf numFmtId="202" fontId="1" fillId="4" borderId="4" xfId="0" applyNumberFormat="1" applyFont="1" applyFill="1" applyBorder="1" applyAlignment="1">
      <x:alignment vertical="center"/>
    </x:xf>
    <x:xf numFmtId="202" fontId="10" fillId="4" borderId="2" xfId="0" applyNumberFormat="1" applyFont="1" applyFill="1" applyBorder="1" applyAlignment="1">
      <x:alignment vertical="center"/>
    </x:xf>
    <x:xf numFmtId="202" fontId="10" fillId="4" borderId="3" xfId="0" applyNumberFormat="1" applyFont="1" applyFill="1" applyBorder="1" applyAlignment="1">
      <x:alignment vertical="center"/>
    </x:xf>
    <x:xf numFmtId="202" fontId="10" fillId="4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56e88c991f4140" /><Relationship Type="http://schemas.openxmlformats.org/officeDocument/2006/relationships/theme" Target="/xl/theme/theme1.xml" Id="R46e48d87b00b48d4" /><Relationship Type="http://schemas.openxmlformats.org/officeDocument/2006/relationships/sharedStrings" Target="/xl/sharedStrings.xml" Id="R2ae82be8a29b445c" /><Relationship Type="http://schemas.openxmlformats.org/officeDocument/2006/relationships/worksheet" Target="/xl/worksheets/sheet1.xml" Id="R88c0330aa756435a" /><Relationship Type="http://schemas.openxmlformats.org/officeDocument/2006/relationships/worksheet" Target="/xl/worksheets/sheet2.xml" Id="R0a1c5690fff849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1" hidden="0" customWidth="1"/>
    <x:col min="5" max="5" width="14" hidden="0" customWidth="1"/>
    <x:col min="6" max="6" width="25" hidden="0" customWidth="1"/>
    <x:col min="7" max="7" width="21" hidden="0" customWidth="1"/>
    <x:col min="8" max="8" width="14" hidden="0" customWidth="1"/>
    <x:col min="9" max="9" width="25" hidden="0" customWidth="1"/>
    <x:col min="10" max="10" width="21" hidden="0" customWidth="1"/>
    <x:col min="11" max="11" width="14" hidden="0" customWidth="1"/>
    <x:col min="12" max="12" width="17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2"/>
      <x:c r="B2" s="2"/>
      <x:c r="C2" s="4" t="str">
        <x:v>Pons V2 控筹模型</x:v>
      </x:c>
      <x:c r="D2" s="3"/>
      <x:c r="E2" s="3"/>
      <x:c r="F2" s="3"/>
      <x:c r="G2" s="3"/>
      <x:c r="H2" s="3"/>
      <x:c r="I2" s="3"/>
      <x:c r="J2" s="3"/>
      <x:c r="K2" s="3"/>
      <x:c r="L2" s="3"/>
    </x:row>
    <x:row r="3" ht="24" customHeight="1">
      <x:c r="A3" s="2"/>
      <x:c r="B3" s="2"/>
      <x:c r="C3" s="5" t="str">
        <x:v>蓝色格可编辑。Quote / USDT 资金不含 Gas，Gas 单独以 ETH 计价。</x:v>
      </x:c>
      <x:c r="D3" s="5"/>
      <x:c r="E3" s="5"/>
      <x:c r="F3" s="5"/>
      <x:c r="G3" s="5"/>
      <x:c r="H3" s="5"/>
      <x:c r="I3" s="5"/>
      <x:c r="J3" s="5"/>
      <x:c r="K3" s="5"/>
      <x:c r="L3" s="5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7" customHeight="1">
      <x:c r="A5" s="2"/>
      <x:c r="B5" s="2"/>
      <x:c r="C5" s="8" t="str">
        <x:v>一、可编辑参数</x:v>
      </x:c>
      <x:c r="D5" s="8"/>
      <x:c r="E5" s="8"/>
      <x:c r="F5" s="8"/>
      <x:c r="G5" s="8"/>
      <x:c r="H5" s="8"/>
      <x:c r="I5" s="8"/>
      <x:c r="J5" s="8"/>
      <x:c r="K5" s="8"/>
      <x:c r="L5" s="8"/>
    </x:row>
    <x:row r="6" ht="26" customHeight="1">
      <x:c r="A6" s="2"/>
      <x:c r="B6" s="2"/>
      <x:c r="C6" s="48" t="str">
        <x:v>交易参数</x:v>
      </x:c>
      <x:c r="D6" s="2"/>
      <x:c r="E6" s="2"/>
      <x:c r="F6" s="48" t="str">
        <x:v>地址与 Gas</x:v>
      </x:c>
      <x:c r="G6" s="2"/>
      <x:c r="H6" s="2"/>
      <x:c r="I6" s="48" t="str">
        <x:v>平台设置</x:v>
      </x:c>
      <x:c r="J6" s="2"/>
      <x:c r="K6" s="2"/>
      <x:c r="L6" s="2"/>
    </x:row>
    <x:row r="7" ht="26" customHeight="1">
      <x:c r="A7" s="2"/>
      <x:c r="B7" s="2"/>
      <x:c r="C7" s="35" t="str">
        <x:v>Quote</x:v>
      </x:c>
      <x:c r="D7" s="51" t="str">
        <x:v>SLV</x:v>
      </x:c>
      <x:c r="E7" s="2"/>
      <x:c r="F7" s="35" t="str">
        <x:v>内盘套数</x:v>
      </x:c>
      <x:c r="G7" s="51" t="n">
        <x:v>2</x:v>
      </x:c>
      <x:c r="H7" s="2"/>
      <x:c r="I7" s="35" t="str">
        <x:v>Creator Tax</x:v>
      </x:c>
      <x:c r="J7" s="53" t="n">
        <x:v>0</x:v>
      </x:c>
      <x:c r="K7" s="2"/>
      <x:c r="L7" s="2"/>
    </x:row>
    <x:row r="8" ht="26" customHeight="1">
      <x:c r="A8" s="2"/>
      <x:c r="B8" s="2"/>
      <x:c r="C8" s="35" t="str">
        <x:v>目标控筹率</x:v>
      </x:c>
      <x:c r="D8" s="53" t="n">
        <x:v>0.9</x:v>
      </x:c>
      <x:c r="E8" s="35" t="str">
        <x:v>预算沿用 +1%</x:v>
      </x:c>
      <x:c r="F8" s="35" t="str">
        <x:v>内盘地址 / 套</x:v>
      </x:c>
      <x:c r="G8" s="51" t="n">
        <x:v>10</x:v>
      </x:c>
      <x:c r="H8" s="2"/>
      <x:c r="I8" s="35" t="str">
        <x:v>滑点假设</x:v>
      </x:c>
      <x:c r="J8" s="53" t="n">
        <x:v>0</x:v>
      </x:c>
      <x:c r="K8" s="35" t="str">
        <x:v>现有预算未计滑点</x:v>
      </x:c>
      <x:c r="L8" s="35"/>
    </x:row>
    <x:row r="9" ht="26" customHeight="1">
      <x:c r="A9" s="2"/>
      <x:c r="B9" s="2"/>
      <x:c r="C9" s="35" t="str">
        <x:v>手动价格 / USDT</x:v>
      </x:c>
      <x:c r="D9" s="54"/>
      <x:c r="E9" s="35" t="str">
        <x:v>留空用日更价</x:v>
      </x:c>
      <x:c r="F9" s="35" t="str">
        <x:v>外盘地址数</x:v>
      </x:c>
      <x:c r="G9" s="51" t="n">
        <x:v>2</x:v>
      </x:c>
      <x:c r="H9" s="2"/>
      <x:c r="I9" s="35" t="str">
        <x:v>Snipe Tax 豁免</x:v>
      </x:c>
      <x:c r="J9" s="51" t="str">
        <x:v>是</x:v>
      </x:c>
      <x:c r="K9" s="35"/>
      <x:c r="L9" s="35"/>
    </x:row>
    <x:row r="10" ht="26" customHeight="1">
      <x:c r="A10" s="2"/>
      <x:c r="B10" s="2"/>
      <x:c r="C10" s="35" t="str">
        <x:v>资金预留 / Quote</x:v>
      </x:c>
      <x:c r="D10" s="54" t="n">
        <x:v>5</x:v>
      </x:c>
      <x:c r="E10" s="2"/>
      <x:c r="F10" s="35" t="str">
        <x:v>Holder 地址数</x:v>
      </x:c>
      <x:c r="G10" s="51" t="n">
        <x:v>100</x:v>
      </x:c>
      <x:c r="H10" s="2"/>
      <x:c r="I10" s="35" t="str">
        <x:v>Buyback enabled</x:v>
      </x:c>
      <x:c r="J10" s="51" t="str">
        <x:v>否</x:v>
      </x:c>
      <x:c r="K10" s="35" t="str">
        <x:v>不抵扣回购收益</x:v>
      </x:c>
      <x:c r="L10" s="35"/>
    </x:row>
    <x:row r="11" ht="38" customHeight="1">
      <x:c r="A11" s="2"/>
      <x:c r="B11" s="2"/>
      <x:c r="C11" s="2"/>
      <x:c r="D11" s="2"/>
      <x:c r="E11" s="2"/>
      <x:c r="F11" s="35" t="str">
        <x:v>单地址 Gas / ETH</x:v>
      </x:c>
      <x:c r="G11" s="54" t="n">
        <x:v>0.005</x:v>
      </x:c>
      <x:c r="H11" s="2"/>
      <x:c r="I11" s="35" t="str">
        <x:v>Creator recipient</x:v>
      </x:c>
      <x:c r="J11" s="52"/>
      <x:c r="K11" s="35" t="str">
        <x:v>仅记录收款地址，不抵扣分红收益</x:v>
      </x:c>
      <x:c r="L11" s="35"/>
    </x:row>
    <x:row r="12" ht="38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35"/>
      <x:c r="L12" s="35"/>
    </x:row>
    <x:row r="13" ht="26" customHeight="1">
      <x:c r="A13" s="2"/>
      <x:c r="B13" s="2"/>
      <x:c r="C13" s="55" t="str">
        <x:v>手动价格只用于 USDT 换算，不改变 Quote 控筹预算。清空覆盖格后恢复自动取价。</x:v>
      </x:c>
      <x:c r="D13" s="55"/>
      <x:c r="E13" s="55"/>
      <x:c r="F13" s="55"/>
      <x:c r="G13" s="55"/>
      <x:c r="H13" s="55"/>
      <x:c r="I13" s="55"/>
      <x:c r="J13" s="55"/>
      <x:c r="K13" s="55"/>
      <x:c r="L13" s="55"/>
    </x:row>
    <x:row r="14" ht="26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26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26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27" customHeight="1">
      <x:c r="A17" s="2"/>
      <x:c r="B17" s="2"/>
      <x:c r="C17" s="8" t="str">
        <x:v>二、测算结果</x:v>
      </x:c>
      <x:c r="D17" s="8"/>
      <x:c r="E17" s="8"/>
      <x:c r="F17" s="8"/>
      <x:c r="G17" s="8"/>
      <x:c r="H17" s="8"/>
      <x:c r="I17" s="8"/>
      <x:c r="J17" s="8"/>
      <x:c r="K17" s="8"/>
      <x:c r="L17" s="8"/>
    </x:row>
    <x:row r="18" ht="38" customHeight="1">
      <x:c r="A18" s="2"/>
      <x:c r="B18" s="2"/>
      <x:c r="C18" s="35" t="str">
        <x:v>建议总资金 / Quote</x:v>
      </x:c>
      <x:c r="D18" s="71" t="n">
        <x:f>IF(LEFT($D$23,2)&lt;&gt;"可达","",IF($D$21="","",SUM($D$21,$G$21,$J$21,$D$22)))</x:f>
        <x:v>15773.425525779472</x:v>
      </x:c>
      <x:c r="E18" s="57" t="str">
        <x:f>$D$7</x:f>
        <x:v>SLV</x:v>
      </x:c>
      <x:c r="F18" s="35" t="str">
        <x:v>折合 USDT（不含 Gas）</x:v>
      </x:c>
      <x:c r="G18" s="71" t="str">
        <x:f>IF(OR($D$18="",$D$24=""),"",$D$18*$D$24)</x:f>
      </x:c>
      <x:c r="H18" s="57" t="str">
        <x:v>USDT</x:v>
      </x:c>
      <x:c r="I18" s="35" t="str">
        <x:v>Gas 储备 / ETH</x:v>
      </x:c>
      <x:c r="J18" s="71" t="n">
        <x:f>$G$22*MAX(0,$G$11)</x:f>
        <x:v>0.61</x:v>
      </x:c>
      <x:c r="K18" s="57" t="str">
        <x:v>ETH</x:v>
      </x:c>
      <x:c r="L18" s="57"/>
    </x:row>
    <x:row r="19" ht="26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6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26" customHeight="1">
      <x:c r="A21" s="2"/>
      <x:c r="B21" s="2"/>
      <x:c r="C21" s="35" t="str">
        <x:v>理论累计投入 / Quote</x:v>
      </x:c>
      <x:c r="D21" s="58" t="n">
        <x:f>IF(LEFT($D$23,2)&lt;&gt;"可达","",IF($J$35="","",$J$31+$J$35))</x:f>
        <x:v>5520.084846424523</x:v>
      </x:c>
      <x:c r="E21" s="2"/>
      <x:c r="F21" s="35" t="str">
        <x:v>额外内盘资金 / Quote</x:v>
      </x:c>
      <x:c r="G21" s="58" t="n">
        <x:f>IF(LEFT($D$23,2)&lt;&gt;"可达","",IF($J$31="","",$J$31*MAX(0,$G$7-1)))</x:f>
        <x:v>174.54190618125045</x:v>
      </x:c>
      <x:c r="H21" s="2"/>
      <x:c r="I21" s="35" t="str">
        <x:v>洗筹预算 / Quote</x:v>
      </x:c>
      <x:c r="J21" s="58" t="n">
        <x:f>IF(LEFT($D$23,2)&lt;&gt;"可达","",IF($J$36="","",$J$36*($G$32+$J$7)*2))</x:f>
        <x:v>10073.7987731737</x:v>
      </x:c>
      <x:c r="K21" s="2"/>
      <x:c r="L21" s="2"/>
    </x:row>
    <x:row r="22" ht="26" customHeight="1">
      <x:c r="A22" s="2"/>
      <x:c r="B22" s="2"/>
      <x:c r="C22" s="35" t="str">
        <x:v>资金预留 / Quote</x:v>
      </x:c>
      <x:c r="D22" s="58" t="n">
        <x:f>$D$10</x:f>
        <x:v>5</x:v>
      </x:c>
      <x:c r="E22" s="2"/>
      <x:c r="F22" s="35" t="str">
        <x:v>地址总数</x:v>
      </x:c>
      <x:c r="G22" s="61" t="n">
        <x:f>MAX(0,$G$8)*MAX(0,$G$7)+MAX(0,$G$9)+MAX(0,$G$10)</x:f>
        <x:v>122</x:v>
      </x:c>
      <x:c r="H22" s="2"/>
      <x:c r="I22" s="35" t="str">
        <x:v>预算使用控筹率</x:v>
      </x:c>
      <x:c r="J22" s="59" t="n">
        <x:f>$D$8+1%</x:f>
        <x:v>0.91</x:v>
      </x:c>
      <x:c r="K22" s="2"/>
      <x:c r="L22" s="2"/>
    </x:row>
    <x:row r="23" ht="40" customHeight="1">
      <x:c r="A23" s="2"/>
      <x:c r="B23" s="2"/>
      <x:c r="C23" s="35" t="str">
        <x:v>目标是否可达</x:v>
      </x:c>
      <x:c r="D23" s="63" t="str">
        <x:f>IF($J$41&lt;&gt;"参数有效",$J$41,IF(OR($D$8&lt;0,$D$8&gt;=1),"目标控筹率无效",IF(OR($J$7&lt;0,$J$7&gt;$G$43),"Creator Tax无效",IF($J$22&gt;=$G$23,"目标+1%不可达",IF($J$9="否","可达；Snipe税未计","可达")))))</x:f>
        <x:v>可达</x:v>
      </x:c>
      <x:c r="E23" s="2"/>
      <x:c r="F23" s="35" t="str">
        <x:v>当前控筹上限</x:v>
      </x:c>
      <x:c r="G23" s="60" t="n">
        <x:f>MIN(1-$G$41/$D$35,$G$33+(1-$G$32-$J$7)*$G$38/$D$35)</x:f>
        <x:v>0.916326530612245</x:v>
      </x:c>
      <x:c r="H23" s="2"/>
      <x:c r="I23" s="35" t="str">
        <x:v>资金口径</x:v>
      </x:c>
      <x:c r="J23" s="58" t="str">
        <x:v>Quote 预算 + 单独 Gas</x:v>
      </x:c>
      <x:c r="K23" s="2"/>
      <x:c r="L23" s="2"/>
    </x:row>
    <x:row r="24" ht="40" customHeight="1">
      <x:c r="A24" s="2"/>
      <x:c r="B24" s="2"/>
      <x:c r="C24" s="35" t="str">
        <x:v>使用价格 / USDT</x:v>
      </x:c>
      <x:c r="D24" s="58" t="str">
        <x:f>IF($D$9&lt;&gt;"",IF(AND(ISNUMBER($D$9),$D$9&gt;0),$D$9,""),IF(VLOOKUP($D$7,'Quote参数'!$E$9:$S$62,15,FALSE)&gt;0,VLOOKUP($D$7,'Quote参数'!$E$9:$S$62,15,FALSE),""))</x:f>
      </x:c>
      <x:c r="E24" s="2"/>
      <x:c r="F24" s="35" t="str">
        <x:v>行情时间 / UTC</x:v>
      </x:c>
      <x:c r="G24" s="62" t="n">
        <x:f>IF(VLOOKUP($D$7,'Quote参数'!$E$9:$T$62,16,FALSE)=0,"",VLOOKUP($D$7,'Quote参数'!$E$9:$T$62,16,FALSE))</x:f>
        <x:v>46283.229019363425</x:v>
      </x:c>
      <x:c r="H24" s="2"/>
      <x:c r="I24" s="35" t="str">
        <x:v>价格状态</x:v>
      </x:c>
      <x:c r="J24" s="58" t="str">
        <x:f>IF($D$9&lt;&gt;"",IF($D$24="","手动价格无效","手动价格"),IF($D$24="","缺少价格","每日行情"))</x:f>
        <x:v>缺少价格</x:v>
      </x:c>
      <x:c r="K24" s="2"/>
      <x:c r="L24" s="2"/>
    </x:row>
    <x:row r="25" ht="26" customHeight="1">
      <x:c r="A25" s="2"/>
      <x:c r="B25" s="2"/>
      <x:c r="C25" s="35" t="str">
        <x:v>价格采用方式</x:v>
      </x:c>
      <x:c r="D25" s="58" t="str">
        <x:f>IF($D$9&lt;&gt;"","手动覆盖","每日行情")</x:f>
        <x:v>每日行情</x:v>
      </x:c>
      <x:c r="E25" s="2"/>
      <x:c r="F25" s="2"/>
      <x:c r="G25" s="58"/>
      <x:c r="H25" s="2"/>
      <x:c r="I25" s="2" t="str">
        <x:v>价格缺失时 USDT 结果留空</x:v>
      </x:c>
      <x:c r="J25" s="58"/>
      <x:c r="K25" s="2"/>
      <x:c r="L25" s="2"/>
    </x:row>
    <x:row r="26" ht="26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6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6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7" customHeight="1">
      <x:c r="A29" s="2"/>
      <x:c r="B29" s="2"/>
      <x:c r="C29" s="8" t="str">
        <x:v>三、模型信息与计算口径</x:v>
      </x:c>
      <x:c r="D29" s="8"/>
      <x:c r="E29" s="8"/>
      <x:c r="F29" s="8"/>
      <x:c r="G29" s="8"/>
      <x:c r="H29" s="8"/>
      <x:c r="I29" s="8"/>
      <x:c r="J29" s="8"/>
      <x:c r="K29" s="8"/>
      <x:c r="L29" s="8"/>
    </x:row>
    <x:row r="30" ht="26" customHeight="1">
      <x:c r="A30" s="2"/>
      <x:c r="B30" s="2"/>
      <x:c r="C30" s="48" t="str">
        <x:v>Quote 信息</x:v>
      </x:c>
      <x:c r="D30" s="2"/>
      <x:c r="E30" s="2"/>
      <x:c r="F30" s="48" t="str">
        <x:v>协议与曲线参数</x:v>
      </x:c>
      <x:c r="G30" s="2"/>
      <x:c r="H30" s="2"/>
      <x:c r="I30" s="48" t="str">
        <x:v>预算中间计算</x:v>
      </x:c>
      <x:c r="J30" s="2"/>
      <x:c r="K30" s="2"/>
      <x:c r="L30" s="2"/>
    </x:row>
    <x:row r="31" ht="36" customHeight="1">
      <x:c r="A31" s="2"/>
      <x:c r="B31" s="2"/>
      <x:c r="C31" s="35" t="str">
        <x:v>Quote 名称</x:v>
      </x:c>
      <x:c r="D31" s="63" t="str">
        <x:f>VLOOKUP($D$7,'Quote参数'!$E$9:$J$62,2,FALSE)</x:f>
        <x:v>iShares Silver Trust</x:v>
      </x:c>
      <x:c r="E31" s="35"/>
      <x:c r="F31" s="35" t="str">
        <x:v>内盘基础费</x:v>
      </x:c>
      <x:c r="G31" s="60" t="n">
        <x:f>1%</x:f>
        <x:v>0.01</x:v>
      </x:c>
      <x:c r="H31" s="2"/>
      <x:c r="I31" s="35" t="str">
        <x:v>一套内盘打满 / Quote</x:v>
      </x:c>
      <x:c r="J31" s="58" t="n">
        <x:f>IF(1-$G$31-$J$7&gt;0,$G$34/(1-$G$31-$J$7),"")</x:f>
        <x:v>174.54190618125045</x:v>
      </x:c>
      <x:c r="K31" s="2"/>
      <x:c r="L31" s="2"/>
    </x:row>
    <x:row r="32" ht="36" customHeight="1">
      <x:c r="A32" s="2"/>
      <x:c r="B32" s="2"/>
      <x:c r="C32" s="35" t="str">
        <x:v>Quote 合约</x:v>
      </x:c>
      <x:c r="D32" s="66" t="str">
        <x:f>VLOOKUP($D$7,'Quote参数'!$E$9:$J$62,3,FALSE)</x:f>
        <x:v>​0x411efb0e7f985935daec3d4c3ebaea0d0ad7d89f</x:v>
      </x:c>
      <x:c r="E32" s="35"/>
      <x:c r="F32" s="35" t="str">
        <x:v>外盘 Hook 费</x:v>
      </x:c>
      <x:c r="G32" s="60" t="n">
        <x:f>1%</x:f>
        <x:v>0.01</x:v>
      </x:c>
      <x:c r="H32" s="2"/>
      <x:c r="I32" s="35" t="str">
        <x:v>目标+1% Pool TOKEN</x:v>
      </x:c>
      <x:c r="J32" s="68" t="n">
        <x:f>IF($J$22&lt;$G$23,$D$35*(1-$J$22)-$G$41,"")</x:f>
        <x:v>8367346.938775495</x:v>
      </x:c>
      <x:c r="K32" s="2"/>
      <x:c r="L32" s="2"/>
    </x:row>
    <x:row r="33" ht="26" customHeight="1">
      <x:c r="A33" s="2"/>
      <x:c r="B33" s="2"/>
      <x:c r="C33" s="2"/>
      <x:c r="D33" s="63"/>
      <x:c r="E33" s="35"/>
      <x:c r="F33" s="35" t="str">
        <x:v>毕业控筹率</x:v>
      </x:c>
      <x:c r="G33" s="60" t="n">
        <x:f>$G$34/($G$36+$G$34)</x:f>
        <x:v>0.7142857142857143</x:v>
      </x:c>
      <x:c r="H33" s="2"/>
      <x:c r="I33" s="35" t="str">
        <x:v>目标+1% Pool Quote</x:v>
      </x:c>
      <x:c r="J33" s="58" t="n">
        <x:f>IF($J$32="","",$G$40/$J$32)</x:f>
        <x:v>4214.548466327764</x:v>
      </x:c>
      <x:c r="K33" s="2"/>
      <x:c r="L33" s="2"/>
    </x:row>
    <x:row r="34" ht="26" customHeight="1">
      <x:c r="A34" s="2"/>
      <x:c r="B34" s="2"/>
      <x:c r="C34" s="35" t="str">
        <x:v>Decimals</x:v>
      </x:c>
      <x:c r="D34" s="64" t="n">
        <x:f>VLOOKUP($D$7,'Quote参数'!$E$9:$J$62,4,FALSE)</x:f>
        <x:v>18</x:v>
      </x:c>
      <x:c r="E34" s="2"/>
      <x:c r="F34" s="35" t="str">
        <x:v>毕业真实 Quote</x:v>
      </x:c>
      <x:c r="G34" s="58" t="n">
        <x:f>VLOOKUP($D$7,'Quote参数'!$E$9:$J$62,6,FALSE)</x:f>
        <x:v>172.79648711943796</x:v>
      </x:c>
      <x:c r="H34" s="2"/>
      <x:c r="I34" s="35" t="str">
        <x:v>外盘净增加 / Quote</x:v>
      </x:c>
      <x:c r="J34" s="58" t="n">
        <x:f>IF($J$33="","",MAX(0,$J$33-$G$34))</x:f>
        <x:v>4041.751979208326</x:v>
      </x:c>
      <x:c r="K34" s="2"/>
      <x:c r="L34" s="2"/>
    </x:row>
    <x:row r="35" ht="26" customHeight="1">
      <x:c r="A35" s="2"/>
      <x:c r="B35" s="2"/>
      <x:c r="C35" s="35" t="str">
        <x:v>总供应量</x:v>
      </x:c>
      <x:c r="D35" s="61" t="n">
        <x:f>1000000000</x:f>
        <x:v>1000000000</x:v>
      </x:c>
      <x:c r="E35" s="2"/>
      <x:c r="F35" s="35" t="str">
        <x:v>内盘初始 TOKEN</x:v>
      </x:c>
      <x:c r="G35" s="68" t="n">
        <x:f>$D$35</x:f>
        <x:v>1000000000</x:v>
      </x:c>
      <x:c r="H35" s="2"/>
      <x:c r="I35" s="35" t="str">
        <x:v>外盘含费投入 / Quote</x:v>
      </x:c>
      <x:c r="J35" s="58" t="n">
        <x:f>IF($J$32="","",$G$40/($G$38-MAX(0,($J$22-$G$33)*$D$35)/(1-$G$32-$J$7))-$G$34)</x:f>
        <x:v>5345.542940243272</x:v>
      </x:c>
      <x:c r="K35" s="2"/>
      <x:c r="L35" s="2"/>
    </x:row>
    <x:row r="36" ht="36" customHeight="1">
      <x:c r="A36" s="2"/>
      <x:c r="B36" s="2"/>
      <x:c r="C36" s="35" t="str">
        <x:v>协议参数证据</x:v>
      </x:c>
      <x:c r="D36" s="69" t="n">
        <x:f>VLOOKUP($D$7,'Quote参数'!$E$9:$P$62,12,FALSE)</x:f>
        <x:v>54430299</x:v>
      </x:c>
      <x:c r="E36" s="35"/>
      <x:c r="F36" s="35" t="str">
        <x:v>phantom Quote</x:v>
      </x:c>
      <x:c r="G36" s="58" t="n">
        <x:f>VLOOKUP($D$7,'Quote参数'!$E$9:$J$62,5,FALSE)</x:f>
        <x:v>69.11859484777517</x:v>
      </x:c>
      <x:c r="H36" s="2"/>
      <x:c r="I36" s="35" t="str">
        <x:v>目标+1% FDV / Quote</x:v>
      </x:c>
      <x:c r="J36" s="58" t="n">
        <x:f>IF($J$33="","",$J$33/$J$32*$D$35)</x:f>
        <x:v>503689.93865868496</x:v>
      </x:c>
      <x:c r="K36" s="2"/>
      <x:c r="L36" s="2"/>
    </x:row>
    <x:row r="37" ht="26" customHeight="1">
      <x:c r="A37" s="2"/>
      <x:c r="B37" s="2"/>
      <x:c r="C37" s="35" t="str">
        <x:v>外盘机制</x:v>
      </x:c>
      <x:c r="D37" s="63" t="str">
        <x:v>Uniswap V4 / exact-input</x:v>
      </x:c>
      <x:c r="E37" s="35"/>
      <x:c r="F37" s="35" t="str">
        <x:v>内盘 k</x:v>
      </x:c>
      <x:c r="G37" s="65" t="n">
        <x:f>$G$36*$D$35</x:f>
        <x:v>69118594847.77518</x:v>
      </x:c>
      <x:c r="H37" s="2"/>
      <x:c r="I37" s="35" t="str">
        <x:v>洗筹单边费率</x:v>
      </x:c>
      <x:c r="J37" s="60" t="n">
        <x:f>$G$32+$J$7</x:f>
        <x:v>0.01</x:v>
      </x:c>
      <x:c r="K37" s="2"/>
      <x:c r="L37" s="2"/>
    </x:row>
    <x:row r="38" ht="36" customHeight="1">
      <x:c r="A38" s="2"/>
      <x:c r="B38" s="2"/>
      <x:c r="C38" s="35" t="str">
        <x:v>费用方向</x:v>
      </x:c>
      <x:c r="D38" s="63" t="str">
        <x:v>Hook + Creator Tax 从 Meme 输出扣除</x:v>
      </x:c>
      <x:c r="E38" s="35"/>
      <x:c r="F38" s="35" t="str">
        <x:v>外盘初始 TOKEN</x:v>
      </x:c>
      <x:c r="G38" s="68" t="n">
        <x:f>$D$35*$G$36*$G$34/($G$36+$G$34)^2</x:f>
        <x:v>204081632.65306124</x:v>
      </x:c>
      <x:c r="H38" s="2"/>
      <x:c r="I38" s="35" t="str">
        <x:v>预算缓冲</x:v>
      </x:c>
      <x:c r="J38" s="59" t="n">
        <x:v>0.01</x:v>
      </x:c>
      <x:c r="K38" s="2"/>
      <x:c r="L38" s="2"/>
    </x:row>
    <x:row r="39" ht="36" customHeight="1">
      <x:c r="A39" s="2"/>
      <x:c r="B39" s="2"/>
      <x:c r="C39" s="35" t="str">
        <x:v>洗筹口径</x:v>
      </x:c>
      <x:c r="D39" s="63" t="str">
        <x:v>目标+1% FDV ×（Hook + Creator Tax）×2</x:v>
      </x:c>
      <x:c r="E39" s="35"/>
      <x:c r="F39" s="35" t="str">
        <x:v>外盘初始 Quote</x:v>
      </x:c>
      <x:c r="G39" s="58" t="n">
        <x:f>$G$34</x:f>
        <x:v>172.79648711943796</x:v>
      </x:c>
      <x:c r="H39" s="2"/>
      <x:c r="I39" s="35" t="str">
        <x:v>分红与回购口径</x:v>
      </x:c>
      <x:c r="J39" s="70" t="str">
        <x:v>不抵扣分红 / 回购收益</x:v>
      </x:c>
      <x:c r="K39" s="35"/>
      <x:c r="L39" s="35"/>
    </x:row>
    <x:row r="40" ht="26" customHeight="1">
      <x:c r="A40" s="2"/>
      <x:c r="B40" s="2"/>
      <x:c r="C40" s="2"/>
      <x:c r="D40" s="63"/>
      <x:c r="E40" s="35"/>
      <x:c r="F40" s="35" t="str">
        <x:v>外盘 k</x:v>
      </x:c>
      <x:c r="G40" s="65" t="n">
        <x:f>$G$38*$G$34</x:f>
        <x:v>35264589208.04857</x:v>
      </x:c>
      <x:c r="H40" s="2"/>
      <x:c r="I40" s="2"/>
      <x:c r="J40" s="63"/>
      <x:c r="K40" s="35"/>
      <x:c r="L40" s="35"/>
    </x:row>
    <x:row r="41" ht="36" customHeight="1">
      <x:c r="A41" s="2"/>
      <x:c r="B41" s="2"/>
      <x:c r="C41" s="2"/>
      <x:c r="D41" s="58"/>
      <x:c r="E41" s="2"/>
      <x:c r="F41" s="35" t="str">
        <x:v>Locker TOKEN</x:v>
      </x:c>
      <x:c r="G41" s="68" t="n">
        <x:f>$D$35*$G$36^2/($G$36+$G$34)^2</x:f>
        <x:v>81632653.06122448</x:v>
      </x:c>
      <x:c r="H41" s="2"/>
      <x:c r="I41" s="35" t="str">
        <x:v>输入检查</x:v>
      </x:c>
      <x:c r="J41" s="63" t="str">
        <x:f>IF(COUNT($D$8,$D$10,$G$7:$G$11,$J$7:$J$8)&lt;&gt;9,"缺少或非数值参数",IF(OR($G$7&lt;1,$G$8&lt;0,$G$9&lt;0,$G$10&lt;0,$G$11&lt;0,$D$10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x:f>
        <x:v>参数有效</x:v>
      </x:c>
      <x:c r="K41" s="35"/>
      <x:c r="L41" s="35"/>
    </x:row>
    <x:row r="42" ht="36" customHeight="1">
      <x:c r="A42" s="2"/>
      <x:c r="B42" s="2"/>
      <x:c r="C42" s="2"/>
      <x:c r="D42" s="58"/>
      <x:c r="E42" s="2"/>
      <x:c r="F42" s="35" t="str">
        <x:v>Snipe 窗口</x:v>
      </x:c>
      <x:c r="G42" s="70" t="str">
        <x:v>3 秒；默认豁免或避开</x:v>
      </x:c>
      <x:c r="H42" s="2"/>
      <x:c r="I42" s="2"/>
      <x:c r="J42" s="58"/>
      <x:c r="K42" s="2"/>
      <x:c r="L42" s="2"/>
    </x:row>
    <x:row r="43" ht="36" customHeight="1">
      <x:c r="A43" s="2"/>
      <x:c r="B43" s="2"/>
      <x:c r="C43" s="2"/>
      <x:c r="D43" s="58"/>
      <x:c r="E43" s="2"/>
      <x:c r="F43" s="35" t="str">
        <x:v>Creator Tax 上限</x:v>
      </x:c>
      <x:c r="G43" s="60" t="n">
        <x:f>10%</x:f>
        <x:v>0.1</x:v>
      </x:c>
      <x:c r="H43" s="2"/>
      <x:c r="I43" s="2"/>
      <x:c r="J43" s="58"/>
      <x:c r="K43" s="2"/>
      <x:c r="L43" s="2"/>
    </x:row>
    <x:row r="44" ht="26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6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6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7" customHeight="1">
      <x:c r="A47" s="2"/>
      <x:c r="B47" s="2"/>
      <x:c r="C47" s="8" t="str">
        <x:v>内盘曲线</x:v>
      </x:c>
      <x:c r="D47" s="8"/>
      <x:c r="E47" s="8"/>
      <x:c r="F47" s="8"/>
      <x:c r="G47" s="8"/>
      <x:c r="H47" s="8"/>
      <x:c r="I47" s="8"/>
      <x:c r="J47" s="8"/>
      <x:c r="K47" s="8"/>
      <x:c r="L47" s="8"/>
    </x:row>
    <x:row r="48" ht="38" customHeight="1">
      <x:c r="A48" s="2"/>
      <x:c r="B48" s="2"/>
      <x:c r="C48" s="75" t="str">
        <x:v>控筹率</x:v>
      </x:c>
      <x:c r="D48" s="75" t="str">
        <x:v>pooled TOKEN</x:v>
      </x:c>
      <x:c r="E48" s="75" t="str">
        <x:v>pooled Quote</x:v>
      </x:c>
      <x:c r="F48" s="75" t="str">
        <x:v>价格 / Quote</x:v>
      </x:c>
      <x:c r="G48" s="75" t="str">
        <x:v>价格 / USDT</x:v>
      </x:c>
      <x:c r="H48" s="75" t="str">
        <x:v>市值 / Quote</x:v>
      </x:c>
      <x:c r="I48" s="75" t="str">
        <x:v>市值 / USDT</x:v>
      </x:c>
      <x:c r="J48" s="75" t="str">
        <x:v>区间净投入
/ Quote</x:v>
      </x:c>
      <x:c r="K48" s="75" t="str">
        <x:v>区间含费
/ Quote</x:v>
      </x:c>
      <x:c r="L48" s="75" t="str">
        <x:v>理论累计所需
/ Quote</x:v>
      </x:c>
    </x:row>
    <x:row r="49" ht="26" customHeight="1">
      <x:c r="A49" s="2"/>
      <x:c r="B49" s="2"/>
      <x:c r="C49" s="76" t="n">
        <x:v>0</x:v>
      </x:c>
      <x:c r="D49" s="79" t="n">
        <x:f>$D$35*(1-C49)</x:f>
        <x:v>1000000000</x:v>
      </x:c>
      <x:c r="E49" s="26" t="n">
        <x:f>$G$37/D49</x:f>
        <x:v>69.11859484777517</x:v>
      </x:c>
      <x:c r="F49" s="82" t="n">
        <x:f>IF(OR(D49="",E49=""),"",E49/D49)</x:f>
        <x:v>6.911859484777517e-8</x:v>
      </x:c>
      <x:c r="G49" s="82" t="str">
        <x:f>IF(OR($D$24="",NOT(ISNUMBER(F49))),"",F49*$D$24)</x:f>
      </x:c>
      <x:c r="H49" s="26" t="n">
        <x:f>IF(NOT(ISNUMBER(F49)),"",F49*$D$35)</x:f>
        <x:v>69.11859484777517</x:v>
      </x:c>
      <x:c r="I49" s="26" t="str">
        <x:f>IF(OR($D$24="",NOT(ISNUMBER(H49))),"",H49*$D$24)</x:f>
      </x:c>
      <x:c r="J49" s="26" t="n">
        <x:f>0</x:f>
        <x:v>0</x:v>
      </x:c>
      <x:c r="K49" s="26" t="n">
        <x:f>J49/(1-$G$31-$J$7)</x:f>
        <x:v>0</x:v>
      </x:c>
      <x:c r="L49" s="88" t="n">
        <x:f>SUM($K$49:K49)</x:f>
        <x:v>0</x:v>
      </x:c>
    </x:row>
    <x:row r="50" ht="26" customHeight="1">
      <x:c r="A50" s="2"/>
      <x:c r="B50" s="2"/>
      <x:c r="C50" s="77" t="n">
        <x:v>0.1</x:v>
      </x:c>
      <x:c r="D50" s="80" t="n">
        <x:f>$D$35*(1-C50)</x:f>
        <x:v>900000000</x:v>
      </x:c>
      <x:c r="E50" s="27" t="n">
        <x:f>$G$37/D50</x:f>
        <x:v>76.7984387197502</x:v>
      </x:c>
      <x:c r="F50" s="83" t="n">
        <x:f>IF(OR(D50="",E50=""),"",E50/D50)</x:f>
        <x:v>8.533159857750022e-8</x:v>
      </x:c>
      <x:c r="G50" s="83" t="str">
        <x:f>IF(OR($D$24="",NOT(ISNUMBER(F50))),"",F50*$D$24)</x:f>
      </x:c>
      <x:c r="H50" s="27" t="n">
        <x:f>IF(NOT(ISNUMBER(F50)),"",F50*$D$35)</x:f>
        <x:v>85.33159857750022</x:v>
      </x:c>
      <x:c r="I50" s="27" t="str">
        <x:f>IF(OR($D$24="",NOT(ISNUMBER(H50))),"",H50*$D$24)</x:f>
      </x:c>
      <x:c r="J50" s="27" t="n">
        <x:f>E50-E49</x:f>
        <x:v>7.679843871975024</x:v>
      </x:c>
      <x:c r="K50" s="27" t="n">
        <x:f>J50/(1-$G$31-$J$7)</x:f>
        <x:v>7.757418052500024</x:v>
      </x:c>
      <x:c r="L50" s="89" t="n">
        <x:f>SUM($K$49:K50)</x:f>
        <x:v>7.757418052500024</x:v>
      </x:c>
    </x:row>
    <x:row r="51" ht="26" customHeight="1">
      <x:c r="A51" s="2"/>
      <x:c r="B51" s="2"/>
      <x:c r="C51" s="77" t="n">
        <x:v>0.2</x:v>
      </x:c>
      <x:c r="D51" s="80" t="n">
        <x:f>$D$35*(1-C51)</x:f>
        <x:v>800000000</x:v>
      </x:c>
      <x:c r="E51" s="27" t="n">
        <x:f>$G$37/D51</x:f>
        <x:v>86.39824355971898</x:v>
      </x:c>
      <x:c r="F51" s="83" t="n">
        <x:f>IF(OR(D51="",E51=""),"",E51/D51)</x:f>
        <x:v>1.0799780444964873e-7</x:v>
      </x:c>
      <x:c r="G51" s="83" t="str">
        <x:f>IF(OR($D$24="",NOT(ISNUMBER(F51))),"",F51*$D$24)</x:f>
      </x:c>
      <x:c r="H51" s="27" t="n">
        <x:f>IF(NOT(ISNUMBER(F51)),"",F51*$D$35)</x:f>
        <x:v>107.99780444964873</x:v>
      </x:c>
      <x:c r="I51" s="27" t="str">
        <x:f>IF(OR($D$24="",NOT(ISNUMBER(H51))),"",H51*$D$24)</x:f>
      </x:c>
      <x:c r="J51" s="27" t="n">
        <x:f>E51-E50</x:f>
        <x:v>9.599804839968783</x:v>
      </x:c>
      <x:c r="K51" s="27" t="n">
        <x:f>J51/(1-$G$31-$J$7)</x:f>
        <x:v>9.696772565625034</x:v>
      </x:c>
      <x:c r="L51" s="89" t="n">
        <x:f>SUM($K$49:K51)</x:f>
        <x:v>17.454190618125057</x:v>
      </x:c>
    </x:row>
    <x:row r="52" ht="26" customHeight="1">
      <x:c r="A52" s="2"/>
      <x:c r="B52" s="2"/>
      <x:c r="C52" s="77" t="n">
        <x:v>0.3</x:v>
      </x:c>
      <x:c r="D52" s="80" t="n">
        <x:f>$D$35*(1-C52)</x:f>
        <x:v>700000000</x:v>
      </x:c>
      <x:c r="E52" s="27" t="n">
        <x:f>$G$37/D52</x:f>
        <x:v>98.74084978253596</x:v>
      </x:c>
      <x:c r="F52" s="83" t="n">
        <x:f>IF(OR(D52="",E52=""),"",E52/D52)</x:f>
        <x:v>1.4105835683219424e-7</x:v>
      </x:c>
      <x:c r="G52" s="83" t="str">
        <x:f>IF(OR($D$24="",NOT(ISNUMBER(F52))),"",F52*$D$24)</x:f>
      </x:c>
      <x:c r="H52" s="27" t="n">
        <x:f>IF(NOT(ISNUMBER(F52)),"",F52*$D$35)</x:f>
        <x:v>141.05835683219425</x:v>
      </x:c>
      <x:c r="I52" s="27" t="str">
        <x:f>IF(OR($D$24="",NOT(ISNUMBER(H52))),"",H52*$D$24)</x:f>
      </x:c>
      <x:c r="J52" s="27" t="n">
        <x:f>E52-E51</x:f>
        <x:v>12.342606222816983</x:v>
      </x:c>
      <x:c r="K52" s="27" t="n">
        <x:f>J52/(1-$G$31-$J$7)</x:f>
        <x:v>12.467279012946447</x:v>
      </x:c>
      <x:c r="L52" s="89" t="n">
        <x:f>SUM($K$49:K52)</x:f>
        <x:v>29.921469631071503</x:v>
      </x:c>
    </x:row>
    <x:row r="53" ht="26" customHeight="1">
      <x:c r="A53" s="2"/>
      <x:c r="B53" s="2"/>
      <x:c r="C53" s="77" t="n">
        <x:v>0.4</x:v>
      </x:c>
      <x:c r="D53" s="80" t="n">
        <x:f>$D$35*(1-C53)</x:f>
        <x:v>600000000</x:v>
      </x:c>
      <x:c r="E53" s="27" t="n">
        <x:f>$G$37/D53</x:f>
        <x:v>115.1976580796253</x:v>
      </x:c>
      <x:c r="F53" s="83" t="n">
        <x:f>IF(OR(D53="",E53=""),"",E53/D53)</x:f>
        <x:v>1.919960967993755e-7</x:v>
      </x:c>
      <x:c r="G53" s="83" t="str">
        <x:f>IF(OR($D$24="",NOT(ISNUMBER(F53))),"",F53*$D$24)</x:f>
      </x:c>
      <x:c r="H53" s="27" t="n">
        <x:f>IF(NOT(ISNUMBER(F53)),"",F53*$D$35)</x:f>
        <x:v>191.99609679937552</x:v>
      </x:c>
      <x:c r="I53" s="27" t="str">
        <x:f>IF(OR($D$24="",NOT(ISNUMBER(H53))),"",H53*$D$24)</x:f>
      </x:c>
      <x:c r="J53" s="27" t="n">
        <x:f>E53-E52</x:f>
        <x:v>16.45680829708934</x:v>
      </x:c>
      <x:c r="K53" s="27" t="n">
        <x:f>J53/(1-$G$31-$J$7)</x:f>
        <x:v>16.623038683928623</x:v>
      </x:c>
      <x:c r="L53" s="89" t="n">
        <x:f>SUM($K$49:K53)</x:f>
        <x:v>46.54450831500013</x:v>
      </x:c>
    </x:row>
    <x:row r="54" ht="26" customHeight="1">
      <x:c r="A54" s="2"/>
      <x:c r="B54" s="2"/>
      <x:c r="C54" s="77" t="n">
        <x:v>0.5</x:v>
      </x:c>
      <x:c r="D54" s="80" t="n">
        <x:f>$D$35*(1-C54)</x:f>
        <x:v>500000000</x:v>
      </x:c>
      <x:c r="E54" s="27" t="n">
        <x:f>$G$37/D54</x:f>
        <x:v>138.23718969555034</x:v>
      </x:c>
      <x:c r="F54" s="83" t="n">
        <x:f>IF(OR(D54="",E54=""),"",E54/D54)</x:f>
        <x:v>2.7647437939110067e-7</x:v>
      </x:c>
      <x:c r="G54" s="83" t="str">
        <x:f>IF(OR($D$24="",NOT(ISNUMBER(F54))),"",F54*$D$24)</x:f>
      </x:c>
      <x:c r="H54" s="27" t="n">
        <x:f>IF(NOT(ISNUMBER(F54)),"",F54*$D$35)</x:f>
        <x:v>276.4743793911007</x:v>
      </x:c>
      <x:c r="I54" s="27" t="str">
        <x:f>IF(OR($D$24="",NOT(ISNUMBER(H54))),"",H54*$D$24)</x:f>
      </x:c>
      <x:c r="J54" s="27" t="n">
        <x:f>E54-E53</x:f>
        <x:v>23.039531615925043</x:v>
      </x:c>
      <x:c r="K54" s="27" t="n">
        <x:f>J54/(1-$G$31-$J$7)</x:f>
        <x:v>23.272254157500043</x:v>
      </x:c>
      <x:c r="L54" s="89" t="n">
        <x:f>SUM($K$49:K54)</x:f>
        <x:v>69.81676247250017</x:v>
      </x:c>
    </x:row>
    <x:row r="55" ht="26" customHeight="1">
      <x:c r="A55" s="2"/>
      <x:c r="B55" s="2"/>
      <x:c r="C55" s="77" t="n">
        <x:v>0.6</x:v>
      </x:c>
      <x:c r="D55" s="80" t="n">
        <x:f>$D$35*(1-C55)</x:f>
        <x:v>400000000</x:v>
      </x:c>
      <x:c r="E55" s="27" t="n">
        <x:f>$G$37/D55</x:f>
        <x:v>172.79648711943796</x:v>
      </x:c>
      <x:c r="F55" s="83" t="n">
        <x:f>IF(OR(D55="",E55=""),"",E55/D55)</x:f>
        <x:v>4.319912177985949e-7</x:v>
      </x:c>
      <x:c r="G55" s="83" t="str">
        <x:f>IF(OR($D$24="",NOT(ISNUMBER(F55))),"",F55*$D$24)</x:f>
      </x:c>
      <x:c r="H55" s="27" t="n">
        <x:f>IF(NOT(ISNUMBER(F55)),"",F55*$D$35)</x:f>
        <x:v>431.9912177985949</x:v>
      </x:c>
      <x:c r="I55" s="27" t="str">
        <x:f>IF(OR($D$24="",NOT(ISNUMBER(H55))),"",H55*$D$24)</x:f>
      </x:c>
      <x:c r="J55" s="27" t="n">
        <x:f>E55-E54</x:f>
        <x:v>34.559297423887614</x:v>
      </x:c>
      <x:c r="K55" s="27" t="n">
        <x:f>J55/(1-$G$31-$J$7)</x:f>
        <x:v>34.908381236250115</x:v>
      </x:c>
      <x:c r="L55" s="89" t="n">
        <x:f>SUM($K$49:K55)</x:f>
        <x:v>104.7251437087503</x:v>
      </x:c>
    </x:row>
    <x:row r="56" ht="26" customHeight="1">
      <x:c r="A56" s="2"/>
      <x:c r="B56" s="2"/>
      <x:c r="C56" s="77" t="n">
        <x:v>0.7</x:v>
      </x:c>
      <x:c r="D56" s="80" t="n">
        <x:f>$D$35*(1-C56)</x:f>
        <x:v>300000000.00000006</x:v>
      </x:c>
      <x:c r="E56" s="27" t="n">
        <x:f>$G$37/D56</x:f>
        <x:v>230.39531615925054</x:v>
      </x:c>
      <x:c r="F56" s="83" t="n">
        <x:f>IF(OR(D56="",E56=""),"",E56/D56)</x:f>
        <x:v>7.679843871975016e-7</x:v>
      </x:c>
      <x:c r="G56" s="83" t="str">
        <x:f>IF(OR($D$24="",NOT(ISNUMBER(F56))),"",F56*$D$24)</x:f>
      </x:c>
      <x:c r="H56" s="27" t="n">
        <x:f>IF(NOT(ISNUMBER(F56)),"",F56*$D$35)</x:f>
        <x:v>767.9843871975016</x:v>
      </x:c>
      <x:c r="I56" s="27" t="str">
        <x:f>IF(OR($D$24="",NOT(ISNUMBER(H56))),"",H56*$D$24)</x:f>
      </x:c>
      <x:c r="J56" s="27" t="n">
        <x:f>E56-E55</x:f>
        <x:v>57.598829039812586</x:v>
      </x:c>
      <x:c r="K56" s="27" t="n">
        <x:f>J56/(1-$G$31-$J$7)</x:f>
        <x:v>58.18063539375009</x:v>
      </x:c>
      <x:c r="L56" s="89" t="n">
        <x:f>SUM($K$49:K56)</x:f>
        <x:v>162.9057791025004</x:v>
      </x:c>
    </x:row>
    <x:row r="57" ht="26" customHeight="1">
      <x:c r="A57" s="2"/>
      <x:c r="B57" s="2"/>
      <x:c r="C57" s="91" t="n">
        <x:f>$G$33</x:f>
        <x:v>0.7142857142857143</x:v>
      </x:c>
      <x:c r="D57" s="92" t="n">
        <x:f>$D$35*(1-C57)</x:f>
        <x:v>285714285.7142857</x:v>
      </x:c>
      <x:c r="E57" s="93" t="n">
        <x:f>$G$37/D57</x:f>
        <x:v>241.91508196721315</x:v>
      </x:c>
      <x:c r="F57" s="94" t="n">
        <x:f>IF(OR(D57="",E57=""),"",E57/D57)</x:f>
        <x:v>8.467027868852461e-7</x:v>
      </x:c>
      <x:c r="G57" s="94" t="str">
        <x:f>IF(OR($D$24="",NOT(ISNUMBER(F57))),"",F57*$D$24)</x:f>
      </x:c>
      <x:c r="H57" s="93" t="n">
        <x:f>IF(NOT(ISNUMBER(F57)),"",F57*$D$35)</x:f>
        <x:v>846.7027868852462</x:v>
      </x:c>
      <x:c r="I57" s="93" t="str">
        <x:f>IF(OR($D$24="",NOT(ISNUMBER(H57))),"",H57*$D$24)</x:f>
      </x:c>
      <x:c r="J57" s="93" t="n">
        <x:f>E57-E56</x:f>
        <x:v>11.519765807962614</x:v>
      </x:c>
      <x:c r="K57" s="93" t="n">
        <x:f>J57/(1-$G$31-$J$7)</x:f>
        <x:v>11.636127078750116</x:v>
      </x:c>
      <x:c r="L57" s="90" t="n">
        <x:f>SUM($K$49:K57)</x:f>
        <x:v>174.5419061812505</x:v>
      </x:c>
    </x:row>
    <x:row r="58" ht="26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26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27" customHeight="1">
      <x:c r="A60" s="2"/>
      <x:c r="B60" s="2"/>
      <x:c r="C60" s="8" t="str">
        <x:v>外盘曲线</x:v>
      </x:c>
      <x:c r="D60" s="8"/>
      <x:c r="E60" s="8"/>
      <x:c r="F60" s="8"/>
      <x:c r="G60" s="8"/>
      <x:c r="H60" s="8"/>
      <x:c r="I60" s="8"/>
      <x:c r="J60" s="8"/>
      <x:c r="K60" s="8"/>
      <x:c r="L60" s="8"/>
    </x:row>
    <x:row r="61" ht="38" customHeight="1">
      <x:c r="A61" s="2"/>
      <x:c r="B61" s="2"/>
      <x:c r="C61" s="75" t="str">
        <x:v>控筹率</x:v>
      </x:c>
      <x:c r="D61" s="75" t="str">
        <x:v>pooled TOKEN</x:v>
      </x:c>
      <x:c r="E61" s="75" t="str">
        <x:v>pooled Quote</x:v>
      </x:c>
      <x:c r="F61" s="75" t="str">
        <x:v>价格 / Quote</x:v>
      </x:c>
      <x:c r="G61" s="75" t="str">
        <x:v>价格 / USDT</x:v>
      </x:c>
      <x:c r="H61" s="75" t="str">
        <x:v>市值 / Quote</x:v>
      </x:c>
      <x:c r="I61" s="75" t="str">
        <x:v>市值 / USDT</x:v>
      </x:c>
      <x:c r="J61" s="75" t="str">
        <x:v>外盘净投入
/ Quote</x:v>
      </x:c>
      <x:c r="K61" s="75" t="str">
        <x:v>外盘含费
/ Quote</x:v>
      </x:c>
      <x:c r="L61" s="75" t="str">
        <x:v>理论累计所需
/ Quote</x:v>
      </x:c>
    </x:row>
    <x:row r="62" ht="26" customHeight="1">
      <x:c r="A62" s="2"/>
      <x:c r="B62" s="2"/>
      <x:c r="C62" s="95" t="n">
        <x:f>$G$33</x:f>
        <x:v>0.7142857142857143</x:v>
      </x:c>
      <x:c r="D62" s="96" t="n">
        <x:f>$G$38</x:f>
        <x:v>204081632.65306124</x:v>
      </x:c>
      <x:c r="E62" s="97" t="n">
        <x:f>$G$34</x:f>
        <x:v>172.79648711943796</x:v>
      </x:c>
      <x:c r="F62" s="98" t="n">
        <x:f>IF(OR(D62="",E62=""),"",E62/D62)</x:f>
        <x:v>8.467027868852459e-7</x:v>
      </x:c>
      <x:c r="G62" s="98" t="str">
        <x:f>IF(OR($D$24="",NOT(ISNUMBER(F62))),"",F62*$D$24)</x:f>
      </x:c>
      <x:c r="H62" s="97" t="n">
        <x:f>IF(NOT(ISNUMBER(F62)),"",F62*$D$35)</x:f>
        <x:v>846.7027868852459</x:v>
      </x:c>
      <x:c r="I62" s="97" t="str">
        <x:f>IF(OR($D$24="",NOT(ISNUMBER(H62))),"",H62*$D$24)</x:f>
      </x:c>
      <x:c r="J62" s="97" t="n">
        <x:f>0</x:f>
        <x:v>0</x:v>
      </x:c>
      <x:c r="K62" s="97" t="n">
        <x:f>0</x:f>
        <x:v>0</x:v>
      </x:c>
      <x:c r="L62" s="88" t="n">
        <x:f>$J$31</x:f>
        <x:v>174.54190618125045</x:v>
      </x:c>
    </x:row>
    <x:row r="63" ht="26" customHeight="1">
      <x:c r="A63" s="2"/>
      <x:c r="B63" s="2"/>
      <x:c r="C63" s="77" t="n">
        <x:v>0.75</x:v>
      </x:c>
      <x:c r="D63" s="80" t="n">
        <x:f>IF(C63&lt;$G$23,$D$35*(1-C63)-$G$41,"")</x:f>
        <x:v>168367346.93877554</x:v>
      </x:c>
      <x:c r="E63" s="27" t="n">
        <x:f>IF(D63="","",$G$40/D63)</x:f>
        <x:v>209.45028741750056</x:v>
      </x:c>
      <x:c r="F63" s="83" t="n">
        <x:f>IF(OR(D63="",E63=""),"",E63/D63)</x:f>
        <x:v>0.0000012440077676918213</x:v>
      </x:c>
      <x:c r="G63" s="83" t="str">
        <x:f>IF(OR($D$24="",NOT(ISNUMBER(F63))),"",F63*$D$24)</x:f>
      </x:c>
      <x:c r="H63" s="27" t="n">
        <x:f>IF(NOT(ISNUMBER(F63)),"",F63*$D$35)</x:f>
        <x:v>1244.0077676918213</x:v>
      </x:c>
      <x:c r="I63" s="27" t="str">
        <x:f>IF(OR($D$24="",NOT(ISNUMBER(H63))),"",H63*$D$24)</x:f>
      </x:c>
      <x:c r="J63" s="27" t="n">
        <x:f>IF(E63="","",MAX(0,E63-$G$34))</x:f>
        <x:v>36.653800298062606</x:v>
      </x:c>
      <x:c r="K63" s="27" t="n">
        <x:f>IF(D63="","",$G$40/($G$38-MAX(0,(C63-$G$33)*$D$35)/(1-$G$32-$J$7))-$G$34)</x:f>
        <x:v>37.103540179020456</x:v>
      </x:c>
      <x:c r="L63" s="89" t="n">
        <x:f>IF(K63="","",$J$31+K63)</x:f>
        <x:v>211.6454463602709</x:v>
      </x:c>
    </x:row>
    <x:row r="64" ht="26" customHeight="1">
      <x:c r="A64" s="2"/>
      <x:c r="B64" s="2"/>
      <x:c r="C64" s="77" t="n">
        <x:v>0.8</x:v>
      </x:c>
      <x:c r="D64" s="80" t="n">
        <x:f>IF(C64&lt;$G$23,$D$35*(1-C64)-$G$41,"")</x:f>
        <x:v>118367346.9387755</x:v>
      </x:c>
      <x:c r="E64" s="27" t="n">
        <x:f>IF(D64="","",$G$40/D64)</x:f>
        <x:v>297.9249777921345</x:v>
      </x:c>
      <x:c r="F64" s="83" t="n">
        <x:f>IF(OR(D64="",E64=""),"",E64/D64)</x:f>
        <x:v>0.0000025169523985887227</x:v>
      </x:c>
      <x:c r="G64" s="83" t="str">
        <x:f>IF(OR($D$24="",NOT(ISNUMBER(F64))),"",F64*$D$24)</x:f>
      </x:c>
      <x:c r="H64" s="27" t="n">
        <x:f>IF(NOT(ISNUMBER(F64)),"",F64*$D$35)</x:f>
        <x:v>2516.9523985887226</x:v>
      </x:c>
      <x:c r="I64" s="27" t="str">
        <x:f>IF(OR($D$24="",NOT(ISNUMBER(H64))),"",H64*$D$24)</x:f>
      </x:c>
      <x:c r="J64" s="27" t="n">
        <x:f>IF(E64="","",MAX(0,E64-$G$34))</x:f>
        <x:v>125.12849067269653</x:v>
      </x:c>
      <x:c r="K64" s="27" t="n">
        <x:f>IF(D64="","",$G$40/($G$38-MAX(0,(C64-$G$33)*$D$35)/(1-$G$32-$J$7))-$G$34)</x:f>
        <x:v>127.32372735116493</x:v>
      </x:c>
      <x:c r="L64" s="89" t="n">
        <x:f>IF(K64="","",$J$31+K64)</x:f>
        <x:v>301.86563353241536</x:v>
      </x:c>
    </x:row>
    <x:row r="65" ht="26" customHeight="1">
      <x:c r="A65" s="2"/>
      <x:c r="B65" s="2"/>
      <x:c r="C65" s="77" t="n">
        <x:v>0.82</x:v>
      </x:c>
      <x:c r="D65" s="80" t="n">
        <x:f>IF(C65&lt;$G$23,$D$35*(1-C65)-$G$41,"")</x:f>
        <x:v>98367346.93877558</x:v>
      </x:c>
      <x:c r="E65" s="27" t="n">
        <x:f>IF(D65="","",$G$40/D65)</x:f>
        <x:v>358.4989359324437</x:v>
      </x:c>
      <x:c r="F65" s="83" t="n">
        <x:f>IF(OR(D65="",E65=""),"",E65/D65)</x:f>
        <x:v>0.000003644491257404508</x:v>
      </x:c>
      <x:c r="G65" s="83" t="str">
        <x:f>IF(OR($D$24="",NOT(ISNUMBER(F65))),"",F65*$D$24)</x:f>
      </x:c>
      <x:c r="H65" s="27" t="n">
        <x:f>IF(NOT(ISNUMBER(F65)),"",F65*$D$35)</x:f>
        <x:v>3644.4912574045084</x:v>
      </x:c>
      <x:c r="I65" s="27" t="str">
        <x:f>IF(OR($D$24="",NOT(ISNUMBER(H65))),"",H65*$D$24)</x:f>
      </x:c>
      <x:c r="J65" s="27" t="n">
        <x:f>IF(E65="","",MAX(0,E65-$G$34))</x:f>
        <x:v>185.70244881300576</x:v>
      </x:c>
      <x:c r="K65" s="27" t="n">
        <x:f>IF(D65="","",$G$40/($G$38-MAX(0,(C65-$G$33)*$D$35)/(1-$G$32-$J$7))-$G$34)</x:f>
        <x:v>189.63682272853552</x:v>
      </x:c>
      <x:c r="L65" s="89" t="n">
        <x:f>IF(K65="","",$J$31+K65)</x:f>
        <x:v>364.17872890978595</x:v>
      </x:c>
    </x:row>
    <x:row r="66" ht="26" customHeight="1">
      <x:c r="A66" s="2"/>
      <x:c r="B66" s="2"/>
      <x:c r="C66" s="77" t="n">
        <x:v>0.84</x:v>
      </x:c>
      <x:c r="D66" s="80" t="n">
        <x:f>IF(C66&lt;$G$23,$D$35*(1-C66)-$G$41,"")</x:f>
        <x:v>78367346.93877555</x:v>
      </x:c>
      <x:c r="E66" s="27" t="n">
        <x:f>IF(D66="","",$G$40/D66)</x:f>
        <x:v>449.99085187353614</x:v>
      </x:c>
      <x:c r="F66" s="83" t="n">
        <x:f>IF(OR(D66="",E66=""),"",E66/D66)</x:f>
        <x:v>0.000005742070766094599</x:v>
      </x:c>
      <x:c r="G66" s="83" t="str">
        <x:f>IF(OR($D$24="",NOT(ISNUMBER(F66))),"",F66*$D$24)</x:f>
      </x:c>
      <x:c r="H66" s="27" t="n">
        <x:f>IF(NOT(ISNUMBER(F66)),"",F66*$D$35)</x:f>
        <x:v>5742.070766094599</x:v>
      </x:c>
      <x:c r="I66" s="27" t="str">
        <x:f>IF(OR($D$24="",NOT(ISNUMBER(H66))),"",H66*$D$24)</x:f>
      </x:c>
      <x:c r="J66" s="27" t="n">
        <x:f>IF(E66="","",MAX(0,E66-$G$34))</x:f>
        <x:v>277.19436475409816</x:v>
      </x:c>
      <x:c r="K66" s="27" t="n">
        <x:f>IF(D66="","",$G$40/($G$38-MAX(0,(C66-$G$33)*$D$35)/(1-$G$32-$J$7))-$G$34)</x:f>
        <x:v>284.6059787849564</x:v>
      </x:c>
      <x:c r="L66" s="89" t="n">
        <x:f>IF(K66="","",$J$31+K66)</x:f>
        <x:v>459.14788496620685</x:v>
      </x:c>
    </x:row>
    <x:row r="67" ht="26" customHeight="1">
      <x:c r="A67" s="2"/>
      <x:c r="B67" s="2"/>
      <x:c r="C67" s="77" t="n">
        <x:v>0.86</x:v>
      </x:c>
      <x:c r="D67" s="80" t="n">
        <x:f>IF(C67&lt;$G$23,$D$35*(1-C67)-$G$41,"")</x:f>
        <x:v>58367346.938775524</x:v>
      </x:c>
      <x:c r="E67" s="27" t="n">
        <x:f>IF(D67="","",$G$40/D67)</x:f>
        <x:v>604.1835213966361</x:v>
      </x:c>
      <x:c r="F67" s="83" t="n">
        <x:f>IF(OR(D67="",E67=""),"",E67/D67)</x:f>
        <x:v>0.00001035139599595635</x:v>
      </x:c>
      <x:c r="G67" s="83" t="str">
        <x:f>IF(OR($D$24="",NOT(ISNUMBER(F67))),"",F67*$D$24)</x:f>
      </x:c>
      <x:c r="H67" s="27" t="n">
        <x:f>IF(NOT(ISNUMBER(F67)),"",F67*$D$35)</x:f>
        <x:v>10351.39599595635</x:v>
      </x:c>
      <x:c r="I67" s="27" t="str">
        <x:f>IF(OR($D$24="",NOT(ISNUMBER(H67))),"",H67*$D$24)</x:f>
      </x:c>
      <x:c r="J67" s="27" t="n">
        <x:f>IF(E67="","",MAX(0,E67-$G$34))</x:f>
        <x:v>431.38703427719815</x:v>
      </x:c>
      <x:c r="K67" s="27" t="n">
        <x:f>IF(D67="","",$G$40/($G$38-MAX(0,(C67-$G$33)*$D$35)/(1-$G$32-$J$7))-$G$34)</x:f>
        <x:v>447.0169992872412</x:v>
      </x:c>
      <x:c r="L67" s="89" t="n">
        <x:f>IF(K67="","",$J$31+K67)</x:f>
        <x:v>621.5589054684917</x:v>
      </x:c>
    </x:row>
    <x:row r="68" ht="26" customHeight="1">
      <x:c r="A68" s="2"/>
      <x:c r="B68" s="2"/>
      <x:c r="C68" s="77" t="n">
        <x:v>0.88</x:v>
      </x:c>
      <x:c r="D68" s="80" t="n">
        <x:f>IF(C68&lt;$G$23,$D$35*(1-C68)-$G$41,"")</x:f>
        <x:v>38367346.938775524</x:v>
      </x:c>
      <x:c r="E68" s="27" t="n">
        <x:f>IF(D68="","",$G$40/D68)</x:f>
        <x:v>919.1302506353081</x:v>
      </x:c>
      <x:c r="F68" s="83" t="n">
        <x:f>IF(OR(D68="",E68=""),"",E68/D68)</x:f>
        <x:v>0.000023956054404856426</x:v>
      </x:c>
      <x:c r="G68" s="83" t="str">
        <x:f>IF(OR($D$24="",NOT(ISNUMBER(F68))),"",F68*$D$24)</x:f>
      </x:c>
      <x:c r="H68" s="27" t="n">
        <x:f>IF(NOT(ISNUMBER(F68)),"",F68*$D$35)</x:f>
        <x:v>23956.054404856426</x:v>
      </x:c>
      <x:c r="I68" s="27" t="str">
        <x:f>IF(OR($D$24="",NOT(ISNUMBER(H68))),"",H68*$D$24)</x:f>
      </x:c>
      <x:c r="J68" s="27" t="n">
        <x:f>IF(E68="","",MAX(0,E68-$G$34))</x:f>
        <x:v>746.3337635158701</x:v>
      </x:c>
      <x:c r="K68" s="27" t="n">
        <x:f>IF(D68="","",$G$40/($G$38-MAX(0,(C68-$G$33)*$D$35)/(1-$G$32-$J$7))-$G$34)</x:f>
        <x:v>788.2626266347389</x:v>
      </x:c>
      <x:c r="L68" s="89" t="n">
        <x:f>IF(K68="","",$J$31+K68)</x:f>
        <x:v>962.8045328159894</x:v>
      </x:c>
    </x:row>
    <x:row r="69" ht="26" customHeight="1">
      <x:c r="A69" s="2"/>
      <x:c r="B69" s="2"/>
      <x:c r="C69" s="77" t="n">
        <x:v>0.89</x:v>
      </x:c>
      <x:c r="D69" s="80" t="n">
        <x:f>IF(C69&lt;$G$23,$D$35*(1-C69)-$G$41,"")</x:f>
        <x:v>28367346.93877551</x:v>
      </x:c>
      <x:c r="E69" s="27" t="n">
        <x:f>IF(D69="","",$G$40/D69)</x:f>
        <x:v>1243.1401951038704</x:v>
      </x:c>
      <x:c r="F69" s="83" t="n">
        <x:f>IF(OR(D69="",E69=""),"",E69/D69)</x:f>
        <x:v>0.00004382292774107169</x:v>
      </x:c>
      <x:c r="G69" s="83" t="str">
        <x:f>IF(OR($D$24="",NOT(ISNUMBER(F69))),"",F69*$D$24)</x:f>
      </x:c>
      <x:c r="H69" s="27" t="n">
        <x:f>IF(NOT(ISNUMBER(F69)),"",F69*$D$35)</x:f>
        <x:v>43822.92774107169</x:v>
      </x:c>
      <x:c r="I69" s="27" t="str">
        <x:f>IF(OR($D$24="",NOT(ISNUMBER(H69))),"",H69*$D$24)</x:f>
      </x:c>
      <x:c r="J69" s="27" t="n">
        <x:f>IF(E69="","",MAX(0,E69-$G$34))</x:f>
        <x:v>1070.3437079844325</x:v>
      </x:c>
      <x:c r="K69" s="27" t="n">
        <x:f>IF(D69="","",$G$40/($G$38-MAX(0,(C69-$G$33)*$D$35)/(1-$G$32-$J$7))-$G$34)</x:f>
        <x:v>1153.31608844834</x:v>
      </x:c>
      <x:c r="L69" s="89" t="n">
        <x:f>IF(K69="","",$J$31+K69)</x:f>
        <x:v>1327.8579946295904</x:v>
      </x:c>
    </x:row>
    <x:row r="70" ht="26" customHeight="1">
      <x:c r="A70" s="2"/>
      <x:c r="B70" s="2"/>
      <x:c r="C70" s="77" t="n">
        <x:v>0.9</x:v>
      </x:c>
      <x:c r="D70" s="80" t="n">
        <x:f>IF(C70&lt;$G$23,$D$35*(1-C70)-$G$41,"")</x:f>
        <x:v>18367346.93877551</x:v>
      </x:c>
      <x:c r="E70" s="27" t="n">
        <x:f>IF(D70="","",$G$40/D70)</x:f>
        <x:v>1919.9609679937555</x:v>
      </x:c>
      <x:c r="F70" s="83" t="n">
        <x:f>IF(OR(D70="",E70=""),"",E70/D70)</x:f>
        <x:v>0.0001045312082574378</x:v>
      </x:c>
      <x:c r="G70" s="83" t="str">
        <x:f>IF(OR($D$24="",NOT(ISNUMBER(F70))),"",F70*$D$24)</x:f>
      </x:c>
      <x:c r="H70" s="27" t="n">
        <x:f>IF(NOT(ISNUMBER(F70)),"",F70*$D$35)</x:f>
        <x:v>104531.2082574378</x:v>
      </x:c>
      <x:c r="I70" s="27" t="str">
        <x:f>IF(OR($D$24="",NOT(ISNUMBER(H70))),"",H70*$D$24)</x:f>
      </x:c>
      <x:c r="J70" s="27" t="n">
        <x:f>IF(E70="","",MAX(0,E70-$G$34))</x:f>
        <x:v>1747.1644808743176</x:v>
      </x:c>
      <x:c r="K70" s="27" t="n">
        <x:f>IF(D70="","",$G$40/($G$38-MAX(0,(C70-$G$33)*$D$35)/(1-$G$32-$J$7))-$G$34)</x:f>
        <x:v>1965.5600409836077</x:v>
      </x:c>
      <x:c r="L70" s="89" t="n">
        <x:f>IF(K70="","",$J$31+K70)</x:f>
        <x:v>2140.1019471648583</x:v>
      </x:c>
    </x:row>
    <x:row r="71" ht="26" customHeight="1">
      <x:c r="A71" s="2"/>
      <x:c r="B71" s="2"/>
      <x:c r="C71" s="77" t="n">
        <x:v>0.905</x:v>
      </x:c>
      <x:c r="D71" s="80" t="n">
        <x:f>IF(C71&lt;$G$23,$D$35*(1-C71)-$G$41,"")</x:f>
        <x:v>13367346.938775495</x:v>
      </x:c>
      <x:c r="E71" s="27" t="n">
        <x:f>IF(D71="","",$G$40/D71)</x:f>
        <x:v>2638.1143071669953</x:v>
      </x:c>
      <x:c r="F71" s="83" t="n">
        <x:f>IF(OR(D71="",E71=""),"",E71/D71)</x:f>
        <x:v>0.00019735511610867622</x:v>
      </x:c>
      <x:c r="G71" s="83" t="str">
        <x:f>IF(OR($D$24="",NOT(ISNUMBER(F71))),"",F71*$D$24)</x:f>
      </x:c>
      <x:c r="H71" s="27" t="n">
        <x:f>IF(NOT(ISNUMBER(F71)),"",F71*$D$35)</x:f>
        <x:v>197355.11610867621</x:v>
      </x:c>
      <x:c r="I71" s="27" t="str">
        <x:f>IF(OR($D$24="",NOT(ISNUMBER(H71))),"",H71*$D$24)</x:f>
      </x:c>
      <x:c r="J71" s="27" t="n">
        <x:f>IF(E71="","",MAX(0,E71-$G$34))</x:f>
        <x:v>2465.3178200475572</x:v>
      </x:c>
      <x:c r="K71" s="27" t="n">
        <x:f>IF(D71="","",$G$40/($G$38-MAX(0,(C71-$G$33)*$D$35)/(1-$G$32-$J$7))-$G$34)</x:f>
        <x:v>2909.51922906513</x:v>
      </x:c>
      <x:c r="L71" s="89" t="n">
        <x:f>IF(K71="","",$J$31+K71)</x:f>
        <x:v>3084.06113524638</x:v>
      </x:c>
    </x:row>
    <x:row r="72" ht="26" customHeight="1">
      <x:c r="A72" s="2"/>
      <x:c r="B72" s="2"/>
      <x:c r="C72" s="77" t="n">
        <x:v>0.91</x:v>
      </x:c>
      <x:c r="D72" s="80" t="n">
        <x:f>IF(C72&lt;$G$23,$D$35*(1-C72)-$G$41,"")</x:f>
        <x:v>8367346.938775495</x:v>
      </x:c>
      <x:c r="E72" s="27" t="n">
        <x:f>IF(D72="","",$G$40/D72)</x:f>
        <x:v>4214.548466327764</x:v>
      </x:c>
      <x:c r="F72" s="83" t="n">
        <x:f>IF(OR(D72="",E72=""),"",E72/D72)</x:f>
        <x:v>0.0005036899386586849</x:v>
      </x:c>
      <x:c r="G72" s="83" t="str">
        <x:f>IF(OR($D$24="",NOT(ISNUMBER(F72))),"",F72*$D$24)</x:f>
      </x:c>
      <x:c r="H72" s="27" t="n">
        <x:f>IF(NOT(ISNUMBER(F72)),"",F72*$D$35)</x:f>
        <x:v>503689.93865868496</x:v>
      </x:c>
      <x:c r="I72" s="27" t="str">
        <x:f>IF(OR($D$24="",NOT(ISNUMBER(H72))),"",H72*$D$24)</x:f>
      </x:c>
      <x:c r="J72" s="27" t="n">
        <x:f>IF(E72="","",MAX(0,E72-$G$34))</x:f>
        <x:v>4041.751979208326</x:v>
      </x:c>
      <x:c r="K72" s="27" t="n">
        <x:f>IF(D72="","",$G$40/($G$38-MAX(0,(C72-$G$33)*$D$35)/(1-$G$32-$J$7))-$G$34)</x:f>
        <x:v>5345.542940243272</x:v>
      </x:c>
      <x:c r="L72" s="89" t="n">
        <x:f>IF(K72="","",$J$31+K72)</x:f>
        <x:v>5520.084846424523</x:v>
      </x:c>
    </x:row>
    <x:row r="73" ht="26" customHeight="1">
      <x:c r="A73" s="2"/>
      <x:c r="B73" s="2"/>
      <x:c r="C73" s="77" t="n">
        <x:v>0.915</x:v>
      </x:c>
      <x:c r="D73" s="80" t="n">
        <x:f>IF(C73&lt;$G$23,$D$35*(1-C73)-$G$41,"")</x:f>
        <x:v>3367346.9387754947</x:v>
      </x:c>
      <x:c r="E73" s="27" t="n">
        <x:f>IF(D73="","",$G$40/D73)</x:f>
        <x:v>10472.514370875078</x:v>
      </x:c>
      <x:c r="F73" s="83" t="n">
        <x:f>IF(OR(D73="",E73=""),"",E73/D73)</x:f>
        <x:v>0.0031100194192295832</x:v>
      </x:c>
      <x:c r="G73" s="83" t="str">
        <x:f>IF(OR($D$24="",NOT(ISNUMBER(F73))),"",F73*$D$24)</x:f>
      </x:c>
      <x:c r="H73" s="27" t="n">
        <x:f>IF(NOT(ISNUMBER(F73)),"",F73*$D$35)</x:f>
        <x:v>3110019.4192295833</x:v>
      </x:c>
      <x:c r="I73" s="27" t="str">
        <x:f>IF(OR($D$24="",NOT(ISNUMBER(H73))),"",H73*$D$24)</x:f>
      </x:c>
      <x:c r="J73" s="27" t="n">
        <x:f>IF(E73="","",MAX(0,E73-$G$34))</x:f>
        <x:v>10299.71788375564</x:v>
      </x:c>
      <x:c r="K73" s="27" t="n">
        <x:f>IF(D73="","",$G$40/($G$38-MAX(0,(C73-$G$33)*$D$35)/(1-$G$32-$J$7))-$G$34)</x:f>
        <x:v>26145.43770491818</x:v>
      </x:c>
      <x:c r="L73" s="89" t="n">
        <x:f>IF(K73="","",$J$31+K73)</x:f>
        <x:v>26319.97961109943</x:v>
      </x:c>
    </x:row>
    <x:row r="74" ht="26" customHeight="1">
      <x:c r="A74" s="2"/>
      <x:c r="B74" s="2"/>
      <x:c r="C74" s="77" t="n">
        <x:v>0.918</x:v>
      </x:c>
      <x:c r="D74" s="80" t="str">
        <x:f>IF(C74&lt;$G$23,$D$35*(1-C74)-$G$41,"")</x:f>
      </x:c>
      <x:c r="E74" s="27" t="str">
        <x:f>IF(D74="","",$G$40/D74)</x:f>
      </x:c>
      <x:c r="F74" s="83" t="str">
        <x:f>IF(OR(D74="",E74=""),"",E74/D74)</x:f>
      </x:c>
      <x:c r="G74" s="83" t="str">
        <x:f>IF(OR($D$24="",NOT(ISNUMBER(F74))),"",F74*$D$24)</x:f>
      </x:c>
      <x:c r="H74" s="27" t="str">
        <x:f>IF(NOT(ISNUMBER(F74)),"",F74*$D$35)</x:f>
      </x:c>
      <x:c r="I74" s="27" t="str">
        <x:f>IF(OR($D$24="",NOT(ISNUMBER(H74))),"",H74*$D$24)</x:f>
      </x:c>
      <x:c r="J74" s="27" t="str">
        <x:f>IF(E74="","",MAX(0,E74-$G$34))</x:f>
      </x:c>
      <x:c r="K74" s="27" t="str">
        <x:f>IF(D74="","",$G$40/($G$38-MAX(0,(C74-$G$33)*$D$35)/(1-$G$32-$J$7))-$G$34)</x:f>
      </x:c>
      <x:c r="L74" s="89" t="str">
        <x:f>IF(K74="","",$J$31+K74)</x:f>
      </x:c>
    </x:row>
    <x:row r="75" ht="26" customHeight="1">
      <x:c r="A75" s="2"/>
      <x:c r="B75" s="2"/>
      <x:c r="C75" s="78" t="n">
        <x:v>0.9183673469387755</x:v>
      </x:c>
      <x:c r="D75" s="81" t="str">
        <x:f>IF(C75&lt;$G$23,$D$35*(1-C75)-$G$41,"")</x:f>
      </x:c>
      <x:c r="E75" s="28" t="str">
        <x:f>IF(D75="","",$G$40/D75)</x:f>
      </x:c>
      <x:c r="F75" s="84" t="str">
        <x:f>IF(OR(D75="",E75=""),"",E75/D75)</x:f>
      </x:c>
      <x:c r="G75" s="84" t="str">
        <x:f>IF(OR($D$24="",NOT(ISNUMBER(F75))),"",F75*$D$24)</x:f>
      </x:c>
      <x:c r="H75" s="28" t="str">
        <x:f>IF(NOT(ISNUMBER(F75)),"",F75*$D$35)</x:f>
      </x:c>
      <x:c r="I75" s="28" t="str">
        <x:f>IF(OR($D$24="",NOT(ISNUMBER(H75))),"",H75*$D$24)</x:f>
      </x:c>
      <x:c r="J75" s="28" t="str">
        <x:f>IF(E75="","",MAX(0,E75-$G$34))</x:f>
      </x:c>
      <x:c r="K75" s="28" t="str">
        <x:f>IF(D75="","",$G$40/($G$38-MAX(0,(C75-$G$33)*$D$35)/(1-$G$32-$J$7))-$G$34)</x:f>
      </x:c>
      <x:c r="L75" s="90" t="str">
        <x:f>IF(K75="","",$J$31+K75)</x:f>
      </x:c>
    </x:row>
    <x:row r="76" ht="26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26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27" customHeight="1">
      <x:c r="A78" s="2"/>
      <x:c r="B78" s="2"/>
      <x:c r="C78" s="100" t="str">
        <x:v>外盘回落参考</x:v>
      </x:c>
      <x:c r="D78" s="100"/>
      <x:c r="E78" s="100"/>
      <x:c r="F78" s="100"/>
      <x:c r="G78" s="100"/>
      <x:c r="H78" s="100"/>
      <x:c r="I78" s="100"/>
      <x:c r="J78" s="100"/>
      <x:c r="K78" s="100"/>
      <x:c r="L78" s="100"/>
    </x:row>
    <x:row r="79" ht="38" customHeight="1">
      <x:c r="A79" s="2"/>
      <x:c r="B79" s="2"/>
      <x:c r="C79" s="75" t="str">
        <x:v>控筹率</x:v>
      </x:c>
      <x:c r="D79" s="75" t="str">
        <x:v>pooled TOKEN</x:v>
      </x:c>
      <x:c r="E79" s="75" t="str">
        <x:v>pooled Quote</x:v>
      </x:c>
      <x:c r="F79" s="75" t="str">
        <x:v>价格 / Quote</x:v>
      </x:c>
      <x:c r="G79" s="75" t="str">
        <x:v>价格 / USDT</x:v>
      </x:c>
      <x:c r="H79" s="75" t="str">
        <x:v>市值 / Quote</x:v>
      </x:c>
      <x:c r="I79" s="75" t="str">
        <x:v>市值 / USDT</x:v>
      </x:c>
      <x:c r="J79" s="75" t="str">
        <x:v>较毕业点回撤</x:v>
      </x:c>
      <x:c r="K79" s="75" t="str"/>
      <x:c r="L79" s="75" t="str"/>
    </x:row>
    <x:row r="80" ht="26" customHeight="1">
      <x:c r="A80" s="2"/>
      <x:c r="B80" s="2"/>
      <x:c r="C80" s="95" t="n">
        <x:v>0.7142857142857143</x:v>
      </x:c>
      <x:c r="D80" s="96" t="n">
        <x:f>$D$35*(1-C80)-$G$41</x:f>
        <x:v>204081632.6530612</x:v>
      </x:c>
      <x:c r="E80" s="97" t="n">
        <x:f>$G$40/D80</x:f>
        <x:v>172.79648711943798</x:v>
      </x:c>
      <x:c r="F80" s="98" t="n">
        <x:f>IF(OR(D80="",E80=""),"",E80/D80)</x:f>
        <x:v>8.467027868852462e-7</x:v>
      </x:c>
      <x:c r="G80" s="98" t="str">
        <x:f>IF(OR($D$24="",NOT(ISNUMBER(F80))),"",F80*$D$24)</x:f>
      </x:c>
      <x:c r="H80" s="97" t="n">
        <x:f>IF(NOT(ISNUMBER(F80)),"",F80*$D$35)</x:f>
        <x:v>846.7027868852463</x:v>
      </x:c>
      <x:c r="I80" s="97" t="str">
        <x:f>IF(OR($D$24="",NOT(ISNUMBER(H80))),"",H80*$D$24)</x:f>
      </x:c>
      <x:c r="J80" s="95" t="n">
        <x:f>IF($H$80&gt;0,1-H80/$H$80,0)</x:f>
        <x:v>0</x:v>
      </x:c>
      <x:c r="K80" s="97"/>
      <x:c r="L80" s="97"/>
    </x:row>
    <x:row r="81" ht="26" customHeight="1">
      <x:c r="A81" s="2"/>
      <x:c r="B81" s="2"/>
      <x:c r="C81" s="77" t="n">
        <x:v>0.7</x:v>
      </x:c>
      <x:c r="D81" s="80" t="n">
        <x:f>$D$35*(1-C81)-$G$41</x:f>
        <x:v>218367346.9387756</x:v>
      </x:c>
      <x:c r="E81" s="27" t="n">
        <x:f>$G$40/D81</x:f>
        <x:v>161.49204403685786</x:v>
      </x:c>
      <x:c r="F81" s="83" t="n">
        <x:f>IF(OR(D81="",E81=""),"",E81/D81)</x:f>
        <x:v>7.395430054024329e-7</x:v>
      </x:c>
      <x:c r="G81" s="83" t="str">
        <x:f>IF(OR($D$24="",NOT(ISNUMBER(F81))),"",F81*$D$24)</x:f>
      </x:c>
      <x:c r="H81" s="27" t="n">
        <x:f>IF(NOT(ISNUMBER(F81)),"",F81*$D$35)</x:f>
        <x:v>739.5430054024329</x:v>
      </x:c>
      <x:c r="I81" s="27" t="str">
        <x:f>IF(OR($D$24="",NOT(ISNUMBER(H81))),"",H81*$D$24)</x:f>
      </x:c>
      <x:c r="J81" s="77" t="n">
        <x:f>IF($H$80&gt;0,1-H81/$H$80,0)</x:f>
        <x:v>0.12656127172678933</x:v>
      </x:c>
      <x:c r="K81" s="27"/>
      <x:c r="L81" s="27"/>
    </x:row>
    <x:row r="82" ht="26" customHeight="1">
      <x:c r="A82" s="2"/>
      <x:c r="B82" s="2"/>
      <x:c r="C82" s="77" t="n">
        <x:v>0.6</x:v>
      </x:c>
      <x:c r="D82" s="80" t="n">
        <x:f>$D$35*(1-C82)-$G$41</x:f>
        <x:v>318367346.93877554</x:v>
      </x:c>
      <x:c r="E82" s="27" t="n">
        <x:f>$G$40/D82</x:f>
        <x:v>110.76697892271665</x:v>
      </x:c>
      <x:c r="F82" s="83" t="n">
        <x:f>IF(OR(D82="",E82=""),"",E82/D82)</x:f>
        <x:v>3.479219209751997e-7</x:v>
      </x:c>
      <x:c r="G82" s="83" t="str">
        <x:f>IF(OR($D$24="",NOT(ISNUMBER(F82))),"",F82*$D$24)</x:f>
      </x:c>
      <x:c r="H82" s="27" t="n">
        <x:f>IF(NOT(ISNUMBER(F82)),"",F82*$D$35)</x:f>
        <x:v>347.9219209751997</x:v>
      </x:c>
      <x:c r="I82" s="27" t="str">
        <x:f>IF(OR($D$24="",NOT(ISNUMBER(H82))),"",H82*$D$24)</x:f>
      </x:c>
      <x:c r="J82" s="77" t="n">
        <x:f>IF($H$80&gt;0,1-H82/$H$80,0)</x:f>
        <x:v>0.5890861275476661</x:v>
      </x:c>
      <x:c r="K82" s="27"/>
      <x:c r="L82" s="27"/>
    </x:row>
    <x:row r="83" ht="26" customHeight="1">
      <x:c r="A83" s="2"/>
      <x:c r="B83" s="2"/>
      <x:c r="C83" s="77" t="n">
        <x:v>0.5</x:v>
      </x:c>
      <x:c r="D83" s="80" t="n">
        <x:f>$D$35*(1-C83)-$G$41</x:f>
        <x:v>418367346.93877554</x:v>
      </x:c>
      <x:c r="E83" s="27" t="n">
        <x:f>$G$40/D83</x:f>
        <x:v>84.29096932655511</x:v>
      </x:c>
      <x:c r="F83" s="83" t="n">
        <x:f>IF(OR(D83="",E83=""),"",E83/D83)</x:f>
        <x:v>2.0147597546347317e-7</x:v>
      </x:c>
      <x:c r="G83" s="83" t="str">
        <x:f>IF(OR($D$24="",NOT(ISNUMBER(F83))),"",F83*$D$24)</x:f>
      </x:c>
      <x:c r="H83" s="27" t="n">
        <x:f>IF(NOT(ISNUMBER(F83)),"",F83*$D$35)</x:f>
        <x:v>201.47597546347316</x:v>
      </x:c>
      <x:c r="I83" s="27" t="str">
        <x:f>IF(OR($D$24="",NOT(ISNUMBER(H83))),"",H83*$D$24)</x:f>
      </x:c>
      <x:c r="J83" s="77" t="n">
        <x:f>IF($H$80&gt;0,1-H83/$H$80,0)</x:f>
        <x:v>0.7620464009518144</x:v>
      </x:c>
      <x:c r="K83" s="27"/>
      <x:c r="L83" s="27"/>
    </x:row>
    <x:row r="84" ht="26" customHeight="1">
      <x:c r="A84" s="2"/>
      <x:c r="B84" s="2"/>
      <x:c r="C84" s="77" t="n">
        <x:v>0.4</x:v>
      </x:c>
      <x:c r="D84" s="80" t="n">
        <x:f>$D$35*(1-C84)-$G$41</x:f>
        <x:v>518367346.93877554</x:v>
      </x:c>
      <x:c r="E84" s="27" t="n">
        <x:f>$G$40/D84</x:f>
        <x:v>68.03011303914882</x:v>
      </x:c>
      <x:c r="F84" s="83" t="n">
        <x:f>IF(OR(D84="",E84=""),"",E84/D84)</x:f>
        <x:v>1.3123919444560203e-7</x:v>
      </x:c>
      <x:c r="G84" s="83" t="str">
        <x:f>IF(OR($D$24="",NOT(ISNUMBER(F84))),"",F84*$D$24)</x:f>
      </x:c>
      <x:c r="H84" s="27" t="n">
        <x:f>IF(NOT(ISNUMBER(F84)),"",F84*$D$35)</x:f>
        <x:v>131.23919444560204</x:v>
      </x:c>
      <x:c r="I84" s="27" t="str">
        <x:f>IF(OR($D$24="",NOT(ISNUMBER(H84))),"",H84*$D$24)</x:f>
      </x:c>
      <x:c r="J84" s="77" t="n">
        <x:f>IF($H$80&gt;0,1-H84/$H$80,0)</x:f>
        <x:v>0.84499968999938</x:v>
      </x:c>
      <x:c r="K84" s="27"/>
      <x:c r="L84" s="27"/>
    </x:row>
    <x:row r="85" ht="26" customHeight="1">
      <x:c r="A85" s="2"/>
      <x:c r="B85" s="2"/>
      <x:c r="C85" s="77" t="n">
        <x:v>0.3</x:v>
      </x:c>
      <x:c r="D85" s="80" t="n">
        <x:f>$D$35*(1-C85)-$G$41</x:f>
        <x:v>618367346.9387755</x:v>
      </x:c>
      <x:c r="E85" s="27" t="n">
        <x:f>$G$40/D85</x:f>
        <x:v>57.028543603774914</x:v>
      </x:c>
      <x:c r="F85" s="83" t="n">
        <x:f>IF(OR(D85="",E85=""),"",E85/D85)</x:f>
        <x:v>9.222437744504854e-8</x:v>
      </x:c>
      <x:c r="G85" s="83" t="str">
        <x:f>IF(OR($D$24="",NOT(ISNUMBER(F85))),"",F85*$D$24)</x:f>
      </x:c>
      <x:c r="H85" s="27" t="n">
        <x:f>IF(NOT(ISNUMBER(F85)),"",F85*$D$35)</x:f>
        <x:v>92.22437744504853</x:v>
      </x:c>
      <x:c r="I85" s="27" t="str">
        <x:f>IF(OR($D$24="",NOT(ISNUMBER(H85))),"",H85*$D$24)</x:f>
      </x:c>
      <x:c r="J85" s="77" t="n">
        <x:f>IF($H$80&gt;0,1-H85/$H$80,0)</x:f>
        <x:v>0.8910782167325644</x:v>
      </x:c>
      <x:c r="K85" s="27"/>
      <x:c r="L85" s="27"/>
    </x:row>
    <x:row r="86" ht="26" customHeight="1">
      <x:c r="A86" s="2"/>
      <x:c r="B86" s="2"/>
      <x:c r="C86" s="77" t="n">
        <x:v>0.2</x:v>
      </x:c>
      <x:c r="D86" s="80" t="n">
        <x:f>$D$35*(1-C86)-$G$41</x:f>
        <x:v>718367346.9387755</x:v>
      </x:c>
      <x:c r="E86" s="27" t="n">
        <x:f>$G$40/D86</x:f>
        <x:v>49.089911113476695</x:v>
      </x:c>
      <x:c r="F86" s="83" t="n">
        <x:f>IF(OR(D86="",E86=""),"",E86/D86)</x:f>
        <x:v>6.833538762955562e-8</x:v>
      </x:c>
      <x:c r="G86" s="83" t="str">
        <x:f>IF(OR($D$24="",NOT(ISNUMBER(F86))),"",F86*$D$24)</x:f>
      </x:c>
      <x:c r="H86" s="27" t="n">
        <x:f>IF(NOT(ISNUMBER(F86)),"",F86*$D$35)</x:f>
        <x:v>68.33538762955563</x:v>
      </x:c>
      <x:c r="I86" s="27" t="str">
        <x:f>IF(OR($D$24="",NOT(ISNUMBER(H86))),"",H86*$D$24)</x:f>
      </x:c>
      <x:c r="J86" s="77" t="n">
        <x:f>IF($H$80&gt;0,1-H86/$H$80,0)</x:f>
        <x:v>0.9192923553719008</x:v>
      </x:c>
      <x:c r="K86" s="27"/>
      <x:c r="L86" s="27"/>
    </x:row>
    <x:row r="87" ht="26" customHeight="1">
      <x:c r="A87" s="2"/>
      <x:c r="B87" s="2"/>
      <x:c r="C87" s="77" t="n">
        <x:v>0.1</x:v>
      </x:c>
      <x:c r="D87" s="80" t="n">
        <x:f>$D$35*(1-C87)-$G$41</x:f>
        <x:v>818367346.9387755</x:v>
      </x:c>
      <x:c r="E87" s="27" t="n">
        <x:f>$G$40/D87</x:f>
        <x:v>43.09139329661795</x:v>
      </x:c>
      <x:c r="F87" s="83" t="n">
        <x:f>IF(OR(D87="",E87=""),"",E87/D87)</x:f>
        <x:v>5.265531849212667e-8</x:v>
      </x:c>
      <x:c r="G87" s="83" t="str">
        <x:f>IF(OR($D$24="",NOT(ISNUMBER(F87))),"",F87*$D$24)</x:f>
      </x:c>
      <x:c r="H87" s="27" t="n">
        <x:f>IF(NOT(ISNUMBER(F87)),"",F87*$D$35)</x:f>
        <x:v>52.65531849212667</x:v>
      </x:c>
      <x:c r="I87" s="27" t="str">
        <x:f>IF(OR($D$24="",NOT(ISNUMBER(H87))),"",H87*$D$24)</x:f>
      </x:c>
      <x:c r="J87" s="77" t="n">
        <x:f>IF($H$80&gt;0,1-H87/$H$80,0)</x:f>
        <x:v>0.9378113320190795</x:v>
      </x:c>
      <x:c r="K87" s="27"/>
      <x:c r="L87" s="27"/>
    </x:row>
    <x:row r="88" ht="26" customHeight="1">
      <x:c r="A88" s="2"/>
      <x:c r="B88" s="2"/>
      <x:c r="C88" s="78" t="n">
        <x:v>0</x:v>
      </x:c>
      <x:c r="D88" s="81" t="n">
        <x:f>$D$35*(1-C88)-$G$41</x:f>
        <x:v>918367346.9387755</x:v>
      </x:c>
      <x:c r="E88" s="28" t="n">
        <x:f>$G$40/D88</x:f>
        <x:v>38.399219359875104</x:v>
      </x:c>
      <x:c r="F88" s="84" t="n">
        <x:f>IF(OR(D88="",E88=""),"",E88/D88)</x:f>
        <x:v>4.181248330297511e-8</x:v>
      </x:c>
      <x:c r="G88" s="84" t="str">
        <x:f>IF(OR($D$24="",NOT(ISNUMBER(F88))),"",F88*$D$24)</x:f>
      </x:c>
      <x:c r="H88" s="28" t="n">
        <x:f>IF(NOT(ISNUMBER(F88)),"",F88*$D$35)</x:f>
        <x:v>41.81248330297511</x:v>
      </x:c>
      <x:c r="I88" s="28" t="str">
        <x:f>IF(OR($D$24="",NOT(ISNUMBER(H88))),"",H88*$D$24)</x:f>
      </x:c>
      <x:c r="J88" s="78" t="n">
        <x:f>IF($H$80&gt;0,1-H88/$H$80,0)</x:f>
        <x:v>0.9506172839506173</x:v>
      </x:c>
      <x:c r="K88" s="101" t="str">
        <x:v>沉没成本 / Quote</x:v>
      </x:c>
      <x:c r="L88" s="28" t="n">
        <x:f>E88</x:f>
        <x:v>38.399219359875104</x:v>
      </x:c>
    </x:row>
    <x:row r="89" ht="26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 ht="26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 ht="26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 ht="26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 ht="26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 ht="26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 ht="26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 ht="26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 ht="26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 ht="26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 ht="26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 ht="26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 ht="26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 ht="26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 ht="26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ht="26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ht="26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 ht="26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 ht="26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 ht="26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 ht="26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 ht="26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 ht="26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 ht="26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 ht="26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 ht="26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 ht="26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  <x:row r="116" ht="26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 ht="26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 ht="26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 ht="26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 ht="26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</x:row>
    <x:row r="121" ht="26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</x:row>
    <x:row r="122" ht="26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</x:row>
    <x:row r="123" ht="26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</x:row>
    <x:row r="124" ht="26" customHeight="1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</x:row>
    <x:row r="125" ht="26" customHeight="1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</x:row>
    <x:row r="126" ht="26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</x:row>
    <x:row r="127" ht="26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</x:row>
    <x:row r="128" ht="26" customHeight="1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</x:row>
    <x:row r="129" ht="26" customHeight="1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</x:row>
    <x:row r="130" ht="26" customHeight="1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</x:row>
    <x:row r="131" ht="26" customHeight="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</x:row>
    <x:row r="132" ht="26" customHeight="1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</x:row>
    <x:row r="133" ht="26" customHeight="1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</x:row>
    <x:row r="134" ht="26" customHeight="1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</x:row>
    <x:row r="135" ht="26" customHeight="1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</x:row>
    <x:row r="136" ht="26" customHeight="1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</x:row>
    <x:row r="137" ht="26" customHeight="1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</x:row>
    <x:row r="138" ht="26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</x:row>
    <x:row r="139" ht="26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</x:row>
    <x:row r="140" ht="26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</x:row>
  </x:sheetData>
  <x:mergeCells>
    <x:mergeCell ref="C3:L3"/>
    <x:mergeCell ref="K8:L8"/>
    <x:mergeCell ref="K10:L10"/>
    <x:mergeCell ref="K11:L12"/>
    <x:mergeCell ref="C13:L13"/>
    <x:mergeCell ref="I25:L25"/>
    <x:mergeCell ref="J23:L23"/>
    <x:mergeCell ref="G24:H24"/>
    <x:mergeCell ref="D32:E33"/>
    <x:mergeCell ref="D31:E31"/>
    <x:mergeCell ref="D36:E36"/>
    <x:mergeCell ref="D37:E37"/>
    <x:mergeCell ref="D38:E38"/>
    <x:mergeCell ref="D39:E40"/>
    <x:mergeCell ref="J39:L40"/>
    <x:mergeCell ref="J24:L24"/>
    <x:mergeCell ref="J41:L41"/>
  </x:mergeCells>
  <x:conditionalFormatting sqref="D23:D23">
    <x:cfRule type="containsText" dxfId="0" priority="1" operator="containsText" text="不可达"/>
    <x:cfRule type="containsText" dxfId="1" priority="2" operator="containsText" text="无效"/>
    <x:cfRule type="containsText" dxfId="2" priority="3" operator="containsText" text="缺少"/>
  </x:conditionalFormatting>
  <x:conditionalFormatting sqref="J24:J24">
    <x:cfRule type="containsText" dxfId="3" priority="4" operator="containsText" text="缺少"/>
  </x:conditionalFormatting>
  <x:dataValidations count="13">
    <x:dataValidation type="list" sqref="D7">
      <x:formula1>'Quote参数'!$E$9:$E$62</x:formula1>
    </x:dataValidation>
    <x:dataValidation type="decimal" operator="between" sqref="D8">
      <x:formula1>0</x:formula1>
      <x:formula2>0.99</x:formula2>
    </x:dataValidation>
    <x:dataValidation type="decimal" operator="between" sqref="J7">
      <x:formula1>0</x:formula1>
      <x:formula2>0.1</x:formula2>
    </x:dataValidation>
    <x:dataValidation type="decimal" operator="between" sqref="J8">
      <x:formula1>0</x:formula1>
      <x:formula2>1</x:formula2>
    </x:dataValidation>
    <x:dataValidation type="whole" errorStyle="stop" operator="greaterThan" showErrorMessage="1" errorTitle="地址参数无效" error="输入非负整数；内盘套数至少为 1。" sqref="G7">
      <x:formula1>0</x:formula1>
    </x:dataValidation>
    <x:dataValidation type="whole" errorStyle="stop" operator="greaterThan" showErrorMessage="1" errorTitle="地址参数无效" error="输入非负整数；内盘套数至少为 1。" sqref="G8">
      <x:formula1>-1</x:formula1>
    </x:dataValidation>
    <x:dataValidation type="whole" errorStyle="stop" operator="greaterThan" showErrorMessage="1" errorTitle="地址参数无效" error="输入非负整数；内盘套数至少为 1。" sqref="G9">
      <x:formula1>-1</x:formula1>
    </x:dataValidation>
    <x:dataValidation type="whole" errorStyle="stop" operator="greaterThan" showErrorMessage="1" errorTitle="地址参数无效" error="输入非负整数；内盘套数至少为 1。" sqref="G10">
      <x:formula1>-1</x:formula1>
    </x:dataValidation>
    <x:dataValidation type="decimal" errorStyle="stop" operator="between" showErrorMessage="1" errorTitle="参数无效" error="Gas 与资金预留不能为负数。" sqref="D10">
      <x:formula1>0</x:formula1>
      <x:formula2>1e+307</x:formula2>
    </x:dataValidation>
    <x:dataValidation type="decimal" errorStyle="stop" operator="between" showErrorMessage="1" errorTitle="参数无效" error="Gas 与资金预留不能为负数。" sqref="G11">
      <x:formula1>0</x:formula1>
      <x:formula2>1e+307</x:formula2>
    </x:dataValidation>
    <x:dataValidation type="decimal" operator="greaterThan" sqref="D9">
      <x:formula1>0</x:formula1>
    </x:dataValidation>
    <x:dataValidation type="list" sqref="J9">
      <x:formula1>"是,否"</x:formula1>
    </x:dataValidation>
    <x:dataValidation type="list" sqref="J10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60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35" t="str">
        <x:v>外盘成交口径</x:v>
      </x:c>
      <x:c r="I6" s="35"/>
      <x:c r="J6" s="35" t="str">
        <x:v>exact-input；Hook fee 与 Creator Tax 从 Meme 输出端扣除</x:v>
      </x:c>
      <x:c r="K6" s="35"/>
      <x:c r="L6" s="35"/>
      <x:c r="M6" s="35"/>
      <x:c r="N6" s="35"/>
      <x:c r="O6" s="35"/>
      <x:c r="P6" s="35"/>
      <x:c r="Q6" s="35"/>
      <x:c r="R6" s="35"/>
      <x:c r="S6" s="2"/>
      <x:c r="T6" s="2"/>
      <x:c r="U6" s="2"/>
      <x:c r="V6" s="2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