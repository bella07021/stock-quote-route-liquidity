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b5596f4f664d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07817fff46094703"/>
    <x:sheet xmlns:r="http://schemas.openxmlformats.org/officeDocument/2006/relationships" name="Quote参数" sheetId="2" r:id="R16d2ba0d60314f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0b9ddca8de4b64" /><Relationship Type="http://schemas.openxmlformats.org/officeDocument/2006/relationships/theme" Target="/xl/theme/theme1.xml" Id="Rb360ceffcca143d7" /><Relationship Type="http://schemas.openxmlformats.org/officeDocument/2006/relationships/sharedStrings" Target="/xl/sharedStrings.xml" Id="R3eb2d23d232d44c0" /><Relationship Type="http://schemas.openxmlformats.org/officeDocument/2006/relationships/worksheet" Target="/xl/worksheets/sheet1.xml" Id="R07817fff46094703" /><Relationship Type="http://schemas.openxmlformats.org/officeDocument/2006/relationships/worksheet" Target="/xl/worksheets/sheet2.xml" Id="R16d2ba0d60314fe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 t="n">
        <f>VLOOKUP($D$7,'Quote参数'!$C$14:$AL$14,25,FALSE)</f>
        <v>0.03</v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 t="n">
        <f>VLOOKUP($D$7,'Quote参数'!$C$14:$AL$14,26,FALSE)</f>
        <v>0.03</v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 t="n">
        <f>VLOOKUP($D$7,'Quote参数'!$C$14:$AL$14,33,FALSE)</f>
        <v>0.01</v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 t="n">
        <f>IF(AND(ISNUMBER($D$55),$D$55&gt;0),ROUNDUP($G$56/$D$55,0),"")</f>
        <v>1554</v>
      </c>
      <c r="H12" s="32"/>
      <c r="I12" s="32" t="str">
        <v>洗筹基础费率</v>
      </c>
      <c r="J12" s="37" t="n">
        <f>VLOOKUP($D$7,'Quote参数'!$C$14:$AL$14,20,FALSE)</f>
        <v>0.0025</v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 t="n">
        <f>IF(AND($D$51="可达",ISNUMBER($D$26)),SUM(D22:D26),"")</f>
        <v>13186.95699378578</v>
      </c>
      <c r="E18" s="31" t="str">
        <f>VLOOKUP($D$7,'Quote参数'!$C$14:$AL$14,3,FALSE)</f>
        <v>BNC4</v>
      </c>
      <c r="F18" s="3" t="str">
        <v>原生币 Gas 储备</v>
      </c>
      <c r="G18" s="35" t="n">
        <f>D53*MAX(0,G11)</f>
        <v>2.2</v>
      </c>
      <c r="H18" s="31" t="str">
        <f>VLOOKUP($D$7,'Quote参数'!$C$14:$AL$14,4,FALSE)</f>
        <v>BNB</v>
      </c>
      <c r="I18" s="3" t="str">
        <v>总折算 / USDT</v>
      </c>
      <c r="J18" s="43" t="n">
        <f>IF(AND(ISNUMBER(D19),ISNUMBER(G19)),SUM(D19,G19),"")</f>
        <v>86549.82887660645</v>
      </c>
      <c r="K18" s="31" t="str">
        <v>USDT</v>
      </c>
      <c r="L18" s="31"/>
    </row>
    <row r="19" ht="20" customHeight="1">
      <c r="C19" s="3" t="str">
        <v>Quote 折算 / USDT</v>
      </c>
      <c r="D19" s="44" t="n">
        <f>IF(ISNUMBER(D18),IF(D18=0,0,IF(D55&gt;0,D18*D55,"")),"")</f>
        <v>84893.67303889472</v>
      </c>
      <c r="E19" s="3" t="str">
        <v>USDT</v>
      </c>
      <c r="F19" s="3" t="str">
        <v>Gas 折算 / USDT</v>
      </c>
      <c r="G19" s="44" t="n">
        <f>IF(G18=0,0,IF(AND(ISNUMBER(J44),J44&gt;0),G18*J44,""))</f>
        <v>1656.155837711734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 t="str">
        <f>"预算 "&amp;TEXT($D$52,"0%")&amp;" 理论资金"</f>
        <v>预算 91% 理论资金</v>
      </c>
      <c r="D22" s="44" t="n">
        <f>IF($D$51&lt;&gt;"可达","",$J$41+IF($G$40="pons",$G$50/$J$51-$G$49,IF($G$40="four-stock",($G$50/$J$50-$G$49)/(1-$G$42),($G$50/$J$50-$G$49)*(1+$G$42))))</f>
        <v>4653.099415204678</v>
      </c>
      <c r="E22" s="3" t="str">
        <f>VLOOKUP($D$7,'Quote参数'!$C$14:$AL$14,3,FALSE)</f>
        <v>BNC4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 t="n">
        <f>IF($D$51="可达",$J$41*MAX(0,$G$7-1),"")</f>
        <v>2080</v>
      </c>
      <c r="E23" s="3" t="str">
        <f>VLOOKUP($D$7,'Quote参数'!$C$14:$AL$14,3,FALSE)</f>
        <v>BNC4</v>
      </c>
      <c r="F23" s="3"/>
      <c r="G23" s="3"/>
      <c r="H23" s="3"/>
      <c r="I23" s="3" t="str">
        <v>基础手续费</v>
      </c>
      <c r="J23" s="38" t="n">
        <f>G41</f>
        <v>0.01</v>
      </c>
      <c r="K23" s="3"/>
      <c r="L23" s="3"/>
    </row>
    <row r="24" ht="20" customHeight="1">
      <c r="C24" s="3" t="str">
        <v>洗筹损耗</v>
      </c>
      <c r="D24" s="44" t="n">
        <f>IF($D$51="可达",$J$52*$D$29,"")</f>
        <v>3397.694444444444</v>
      </c>
      <c r="E24" s="3" t="str">
        <f>VLOOKUP($D$7,'Quote参数'!$C$14:$AL$14,3,FALSE)</f>
        <v>BNC4</v>
      </c>
      <c r="F24" s="3"/>
      <c r="G24" s="3"/>
      <c r="H24" s="3"/>
      <c r="I24" s="3" t="str">
        <v>买入含税费率</v>
      </c>
      <c r="J24" s="38" t="n">
        <f>G41+J46+J48</f>
        <v>0.04</v>
      </c>
      <c r="K24" s="3"/>
      <c r="L24" s="3"/>
    </row>
    <row r="25" ht="20" customHeight="1">
      <c r="C25" s="3" t="str">
        <v>资金预留</v>
      </c>
      <c r="D25" s="44" t="n">
        <f>IF($D$51="可达",$G$12,"")</f>
        <v>1554</v>
      </c>
      <c r="E25" s="3" t="str">
        <f>VLOOKUP($D$7,'Quote参数'!$C$14:$AL$14,3,FALSE)</f>
        <v>BNC4</v>
      </c>
      <c r="F25" s="3"/>
      <c r="G25" s="3"/>
      <c r="H25" s="3"/>
      <c r="I25" s="3" t="str">
        <v>卖出含税费率</v>
      </c>
      <c r="J25" s="38" t="n">
        <f>G41+J47+J48</f>
        <v>0.04</v>
      </c>
      <c r="K25" s="3"/>
      <c r="L25" s="3"/>
    </row>
    <row r="26" ht="28" customHeight="1">
      <c r="C26" s="32" t="str">
        <v>恢复目标控筹预留</v>
      </c>
      <c r="D26" s="44" t="n">
        <f>IF($D$51&lt;&gt;"可达","",IF(VLOOKUP($D$7,'Quote参数'!$C$14:$AL$14,34,FALSE)="quote",0,IF(AND($J$55&gt;0,$J$56&gt;0),MAX(0,($G$50/$J$55-$G$50/$J$56)*IF($G$40="pons",1,IF($G$40="four-stock",1/(1-$G$42),1+$G$42))),"")))</f>
        <v>1502.1631341366572</v>
      </c>
      <c r="E26" s="3" t="str">
        <f>VLOOKUP($D$7,'Quote参数'!$C$14:$AL$14,3,FALSE)</f>
        <v>BNC4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 t="n">
        <f>D8*J54</f>
        <v>0.8446929750000001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38" t="n">
        <f>D8</f>
        <v>0.9</v>
      </c>
      <c r="E28" s="3"/>
      <c r="F28" s="3"/>
      <c r="G28" s="3"/>
      <c r="H28" s="3"/>
      <c r="I28" s="3" t="str">
        <v>基础手续费</v>
      </c>
      <c r="J28" s="38" t="n">
        <f>G42</f>
        <v>0.0025</v>
      </c>
      <c r="K28" s="3"/>
      <c r="L28" s="3"/>
    </row>
    <row r="29" ht="20" customHeight="1">
      <c r="C29" s="3" t="str">
        <v>洗筹双边总费率</v>
      </c>
      <c r="D29" s="38" t="n">
        <f>MAX(0,$J$12)*2+$J$46+$J$47+$J$48*2</f>
        <v>0.065</v>
      </c>
      <c r="E29" s="3"/>
      <c r="F29" s="3"/>
      <c r="G29" s="3"/>
      <c r="H29" s="3"/>
      <c r="I29" s="3" t="str">
        <v>买入含税费率</v>
      </c>
      <c r="J29" s="38" t="n">
        <f>G42+J46+J48</f>
        <v>0.0325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 t="n">
        <f>G42+J47+J48</f>
        <v>0.0325</v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外盘手续费只在扣 Base/TOKEN 时降低控筹率；只扣 Quote 时补回为 0。补回按 Base/TOKEN 缺口及现有外盘曲线差额估算，损耗仍按目标加缓冲 FDV；非逐笔模拟。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 t="n">
        <f>IF($G$40="four-stock",E126,VLOOKUP($D$7,'Quote参数'!$C$14:$AL$14,23,FALSE))</f>
        <v>402.43927478800083</v>
      </c>
      <c r="H37" s="3" t="str">
        <f>VLOOKUP($D$7,'Quote参数'!$C$14:$AL$14,3,FALSE)</f>
        <v>BNC4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32"/>
      <c r="D40" s="32"/>
      <c r="E40" s="32"/>
      <c r="F40" s="32" t="str">
        <v>模型类型</v>
      </c>
      <c r="G40" s="32" t="str">
        <f>VLOOKUP($D$7,'Quote参数'!$C$14:$AL$14,10,FALSE)</f>
        <v>four-stock</v>
      </c>
      <c r="H40" s="32"/>
      <c r="I40" s="32"/>
      <c r="J40" s="32"/>
      <c r="K40" s="32"/>
      <c r="L40" s="32"/>
    </row>
    <row r="41" ht="30" customHeight="1" outlineLevel="1" hidden="1">
      <c r="C41" s="32"/>
      <c r="D41" s="32"/>
      <c r="E41" s="32"/>
      <c r="F41" s="32" t="str">
        <v>内盘基础费</v>
      </c>
      <c r="G41" s="39" t="n">
        <f>VLOOKUP($D$7,'Quote参数'!$C$14:$AL$14,19,FALSE)</f>
        <v>0.01</v>
      </c>
      <c r="H41" s="32"/>
      <c r="I41" s="32" t="str">
        <v>一套内盘打满</v>
      </c>
      <c r="J41" s="32" t="n">
        <f>IF($G$40="pons",$G$49/(1-$G$41-$J$48),IF(OR($G$40="flap",$G$40="four-stock"),$G$53*(1+$G$41+$J$46),$G$52))</f>
        <v>2080</v>
      </c>
      <c r="K41" s="32"/>
      <c r="L41" s="32"/>
    </row>
    <row r="42" ht="30" customHeight="1" outlineLevel="1" hidden="1">
      <c r="C42" s="32"/>
      <c r="D42" s="32"/>
      <c r="E42" s="32"/>
      <c r="F42" s="32" t="str">
        <v>外盘基础费</v>
      </c>
      <c r="G42" s="39" t="n">
        <f>VLOOKUP($D$7,'Quote参数'!$C$14:$AL$14,20,FALSE)</f>
        <v>0.0025</v>
      </c>
      <c r="H42" s="32"/>
      <c r="I42" s="32"/>
      <c r="J42" s="32"/>
      <c r="K42" s="32"/>
      <c r="L42" s="32"/>
    </row>
    <row r="43" ht="30" customHeight="1" outlineLevel="1" hidden="1">
      <c r="C43" s="32"/>
      <c r="D43" s="32"/>
      <c r="E43" s="32"/>
      <c r="F43" s="32" t="str">
        <v>毕业控筹率</v>
      </c>
      <c r="G43" s="39" t="n">
        <f>VLOOKUP($D$7,'Quote参数'!$C$14:$AL$14,15,FALSE)</f>
        <v>0.8</v>
      </c>
      <c r="H43" s="32"/>
      <c r="I43" s="32" t="str">
        <v>模型键</v>
      </c>
      <c r="J43" s="32" t="str">
        <f>VLOOKUP($D$7,'Quote参数'!$C$14:$AL$14,2,FALSE)</f>
        <v>fourmeme-bnc4</v>
      </c>
      <c r="K43" s="32"/>
      <c r="L43" s="32"/>
    </row>
    <row r="44" ht="30" customHeight="1" outlineLevel="1" hidden="1">
      <c r="C44" s="32"/>
      <c r="D44" s="32"/>
      <c r="E44" s="32"/>
      <c r="F44" s="32" t="str">
        <v>内盘初始 TOKEN</v>
      </c>
      <c r="G44" s="32" t="n">
        <f>VLOOKUP($D$7,'Quote参数'!$C$14:$AL$14,12,FALSE)</f>
        <v>1073972601.740811</v>
      </c>
      <c r="H44" s="32"/>
      <c r="I44" s="32" t="str">
        <v>原生币价格 / USDT</v>
      </c>
      <c r="J44" s="32" t="n">
        <f>IF(VLOOKUP($D$7,'Quote参数'!$C$14:$AL$14,3,FALSE)=VLOOKUP($D$7,'Quote参数'!$C$14:$AL$14,4,FALSE),$D$55,VLOOKUP($D$7,'Quote参数'!$C$14:$AL$14,7,FALSE))</f>
        <v>752.7981080507881</v>
      </c>
      <c r="K44" s="32"/>
      <c r="L44" s="32"/>
    </row>
    <row r="45" ht="30" customHeight="1" outlineLevel="1" hidden="1">
      <c r="C45" s="32" t="str">
        <v>总供应量</v>
      </c>
      <c r="D45" s="32" t="n">
        <f>VLOOKUP($D$7,'Quote参数'!$C$14:$AL$14,11,FALSE)</f>
        <v>1000000000</v>
      </c>
      <c r="E45" s="32"/>
      <c r="F45" s="32" t="str">
        <v>内盘初始 Quote</v>
      </c>
      <c r="G45" s="32" t="n">
        <f>VLOOKUP($D$7,'Quote参数'!$C$14:$AL$14,13,FALSE)</f>
        <v>684.9315068493152</v>
      </c>
      <c r="H45" s="32"/>
      <c r="I45" s="32" t="str">
        <v>税率上限</v>
      </c>
      <c r="J45" s="32" t="n">
        <f>VLOOKUP($D$7,'Quote参数'!$C$14:$AL$14,32,FALSE)</f>
        <v>0.1</v>
      </c>
      <c r="K45" s="32"/>
      <c r="L45" s="32"/>
    </row>
    <row r="46" ht="30" customHeight="1" outlineLevel="1" hidden="1">
      <c r="C46" s="32"/>
      <c r="D46" s="32"/>
      <c r="E46" s="32"/>
      <c r="F46" s="32" t="str">
        <v>内盘 K</v>
      </c>
      <c r="G46" s="32" t="n">
        <f>VLOOKUP($D$7,'Quote参数'!$C$14:$AL$14,14,FALSE)</f>
        <v>735597672425.2131</v>
      </c>
      <c r="H46" s="32"/>
      <c r="I46" s="32" t="str">
        <v>使用买入税</v>
      </c>
      <c r="J46" s="39" t="n">
        <f>IF(OR($G$40="flap",$G$40="four-stock"),MIN($J$45,MAX(0,$J$7)),0)</f>
        <v>0.03</v>
      </c>
      <c r="K46" s="32"/>
      <c r="L46" s="32"/>
    </row>
    <row r="47" ht="30" customHeight="1" outlineLevel="1" hidden="1">
      <c r="C47" s="32"/>
      <c r="D47" s="32"/>
      <c r="E47" s="32"/>
      <c r="F47" s="32"/>
      <c r="G47" s="32"/>
      <c r="H47" s="32"/>
      <c r="I47" s="32" t="str">
        <v>使用卖出税</v>
      </c>
      <c r="J47" s="39" t="n">
        <f>IF(OR($G$40="flap",$G$40="four-stock"),MIN($J$45,MAX(0,$J$8)),0)</f>
        <v>0.03</v>
      </c>
      <c r="K47" s="32"/>
      <c r="L47" s="32"/>
    </row>
    <row r="48" ht="30" customHeight="1" outlineLevel="1" hidden="1">
      <c r="C48" s="32"/>
      <c r="D48" s="32"/>
      <c r="E48" s="32"/>
      <c r="F48" s="32" t="str">
        <v>外盘初始 TOKEN</v>
      </c>
      <c r="G48" s="32" t="n">
        <f>VLOOKUP($D$7,'Quote参数'!$C$14:$AL$14,16,FALSE)</f>
        <v>200000000</v>
      </c>
      <c r="H48" s="32"/>
      <c r="I48" s="32" t="str">
        <v>使用 Creator Tax</v>
      </c>
      <c r="J48" s="39" t="n">
        <f>IF($G$40="pons",MIN($J$45,MAX(0,$J$9)),0)</f>
        <v>0</v>
      </c>
      <c r="K48" s="32"/>
      <c r="L48" s="32"/>
    </row>
    <row r="49" ht="30" customHeight="1" outlineLevel="1" hidden="1">
      <c r="C49" s="32"/>
      <c r="D49" s="32"/>
      <c r="E49" s="32"/>
      <c r="F49" s="32" t="str">
        <v>外盘初始 Quote</v>
      </c>
      <c r="G49" s="32" t="n">
        <f>VLOOKUP($D$7,'Quote参数'!$C$14:$AL$14,17,FALSE)</f>
        <v>1960</v>
      </c>
      <c r="H49" s="32"/>
      <c r="I49" s="32"/>
      <c r="J49" s="32"/>
      <c r="K49" s="32"/>
      <c r="L49" s="32"/>
    </row>
    <row r="50" ht="30" customHeight="1" outlineLevel="1" hidden="1">
      <c r="C50" s="32"/>
      <c r="D50" s="32"/>
      <c r="E50" s="32"/>
      <c r="F50" s="32" t="str">
        <v>外盘 K</v>
      </c>
      <c r="G50" s="32" t="n">
        <f>VLOOKUP($D$7,'Quote参数'!$C$14:$AL$14,18,FALSE)</f>
        <v>392000000000</v>
      </c>
      <c r="H50" s="32"/>
      <c r="I50" s="32" t="str">
        <v>预算外盘 TOKEN</v>
      </c>
      <c r="J50" s="32" t="n">
        <f>IF(OR($G$40="flap",$G$40="four-stock"),$G$48-($D$52-$G$43)*$D$45/(1-$J$46),IF($G$40="pons",$D$45*(1-$D$52)-$G$51,IF(ABS($D$52-$G$43)&lt;0.000001,$G$48,$D$45*(1-$D$52))))</f>
        <v>86597938.1443299</v>
      </c>
      <c r="K50" s="32"/>
      <c r="L50" s="32"/>
    </row>
    <row r="51" ht="30" customHeight="1" outlineLevel="1" hidden="1">
      <c r="C51" s="32" t="str">
        <v>目标是否可达</v>
      </c>
      <c r="D51" s="32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32"/>
      <c r="F51" s="32" t="str">
        <v>永久锁仓 TOKEN</v>
      </c>
      <c r="G51" s="32" t="n">
        <f>VLOOKUP($D$7,'Quote参数'!$C$14:$AL$14,22,FALSE)</f>
        <v>0</v>
      </c>
      <c r="H51" s="32"/>
      <c r="I51" s="32" t="str">
        <v>预算交换 TOKEN</v>
      </c>
      <c r="J51" s="32" t="n">
        <f>$G$48-MAX(0,($D$52-$G$43)*$D$45)/(1-$G$42-$J$48)</f>
        <v>89724310.77694237</v>
      </c>
      <c r="K51" s="32"/>
      <c r="L51" s="32"/>
    </row>
    <row r="52" ht="30" customHeight="1" outlineLevel="1" hidden="1">
      <c r="C52" s="32" t="str">
        <v>预算控筹率</v>
      </c>
      <c r="D52" s="39" t="n">
        <f>IF($G$40="four-stock",$D$8+MAX(0,$J$10),$D$8+1%)</f>
        <v>0.91</v>
      </c>
      <c r="E52" s="32"/>
      <c r="F52" s="32" t="str">
        <v>一套内盘原值</v>
      </c>
      <c r="G52" s="32" t="n">
        <f>VLOOKUP($D$7,'Quote参数'!$C$14:$AL$14,21,FALSE)</f>
        <v>2080</v>
      </c>
      <c r="H52" s="32"/>
      <c r="I52" s="32" t="str">
        <v>预算 FDV / Quote</v>
      </c>
      <c r="J52" s="32" t="n">
        <f>IF($D$51="可达",$G$50/$J$50^2*$D$45,"")</f>
        <v>52272.22222222221</v>
      </c>
      <c r="K52" s="32"/>
      <c r="L52" s="32"/>
    </row>
    <row r="53" ht="30" customHeight="1" outlineLevel="1" hidden="1">
      <c r="C53" s="32" t="str">
        <v>地址总数</v>
      </c>
      <c r="D53" s="32" t="n">
        <f>MAX(0,$G$7)*MAX(0,$G$8)+MAX(0,$G$9)+MAX(0,$G$10)</f>
        <v>220</v>
      </c>
      <c r="E53" s="32"/>
      <c r="F53" s="32" t="str">
        <v>内盘募集 Quote</v>
      </c>
      <c r="G53" s="32" t="n">
        <f>VLOOKUP($D$7,'Quote参数'!$C$14:$AL$14,24,FALSE)</f>
        <v>2000</v>
      </c>
      <c r="H53" s="32"/>
      <c r="I53" s="32"/>
      <c r="J53" s="32"/>
      <c r="K53" s="32"/>
      <c r="L53" s="32"/>
    </row>
    <row r="54" ht="30" customHeight="1" outlineLevel="1" hidden="1">
      <c r="C54" s="32" t="str">
        <v>当前控筹上限</v>
      </c>
      <c r="D54" s="39" t="n">
        <f>IF($G$40="pons",MIN(1-$G$51/$D$45,$G$43+(1-$G$42-$J$48)*$G$48/$D$45),IF(OR($G$40="flap",$G$40="four-stock"),$G$43+(1-$J$46)*$G$48/$D$45,1))</f>
        <v>0.994</v>
      </c>
      <c r="E54" s="32"/>
      <c r="F54" s="32" t="str">
        <v>价格采用方式</v>
      </c>
      <c r="G54" s="32" t="str">
        <f>IF(AND(ISNUMBER($D$9),$D$9&gt;0),"手动覆盖","每日行情")</f>
        <v>每日行情</v>
      </c>
      <c r="H54" s="32"/>
      <c r="I54" s="32" t="str">
        <v>洗后持仓保留比例</v>
      </c>
      <c r="J54" s="39" t="n">
        <f>IF(VLOOKUP($D$7,'Quote参数'!$C$14:$AL$14,34,FALSE)="quote",1,IF($G$40="pons",MAX(0,1-MAX(0,$J$12)-$J$48),(1-$J$46)*(1-$J$47)*(1-MAX(0,$J$12))))</f>
        <v>0.93854775</v>
      </c>
      <c r="K54" s="32"/>
      <c r="L54" s="32"/>
    </row>
    <row r="55" ht="30" customHeight="1" outlineLevel="1" hidden="1">
      <c r="C55" s="32" t="str">
        <v>有效价格 / USDT</v>
      </c>
      <c r="D55" s="41" t="n">
        <f>IF(AND(ISNUMBER($D$9),$D$9&gt;0),$D$9,IF(AND(ISNUMBER(VLOOKUP($D$7,'Quote参数'!$C$14:$AL$14,6,FALSE)),VLOOKUP($D$7,'Quote参数'!$C$14:$AL$14,6,FALSE)&gt;0),VLOOKUP($D$7,'Quote参数'!$C$14:$AL$14,6,FALSE),""))</f>
        <v>6.4377</v>
      </c>
      <c r="E55" s="32"/>
      <c r="F55" s="32" t="str">
        <v>价格来源</v>
      </c>
      <c r="G55" s="32" t="str">
        <f>VLOOKUP($D$7,'Quote参数'!$C$14:$AL$14,9,FALSE)</f>
        <v>https://dexscreener.com/bsc/0xbec6906a984f4695aca0f15bafa7de5eb45b54ab</v>
      </c>
      <c r="H55" s="32"/>
      <c r="I55" s="32" t="str">
        <v>目标外盘 TOKEN</v>
      </c>
      <c r="J55" s="32" t="n">
        <f>IF($G$40="pons",$G$48-MAX(0,($D$8-$G$43)*$D$45)/MAX(0.000000001,1-$G$42-$J$48),IF(OR($G$40="flap",$G$40="four-stock"),$G$48-($D$8-$G$43)*$D$45/(1-$J$46),IF($G$40="pons",$D$45*(1-$D$8)-$G$51,IF(ABS($D$8-$G$43)&lt;0.000001,$G$48,$D$45*(1-$D$8)))))</f>
        <v>96907216.49484538</v>
      </c>
      <c r="K55" s="32"/>
      <c r="L55" s="32"/>
    </row>
    <row r="56" ht="30" customHeight="1" outlineLevel="1" hidden="1">
      <c r="C56" s="32" t="str">
        <v>价格时间 / UTC</v>
      </c>
      <c r="D56" s="42" t="n">
        <f>VLOOKUP($D$7,'Quote参数'!$C$14:$AL$14,8,FALSE)</f>
        <v>46285.27349457176</v>
      </c>
      <c r="E56" s="32"/>
      <c r="F56" s="32" t="str">
        <v>预留预算 / USDT</v>
      </c>
      <c r="G56" s="32" t="n">
        <f>'Quote参数'!$D$10</f>
        <v>10000</v>
      </c>
      <c r="H56" s="32"/>
      <c r="I56" s="32" t="str">
        <v>洗后外盘 TOKEN</v>
      </c>
      <c r="J56" s="32" t="n">
        <f>IF($G$40="pons",$G$48-MAX(0,($D$27-$G$43)*$D$45)/MAX(0.000000001,1-$G$42-$J$48),IF(OR($G$40="flap",$G$40="four-stock"),$G$48-($D$27-$G$43)*$D$45/(1-$J$46),IF($G$40="pons",$D$45*(1-$D$27)-$G$51,IF(ABS($D$27-$G$43)&lt;0.000001,$G$48,$D$45*(1-$D$27)))))</f>
        <v>153924768.0412371</v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 t="n">
        <f>0</f>
        <v>0</v>
      </c>
      <c r="D59" s="56" t="n">
        <f>$G$44-C59*$D$45</f>
        <v>1073972601.740811</v>
      </c>
      <c r="E59" s="56" t="n">
        <f>$G$46/D59</f>
        <v>684.9315068493152</v>
      </c>
      <c r="F59" s="59" t="n">
        <f>IF(AND(ISNUMBER(D59),D59&gt;0,ISNUMBER(E59)),E59/D59,"")</f>
        <v>6.377551026340002e-7</v>
      </c>
      <c r="G59" s="59" t="n">
        <f>IF(AND(ISNUMBER(F59),ISNUMBER($D$55)),F59*$D$55,"")</f>
        <v>0.000004105676024226903</v>
      </c>
      <c r="H59" s="56" t="n">
        <f>IF(ISNUMBER(F59),F59*$D$45,"")</f>
        <v>637.7551026340002</v>
      </c>
      <c r="I59" s="56" t="n">
        <f>IF(AND(ISNUMBER(H59),ISNUMBER($D$55)),H59*$D$55,"")</f>
        <v>4105.676024226903</v>
      </c>
      <c r="J59" s="56" t="n">
        <f>0</f>
        <v>0</v>
      </c>
      <c r="K59" s="56" t="n">
        <f>IF($G$40="pons",J59/(1-$G$41-$J$48),J59*(1+$G$41+IF($G$40="four-stock",$J$46,0)))</f>
        <v>0</v>
      </c>
      <c r="L59" s="65" t="n">
        <f>SUM($K$59:K59)</f>
        <v>0</v>
      </c>
    </row>
    <row r="60" ht="20" customHeight="1">
      <c r="C60" s="54" t="n">
        <f>0.1</f>
        <v>0.1</v>
      </c>
      <c r="D60" s="57" t="n">
        <f>$G$44-C60*$D$45</f>
        <v>973972601.7408111</v>
      </c>
      <c r="E60" s="57" t="n">
        <f>$G$46/D60</f>
        <v>755.2549949664466</v>
      </c>
      <c r="F60" s="60" t="n">
        <f>IF(AND(ISNUMBER(D60),D60&gt;0,ISNUMBER(E60)),E60/D60,"")</f>
        <v>7.754376186933351e-7</v>
      </c>
      <c r="G60" s="60" t="n">
        <f>IF(AND(ISNUMBER(F60),ISNUMBER($D$55)),F60*$D$55,"")</f>
        <v>0.0000049920347578620835</v>
      </c>
      <c r="H60" s="57" t="n">
        <f>IF(ISNUMBER(F60),F60*$D$45,"")</f>
        <v>775.4376186933351</v>
      </c>
      <c r="I60" s="57" t="n">
        <f>IF(AND(ISNUMBER(H60),ISNUMBER($D$55)),H60*$D$55,"")</f>
        <v>4992.034757862084</v>
      </c>
      <c r="J60" s="57" t="n">
        <f>E60-E59</f>
        <v>70.32348811713143</v>
      </c>
      <c r="K60" s="57" t="n">
        <f>IF($G$40="pons",J60/(1-$G$41-$J$48),J60*(1+$G$41+IF($G$40="four-stock",$J$46,0)))</f>
        <v>73.1364276418167</v>
      </c>
      <c r="L60" s="66" t="n">
        <f>SUM($K$59:K60)</f>
        <v>73.1364276418167</v>
      </c>
    </row>
    <row r="61" ht="20" customHeight="1">
      <c r="C61" s="54" t="n">
        <f>0.2</f>
        <v>0.2</v>
      </c>
      <c r="D61" s="57" t="n">
        <f>$G$44-C61*$D$45</f>
        <v>873972601.7408111</v>
      </c>
      <c r="E61" s="57" t="n">
        <f>$G$46/D61</f>
        <v>841.671318940688</v>
      </c>
      <c r="F61" s="60" t="n">
        <f>IF(AND(ISNUMBER(D61),D61&gt;0,ISNUMBER(E61)),E61/D61,"")</f>
        <v>9.630408519262684e-7</v>
      </c>
      <c r="G61" s="60" t="n">
        <f>IF(AND(ISNUMBER(F61),ISNUMBER($D$55)),F61*$D$55,"")</f>
        <v>0.000006199768092445739</v>
      </c>
      <c r="H61" s="57" t="n">
        <f>IF(ISNUMBER(F61),F61*$D$45,"")</f>
        <v>963.0408519262684</v>
      </c>
      <c r="I61" s="57" t="n">
        <f>IF(AND(ISNUMBER(H61),ISNUMBER($D$55)),H61*$D$55,"")</f>
        <v>6199.768092445738</v>
      </c>
      <c r="J61" s="57" t="n">
        <f>E61-E60</f>
        <v>86.41632397424144</v>
      </c>
      <c r="K61" s="57" t="n">
        <f>IF($G$40="pons",J61/(1-$G$41-$J$48),J61*(1+$G$41+IF($G$40="four-stock",$J$46,0)))</f>
        <v>89.87297693321109</v>
      </c>
      <c r="L61" s="66" t="n">
        <f>SUM($K$59:K61)</f>
        <v>163.0094045750278</v>
      </c>
    </row>
    <row r="62" ht="20" customHeight="1">
      <c r="C62" s="54" t="n">
        <f>0.3</f>
        <v>0.3</v>
      </c>
      <c r="D62" s="57" t="n">
        <f>$G$44-C62*$D$45</f>
        <v>773972601.7408111</v>
      </c>
      <c r="E62" s="57" t="n">
        <f>$G$46/D62</f>
        <v>950.418232855678</v>
      </c>
      <c r="F62" s="60" t="n">
        <f>IF(AND(ISNUMBER(D62),D62&gt;0,ISNUMBER(E62)),E62/D62,"")</f>
        <v>0.000001227974001557687</v>
      </c>
      <c r="G62" s="60" t="n">
        <f>IF(AND(ISNUMBER(F62),ISNUMBER($D$55)),F62*$D$55,"")</f>
        <v>0.000007905328229827923</v>
      </c>
      <c r="H62" s="57" t="n">
        <f>IF(ISNUMBER(F62),F62*$D$45,"")</f>
        <v>1227.9740015576872</v>
      </c>
      <c r="I62" s="57" t="n">
        <f>IF(AND(ISNUMBER(H62),ISNUMBER($D$55)),H62*$D$55,"")</f>
        <v>7905.328229827924</v>
      </c>
      <c r="J62" s="57" t="n">
        <f>E62-E61</f>
        <v>108.74691391498993</v>
      </c>
      <c r="K62" s="57" t="n">
        <f>IF($G$40="pons",J62/(1-$G$41-$J$48),J62*(1+$G$41+IF($G$40="four-stock",$J$46,0)))</f>
        <v>113.09679047158953</v>
      </c>
      <c r="L62" s="66" t="n">
        <f>SUM($K$59:K62)</f>
        <v>276.1061950466173</v>
      </c>
    </row>
    <row r="63" ht="20" customHeight="1">
      <c r="C63" s="54" t="n">
        <f>0.4</f>
        <v>0.4</v>
      </c>
      <c r="D63" s="57" t="n">
        <f>$G$44-C63*$D$45</f>
        <v>673972601.7408111</v>
      </c>
      <c r="E63" s="57" t="n">
        <f>$G$46/D63</f>
        <v>1091.4355724924574</v>
      </c>
      <c r="F63" s="60" t="n">
        <f>IF(AND(ISNUMBER(D63),D63&gt;0,ISNUMBER(E63)),E63/D63,"")</f>
        <v>0.0000016194064412609305</v>
      </c>
      <c r="G63" s="60" t="n">
        <f>IF(AND(ISNUMBER(F63),ISNUMBER($D$55)),F63*$D$55,"")</f>
        <v>0.000010425252846905493</v>
      </c>
      <c r="H63" s="57" t="n">
        <f>IF(ISNUMBER(F63),F63*$D$45,"")</f>
        <v>1619.4064412609305</v>
      </c>
      <c r="I63" s="57" t="n">
        <f>IF(AND(ISNUMBER(H63),ISNUMBER($D$55)),H63*$D$55,"")</f>
        <v>10425.252846905492</v>
      </c>
      <c r="J63" s="57" t="n">
        <f>E63-E62</f>
        <v>141.0173396367794</v>
      </c>
      <c r="K63" s="57" t="n">
        <f>IF($G$40="pons",J63/(1-$G$41-$J$48),J63*(1+$G$41+IF($G$40="four-stock",$J$46,0)))</f>
        <v>146.6580332222506</v>
      </c>
      <c r="L63" s="66" t="n">
        <f>SUM($K$59:K63)</f>
        <v>422.7642282688679</v>
      </c>
    </row>
    <row r="64" ht="20" customHeight="1">
      <c r="C64" s="54" t="n">
        <f>0.5</f>
        <v>0.5</v>
      </c>
      <c r="D64" s="57" t="n">
        <f>$G$44-C64*$D$45</f>
        <v>573972601.7408111</v>
      </c>
      <c r="E64" s="57" t="n">
        <f>$G$46/D64</f>
        <v>1281.5902191048956</v>
      </c>
      <c r="F64" s="60" t="n">
        <f>IF(AND(ISNUMBER(D64),D64&gt;0,ISNUMBER(E64)),E64/D64,"")</f>
        <v>0.000002232842151729785</v>
      </c>
      <c r="G64" s="60" t="n">
        <f>IF(AND(ISNUMBER(F64),ISNUMBER($D$55)),F64*$D$55,"")</f>
        <v>0.000014374367920190838</v>
      </c>
      <c r="H64" s="57" t="n">
        <f>IF(ISNUMBER(F64),F64*$D$45,"")</f>
        <v>2232.842151729785</v>
      </c>
      <c r="I64" s="57" t="n">
        <f>IF(AND(ISNUMBER(H64),ISNUMBER($D$55)),H64*$D$55,"")</f>
        <v>14374.36792019084</v>
      </c>
      <c r="J64" s="57" t="n">
        <f>E64-E63</f>
        <v>190.15464661243823</v>
      </c>
      <c r="K64" s="57" t="n">
        <f>IF($G$40="pons",J64/(1-$G$41-$J$48),J64*(1+$G$41+IF($G$40="four-stock",$J$46,0)))</f>
        <v>197.76083247693578</v>
      </c>
      <c r="L64" s="66" t="n">
        <f>SUM($K$59:K64)</f>
        <v>620.5250607458037</v>
      </c>
    </row>
    <row r="65" ht="20" customHeight="1">
      <c r="C65" s="54" t="n">
        <f>0.6</f>
        <v>0.6</v>
      </c>
      <c r="D65" s="57" t="n">
        <f>$G$44-C65*$D$45</f>
        <v>473972601.7408111</v>
      </c>
      <c r="E65" s="57" t="n">
        <f>$G$46/D65</f>
        <v>1551.983531798047</v>
      </c>
      <c r="F65" s="60" t="n">
        <f>IF(AND(ISNUMBER(D65),D65&gt;0,ISNUMBER(E65)),E65/D65,"")</f>
        <v>0.0000032744161289026136</v>
      </c>
      <c r="G65" s="60" t="n">
        <f>IF(AND(ISNUMBER(F65),ISNUMBER($D$55)),F65*$D$55,"")</f>
        <v>0.000021079708713036356</v>
      </c>
      <c r="H65" s="57" t="n">
        <f>IF(ISNUMBER(F65),F65*$D$45,"")</f>
        <v>3274.4161289026138</v>
      </c>
      <c r="I65" s="57" t="n">
        <f>IF(AND(ISNUMBER(H65),ISNUMBER($D$55)),H65*$D$55,"")</f>
        <v>21079.708713036358</v>
      </c>
      <c r="J65" s="57" t="n">
        <f>E65-E64</f>
        <v>270.3933126931513</v>
      </c>
      <c r="K65" s="57" t="n">
        <f>IF($G$40="pons",J65/(1-$G$41-$J$48),J65*(1+$G$41+IF($G$40="four-stock",$J$46,0)))</f>
        <v>281.20904520087737</v>
      </c>
      <c r="L65" s="66" t="n">
        <f>SUM($K$59:K65)</f>
        <v>901.734105946681</v>
      </c>
    </row>
    <row r="66" ht="20" customHeight="1">
      <c r="C66" s="54" t="n">
        <f>0.7</f>
        <v>0.7</v>
      </c>
      <c r="D66" s="57" t="n">
        <f>$G$44-C66*$D$45</f>
        <v>373972601.7408111</v>
      </c>
      <c r="E66" s="57" t="n">
        <f>$G$46/D66</f>
        <v>1966.9827923250732</v>
      </c>
      <c r="F66" s="60" t="n">
        <f>IF(AND(ISNUMBER(D66),D66&gt;0,ISNUMBER(E66)),E66/D66,"")</f>
        <v>0.0000052596975905960306</v>
      </c>
      <c r="G66" s="60" t="n">
        <f>IF(AND(ISNUMBER(F66),ISNUMBER($D$55)),F66*$D$55,"")</f>
        <v>0.00003386035517898007</v>
      </c>
      <c r="H66" s="57" t="n">
        <f>IF(ISNUMBER(F66),F66*$D$45,"")</f>
        <v>5259.697590596031</v>
      </c>
      <c r="I66" s="57" t="n">
        <f>IF(AND(ISNUMBER(H66),ISNUMBER($D$55)),H66*$D$55,"")</f>
        <v>33860.35517898007</v>
      </c>
      <c r="J66" s="57" t="n">
        <f>E66-E65</f>
        <v>414.9992605270263</v>
      </c>
      <c r="K66" s="57" t="n">
        <f>IF($G$40="pons",J66/(1-$G$41-$J$48),J66*(1+$G$41+IF($G$40="four-stock",$J$46,0)))</f>
        <v>431.5992309481074</v>
      </c>
      <c r="L66" s="66" t="n">
        <f>SUM($K$59:K66)</f>
        <v>1333.3333368947883</v>
      </c>
    </row>
    <row r="67" ht="20" customHeight="1">
      <c r="C67" s="55" t="n">
        <f>$G$43</f>
        <v>0.8</v>
      </c>
      <c r="D67" s="58" t="n">
        <f>$G$44-C67*$D$45</f>
        <v>273972601.7408111</v>
      </c>
      <c r="E67" s="58" t="n">
        <f>$G$46/D67</f>
        <v>2684.931514141394</v>
      </c>
      <c r="F67" s="61" t="n">
        <f>IF(AND(ISNUMBER(D67),D67&gt;0,ISNUMBER(E67)),E67/D67,"")</f>
        <v>0.000009800000062347276</v>
      </c>
      <c r="G67" s="61" t="n">
        <f>IF(AND(ISNUMBER(F67),ISNUMBER($D$55)),F67*$D$55,"")</f>
        <v>0.00006308946040137306</v>
      </c>
      <c r="H67" s="58" t="n">
        <f>IF(ISNUMBER(F67),F67*$D$45,"")</f>
        <v>9800.000062347275</v>
      </c>
      <c r="I67" s="58" t="n">
        <f>IF(AND(ISNUMBER(H67),ISNUMBER($D$55)),H67*$D$55,"")</f>
        <v>63089.46040137306</v>
      </c>
      <c r="J67" s="58" t="n">
        <f>E67-E66</f>
        <v>717.9487218163208</v>
      </c>
      <c r="K67" s="58" t="n">
        <f>IF($G$40="pons",J67/(1-$G$41-$J$48),J67*(1+$G$41+IF($G$40="four-stock",$J$46,0)))</f>
        <v>746.6666706889737</v>
      </c>
      <c r="L67" s="67" t="n">
        <f>$J$41</f>
        <v>2080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 t="n">
        <f>IF($G$40="pons",$G$43,80%)</f>
        <v>0.8</v>
      </c>
      <c r="D72" s="56" t="n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  <v>200000000</v>
      </c>
      <c r="E72" s="56" t="n">
        <f>IF(D72="","",IF(ABS(C72-$G$43)&lt;0.000001,$G$49,$G$50/D72))</f>
        <v>1960</v>
      </c>
      <c r="F72" s="59" t="n">
        <f>IF(AND(ISNUMBER(D72),D72&gt;0,ISNUMBER(E72)),E72/D72,"")</f>
        <v>0.0000098</v>
      </c>
      <c r="G72" s="59" t="n">
        <f>IF(AND(ISNUMBER(F72),ISNUMBER($D$55)),F72*$D$55,"")</f>
        <v>0.00006308946</v>
      </c>
      <c r="H72" s="56" t="n">
        <f>IF(ISNUMBER(F72),F72*$D$45,"")</f>
        <v>9800</v>
      </c>
      <c r="I72" s="56" t="n">
        <f>IF(AND(ISNUMBER(H72),ISNUMBER($D$55)),H72*$D$55,"")</f>
        <v>63089.46000000001</v>
      </c>
      <c r="J72" s="56" t="n">
        <f>IF(OR(OR($G$40="flap",$G$40="four-stock"),$G$40="pons"),0,E72-$G$49)</f>
        <v>0</v>
      </c>
      <c r="K72" s="56" t="n">
        <f>IF(OR(OR($G$40="flap",$G$40="four-stock"),$G$40="pons"),0,J72*(1+$G$42))</f>
        <v>0</v>
      </c>
      <c r="L72" s="65" t="n">
        <f>IF(D72="","",$J$41+IF($G$40="pons",$G$50/($G$48-MAX(0,(C72-$G$43)*$D$45)/(1-$G$42-$J$48))-$G$49,IF($G$40="four-stock",(E72-$G$49)/(1-$G$42),(E72-$G$49)*(1+$G$42))))</f>
        <v>2080</v>
      </c>
    </row>
    <row r="73" ht="20" customHeight="1">
      <c r="C73" s="54" t="n">
        <f>IF($G$40="pons",80%+0*0.5%,IF(80.5%+0*0.5%&lt;=100%,80.5%+0*0.5%,""))</f>
        <v>0.805</v>
      </c>
      <c r="D73" s="57" t="n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  <v>194845360.82474226</v>
      </c>
      <c r="E73" s="57" t="n">
        <f>IF(D73="","",IF(ABS(C73-$G$43)&lt;0.000001,$G$49,$G$50/D73))</f>
        <v>2011.851851851852</v>
      </c>
      <c r="F73" s="60" t="n">
        <f>IF(AND(ISNUMBER(D73),D73&gt;0,ISNUMBER(E73)),E73/D73,"")</f>
        <v>0.000010325377229080935</v>
      </c>
      <c r="G73" s="60" t="n">
        <f>IF(AND(ISNUMBER(F73),ISNUMBER($D$55)),F73*$D$55,"")</f>
        <v>0.00006647168098765434</v>
      </c>
      <c r="H73" s="57" t="n">
        <f>IF(ISNUMBER(F73),F73*$D$45,"")</f>
        <v>10325.377229080934</v>
      </c>
      <c r="I73" s="57" t="n">
        <f>IF(AND(ISNUMBER(H73),ISNUMBER($D$55)),H73*$D$55,"")</f>
        <v>66471.68098765433</v>
      </c>
      <c r="J73" s="57" t="n">
        <f>IF(D73="","",E73-E72)</f>
        <v>51.85185185185196</v>
      </c>
      <c r="K73" s="57" t="n">
        <f>IF(D73="","",IF(OR(OR($G$40="flap",$G$40="four-stock"),$G$40="pons"),L73-L72,J73*(1+$G$42)))</f>
        <v>51.98180636777124</v>
      </c>
      <c r="L73" s="66" t="n">
        <f>IF(D73="","",$J$41+IF($G$40="pons",$G$50/($G$48-MAX(0,(C73-$G$43)*$D$45)/(1-$G$42-$J$48))-$G$49,IF($G$40="four-stock",(E73-$G$49)/(1-$G$42),(E73-$G$49)*(1+$G$42))))</f>
        <v>2131.9818063677712</v>
      </c>
    </row>
    <row r="74" ht="20" customHeight="1">
      <c r="C74" s="54" t="n">
        <f>IF($G$40="pons",80%+1*0.5%,IF(80.5%+1*0.5%&lt;=100%,80.5%+1*0.5%,""))</f>
        <v>0.81</v>
      </c>
      <c r="D74" s="57" t="n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  <v>189690721.64948452</v>
      </c>
      <c r="E74" s="57" t="n">
        <f>IF(D74="","",IF(ABS(C74-$G$43)&lt;0.000001,$G$49,$G$50/D74))</f>
        <v>2066.521739130435</v>
      </c>
      <c r="F74" s="60" t="n">
        <f>IF(AND(ISNUMBER(D74),D74&gt;0,ISNUMBER(E74)),E74/D74,"")</f>
        <v>0.000010894163516068056</v>
      </c>
      <c r="G74" s="60" t="n">
        <f>IF(AND(ISNUMBER(F74),ISNUMBER($D$55)),F74*$D$55,"")</f>
        <v>0.00007013335646739133</v>
      </c>
      <c r="H74" s="57" t="n">
        <f>IF(ISNUMBER(F74),F74*$D$45,"")</f>
        <v>10894.163516068056</v>
      </c>
      <c r="I74" s="57" t="n">
        <f>IF(AND(ISNUMBER(H74),ISNUMBER($D$55)),H74*$D$55,"")</f>
        <v>70133.35646739134</v>
      </c>
      <c r="J74" s="57" t="n">
        <f>IF(D74="","",E74-E73)</f>
        <v>54.66988727858302</v>
      </c>
      <c r="K74" s="57" t="n">
        <f>IF(D74="","",IF(OR(OR($G$40="flap",$G$40="four-stock"),$G$40="pons"),L74-L73,J74*(1+$G$42)))</f>
        <v>54.80690453993293</v>
      </c>
      <c r="L74" s="66" t="n">
        <f>IF(D74="","",$J$41+IF($G$40="pons",$G$50/($G$48-MAX(0,(C74-$G$43)*$D$45)/(1-$G$42-$J$48))-$G$49,IF($G$40="four-stock",(E74-$G$49)/(1-$G$42),(E74-$G$49)*(1+$G$42))))</f>
        <v>2186.788710907704</v>
      </c>
    </row>
    <row r="75" ht="20" customHeight="1">
      <c r="C75" s="54" t="n">
        <f>IF($G$40="pons",80%+2*0.5%,IF(80.5%+2*0.5%&lt;=100%,80.5%+2*0.5%,""))</f>
        <v>0.8150000000000001</v>
      </c>
      <c r="D75" s="57" t="n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  <v>184536082.4742268</v>
      </c>
      <c r="E75" s="57" t="n">
        <f>IF(D75="","",IF(ABS(C75-$G$43)&lt;0.000001,$G$49,$G$50/D75))</f>
        <v>2124.245810055866</v>
      </c>
      <c r="F75" s="60" t="n">
        <f>IF(AND(ISNUMBER(D75),D75&gt;0,ISNUMBER(E75)),E75/D75,"")</f>
        <v>0.00001151127617739771</v>
      </c>
      <c r="G75" s="60" t="n">
        <f>IF(AND(ISNUMBER(F75),ISNUMBER($D$55)),F75*$D$55,"")</f>
        <v>0.00007410614264723324</v>
      </c>
      <c r="H75" s="57" t="n">
        <f>IF(ISNUMBER(F75),F75*$D$45,"")</f>
        <v>11511.27617739771</v>
      </c>
      <c r="I75" s="57" t="n">
        <f>IF(AND(ISNUMBER(H75),ISNUMBER($D$55)),H75*$D$55,"")</f>
        <v>74106.14264723325</v>
      </c>
      <c r="J75" s="57" t="n">
        <f>IF(D75="","",E75-E74)</f>
        <v>57.72407092543108</v>
      </c>
      <c r="K75" s="57" t="n">
        <f>IF(D75="","",IF(OR(OR($G$40="flap",$G$40="four-stock"),$G$40="pons"),L75-L74,J75*(1+$G$42)))</f>
        <v>57.86874278238702</v>
      </c>
      <c r="L75" s="66" t="n">
        <f>IF(D75="","",$J$41+IF($G$40="pons",$G$50/($G$48-MAX(0,(C75-$G$43)*$D$45)/(1-$G$42-$J$48))-$G$49,IF($G$40="four-stock",(E75-$G$49)/(1-$G$42),(E75-$G$49)*(1+$G$42))))</f>
        <v>2244.657453690091</v>
      </c>
    </row>
    <row r="76" ht="20" customHeight="1">
      <c r="C76" s="54" t="n">
        <f>IF($G$40="pons",80%+3*0.5%,IF(80.5%+3*0.5%&lt;=100%,80.5%+3*0.5%,""))</f>
        <v>0.8200000000000001</v>
      </c>
      <c r="D76" s="57" t="n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  <v>179381443.29896906</v>
      </c>
      <c r="E76" s="57" t="n">
        <f>IF(D76="","",IF(ABS(C76-$G$43)&lt;0.000001,$G$49,$G$50/D76))</f>
        <v>2185.287356321839</v>
      </c>
      <c r="F76" s="60" t="n">
        <f>IF(AND(ISNUMBER(D76),D76&gt;0,ISNUMBER(E76)),E76/D76,"")</f>
        <v>0.00001218234905535738</v>
      </c>
      <c r="G76" s="60" t="n">
        <f>IF(AND(ISNUMBER(F76),ISNUMBER($D$55)),F76*$D$55,"")</f>
        <v>0.00007842630851367421</v>
      </c>
      <c r="H76" s="57" t="n">
        <f>IF(ISNUMBER(F76),F76*$D$45,"")</f>
        <v>12182.34905535738</v>
      </c>
      <c r="I76" s="57" t="n">
        <f>IF(AND(ISNUMBER(H76),ISNUMBER($D$55)),H76*$D$55,"")</f>
        <v>78426.3085136742</v>
      </c>
      <c r="J76" s="57" t="n">
        <f>IF(D76="","",E76-E75)</f>
        <v>61.04154626597301</v>
      </c>
      <c r="K76" s="57" t="n">
        <f>IF(D76="","",IF(OR(OR($G$40="flap",$G$40="four-stock"),$G$40="pons"),L76-L75,J76*(1+$G$42)))</f>
        <v>61.194532597466605</v>
      </c>
      <c r="L76" s="66" t="n">
        <f>IF(D76="","",$J$41+IF($G$40="pons",$G$50/($G$48-MAX(0,(C76-$G$43)*$D$45)/(1-$G$42-$J$48))-$G$49,IF($G$40="four-stock",(E76-$G$49)/(1-$G$42),(E76-$G$49)*(1+$G$42))))</f>
        <v>2305.851986287558</v>
      </c>
    </row>
    <row r="77" ht="20" customHeight="1">
      <c r="C77" s="54" t="n">
        <f>IF($G$40="pons",80%+4*0.5%,IF(80.5%+4*0.5%&lt;=100%,80.5%+4*0.5%,""))</f>
        <v>0.8250000000000001</v>
      </c>
      <c r="D77" s="57" t="n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  <v>174226804.12371132</v>
      </c>
      <c r="E77" s="57" t="n">
        <f>IF(D77="","",IF(ABS(C77-$G$43)&lt;0.000001,$G$49,$G$50/D77))</f>
        <v>2249.940828402367</v>
      </c>
      <c r="F77" s="60" t="n">
        <f>IF(AND(ISNUMBER(D77),D77&gt;0,ISNUMBER(E77)),E77/D77,"")</f>
        <v>0.000012913861559469209</v>
      </c>
      <c r="G77" s="60" t="n">
        <f>IF(AND(ISNUMBER(F77),ISNUMBER($D$55)),F77*$D$55,"")</f>
        <v>0.00008313556656139494</v>
      </c>
      <c r="H77" s="57" t="n">
        <f>IF(ISNUMBER(F77),F77*$D$45,"")</f>
        <v>12913.86155946921</v>
      </c>
      <c r="I77" s="57" t="n">
        <f>IF(AND(ISNUMBER(H77),ISNUMBER($D$55)),H77*$D$55,"")</f>
        <v>83135.56656139494</v>
      </c>
      <c r="J77" s="57" t="n">
        <f>IF(D77="","",E77-E76)</f>
        <v>64.65347208052799</v>
      </c>
      <c r="K77" s="57" t="n">
        <f>IF(D77="","",IF(OR(OR($G$40="flap",$G$40="four-stock"),$G$40="pons"),L77-L76,J77*(1+$G$42)))</f>
        <v>64.8155108576725</v>
      </c>
      <c r="L77" s="66" t="n">
        <f>IF(D77="","",$J$41+IF($G$40="pons",$G$50/($G$48-MAX(0,(C77-$G$43)*$D$45)/(1-$G$42-$J$48))-$G$49,IF($G$40="four-stock",(E77-$G$49)/(1-$G$42),(E77-$G$49)*(1+$G$42))))</f>
        <v>2370.6674971452303</v>
      </c>
    </row>
    <row r="78" ht="20" customHeight="1">
      <c r="C78" s="54" t="n">
        <f>IF($G$40="pons",80%+5*0.5%,IF(80.5%+5*0.5%&lt;=100%,80.5%+5*0.5%,""))</f>
        <v>0.8300000000000001</v>
      </c>
      <c r="D78" s="57" t="n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  <v>169072164.94845358</v>
      </c>
      <c r="E78" s="57" t="n">
        <f>IF(D78="","",IF(ABS(C78-$G$43)&lt;0.000001,$G$49,$G$50/D78))</f>
        <v>2318.536585365854</v>
      </c>
      <c r="F78" s="60" t="n">
        <f>IF(AND(ISNUMBER(D78),D78&gt;0,ISNUMBER(E78)),E78/D78,"")</f>
        <v>0.000013713295657346823</v>
      </c>
      <c r="G78" s="60" t="n">
        <f>IF(AND(ISNUMBER(F78),ISNUMBER($D$55)),F78*$D$55,"")</f>
        <v>0.00008828208345330165</v>
      </c>
      <c r="H78" s="57" t="n">
        <f>IF(ISNUMBER(F78),F78*$D$45,"")</f>
        <v>13713.295657346824</v>
      </c>
      <c r="I78" s="57" t="n">
        <f>IF(AND(ISNUMBER(H78),ISNUMBER($D$55)),H78*$D$55,"")</f>
        <v>88282.08345330165</v>
      </c>
      <c r="J78" s="57" t="n">
        <f>IF(D78="","",E78-E77)</f>
        <v>68.59575696348702</v>
      </c>
      <c r="K78" s="57" t="n">
        <f>IF(D78="","",IF(OR(OR($G$40="flap",$G$40="four-stock"),$G$40="pons"),L78-L77,J78*(1+$G$42)))</f>
        <v>68.76767615387143</v>
      </c>
      <c r="L78" s="66" t="n">
        <f>IF(D78="","",$J$41+IF($G$40="pons",$G$50/($G$48-MAX(0,(C78-$G$43)*$D$45)/(1-$G$42-$J$48))-$G$49,IF($G$40="four-stock",(E78-$G$49)/(1-$G$42),(E78-$G$49)*(1+$G$42))))</f>
        <v>2439.4351732991017</v>
      </c>
    </row>
    <row r="79" ht="20" customHeight="1">
      <c r="C79" s="54" t="n">
        <f>IF($G$40="pons",80%+6*0.5%,IF(80.5%+6*0.5%&lt;=100%,80.5%+6*0.5%,""))</f>
        <v>0.8350000000000001</v>
      </c>
      <c r="D79" s="57" t="n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  <v>163917525.77319586</v>
      </c>
      <c r="E79" s="57" t="n">
        <f>IF(D79="","",IF(ABS(C79-$G$43)&lt;0.000001,$G$49,$G$50/D79))</f>
        <v>2391.4465408805036</v>
      </c>
      <c r="F79" s="60" t="n">
        <f>IF(AND(ISNUMBER(D79),D79&gt;0,ISNUMBER(E79)),E79/D79,"")</f>
        <v>0.0000145893279537993</v>
      </c>
      <c r="G79" s="60" t="n">
        <f>IF(AND(ISNUMBER(F79),ISNUMBER($D$55)),F79*$D$55,"")</f>
        <v>0.00009392171656817376</v>
      </c>
      <c r="H79" s="57" t="n">
        <f>IF(ISNUMBER(F79),F79*$D$45,"")</f>
        <v>14589.3279537993</v>
      </c>
      <c r="I79" s="57" t="n">
        <f>IF(AND(ISNUMBER(H79),ISNUMBER($D$55)),H79*$D$55,"")</f>
        <v>93921.71656817377</v>
      </c>
      <c r="J79" s="57" t="n">
        <f>IF(D79="","",E79-E78)</f>
        <v>72.90995551464948</v>
      </c>
      <c r="K79" s="57" t="n">
        <f>IF(D79="","",IF(OR(OR($G$40="flap",$G$40="four-stock"),$G$40="pons"),L79-L78,J79*(1+$G$42)))</f>
        <v>73.09268723273135</v>
      </c>
      <c r="L79" s="66" t="n">
        <f>IF(D79="","",$J$41+IF($G$40="pons",$G$50/($G$48-MAX(0,(C79-$G$43)*$D$45)/(1-$G$42-$J$48))-$G$49,IF($G$40="four-stock",(E79-$G$49)/(1-$G$42),(E79-$G$49)*(1+$G$42))))</f>
        <v>2512.527860531833</v>
      </c>
    </row>
    <row r="80" ht="20" customHeight="1">
      <c r="C80" s="54" t="n">
        <f>IF($G$40="pons",80%+7*0.5%,IF(80.5%+7*0.5%&lt;=100%,80.5%+7*0.5%,""))</f>
        <v>0.8400000000000001</v>
      </c>
      <c r="D80" s="57" t="n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  <v>158762886.59793812</v>
      </c>
      <c r="E80" s="57" t="n">
        <f>IF(D80="","",IF(ABS(C80-$G$43)&lt;0.000001,$G$49,$G$50/D80))</f>
        <v>2469.0909090909095</v>
      </c>
      <c r="F80" s="60" t="n">
        <f>IF(AND(ISNUMBER(D80),D80&gt;0,ISNUMBER(E80)),E80/D80,"")</f>
        <v>0.000015552066115702485</v>
      </c>
      <c r="G80" s="60" t="n">
        <f>IF(AND(ISNUMBER(F80),ISNUMBER($D$55)),F80*$D$55,"")</f>
        <v>0.00010011953603305789</v>
      </c>
      <c r="H80" s="57" t="n">
        <f>IF(ISNUMBER(F80),F80*$D$45,"")</f>
        <v>15552.066115702484</v>
      </c>
      <c r="I80" s="57" t="n">
        <f>IF(AND(ISNUMBER(H80),ISNUMBER($D$55)),H80*$D$55,"")</f>
        <v>100119.53603305788</v>
      </c>
      <c r="J80" s="57" t="n">
        <f>IF(D80="","",E80-E79)</f>
        <v>77.6443682104059</v>
      </c>
      <c r="K80" s="57" t="n">
        <f>IF(D80="","",IF(OR(OR($G$40="flap",$G$40="four-stock"),$G$40="pons"),L80-L79,J80*(1+$G$42)))</f>
        <v>77.83896562446716</v>
      </c>
      <c r="L80" s="66" t="n">
        <f>IF(D80="","",$J$41+IF($G$40="pons",$G$50/($G$48-MAX(0,(C80-$G$43)*$D$45)/(1-$G$42-$J$48))-$G$49,IF($G$40="four-stock",(E80-$G$49)/(1-$G$42),(E80-$G$49)*(1+$G$42))))</f>
        <v>2590.3668261563002</v>
      </c>
    </row>
    <row r="81" ht="20" customHeight="1">
      <c r="C81" s="54" t="n">
        <f>IF($G$40="pons",80%+8*0.5%,IF(80.5%+8*0.5%&lt;=100%,80.5%+8*0.5%,""))</f>
        <v>0.8450000000000001</v>
      </c>
      <c r="D81" s="57" t="n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  <v>153608247.42268038</v>
      </c>
      <c r="E81" s="57" t="n">
        <f>IF(D81="","",IF(ABS(C81-$G$43)&lt;0.000001,$G$49,$G$50/D81))</f>
        <v>2551.9463087248328</v>
      </c>
      <c r="F81" s="60" t="n">
        <f>IF(AND(ISNUMBER(D81),D81&gt;0,ISNUMBER(E81)),E81/D81,"")</f>
        <v>0.00001661334174136301</v>
      </c>
      <c r="G81" s="60" t="n">
        <f>IF(AND(ISNUMBER(F81),ISNUMBER($D$55)),F81*$D$55,"")</f>
        <v>0.00010695171012837265</v>
      </c>
      <c r="H81" s="57" t="n">
        <f>IF(ISNUMBER(F81),F81*$D$45,"")</f>
        <v>16613.34174136301</v>
      </c>
      <c r="I81" s="57" t="n">
        <f>IF(AND(ISNUMBER(H81),ISNUMBER($D$55)),H81*$D$55,"")</f>
        <v>106951.71012837265</v>
      </c>
      <c r="J81" s="57" t="n">
        <f>IF(D81="","",E81-E80)</f>
        <v>82.8553996339233</v>
      </c>
      <c r="K81" s="57" t="n">
        <f>IF(D81="","",IF(OR(OR($G$40="flap",$G$40="four-stock"),$G$40="pons"),L81-L80,J81*(1+$G$42)))</f>
        <v>83.06305727711606</v>
      </c>
      <c r="L81" s="66" t="n">
        <f>IF(D81="","",$J$41+IF($G$40="pons",$G$50/($G$48-MAX(0,(C81-$G$43)*$D$45)/(1-$G$42-$J$48))-$G$49,IF($G$40="four-stock",(E81-$G$49)/(1-$G$42),(E81-$G$49)*(1+$G$42))))</f>
        <v>2673.4298834334163</v>
      </c>
    </row>
    <row r="82" ht="20" customHeight="1">
      <c r="C82" s="54" t="n">
        <f>IF($G$40="pons",80%+9*0.5%,IF(80.5%+9*0.5%&lt;=100%,80.5%+9*0.5%,""))</f>
        <v>0.8500000000000001</v>
      </c>
      <c r="D82" s="57" t="n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  <v>148453608.24742264</v>
      </c>
      <c r="E82" s="57" t="n">
        <f>IF(D82="","",IF(ABS(C82-$G$43)&lt;0.000001,$G$49,$G$50/D82))</f>
        <v>2640.5555555555566</v>
      </c>
      <c r="F82" s="60" t="n">
        <f>IF(AND(ISNUMBER(D82),D82&gt;0,ISNUMBER(E82)),E82/D82,"")</f>
        <v>0.000017787075617283964</v>
      </c>
      <c r="G82" s="60" t="n">
        <f>IF(AND(ISNUMBER(F82),ISNUMBER($D$55)),F82*$D$55,"")</f>
        <v>0.00011450785670138898</v>
      </c>
      <c r="H82" s="57" t="n">
        <f>IF(ISNUMBER(F82),F82*$D$45,"")</f>
        <v>17787.075617283965</v>
      </c>
      <c r="I82" s="57" t="n">
        <f>IF(AND(ISNUMBER(H82),ISNUMBER($D$55)),H82*$D$55,"")</f>
        <v>114507.85670138898</v>
      </c>
      <c r="J82" s="57" t="n">
        <f>IF(D82="","",E82-E81)</f>
        <v>88.6092468307238</v>
      </c>
      <c r="K82" s="57" t="n">
        <f>IF(D82="","",IF(OR(OR($G$40="flap",$G$40="four-stock"),$G$40="pons"),L82-L81,J82*(1+$G$42)))</f>
        <v>88.83132514358249</v>
      </c>
      <c r="L82" s="66" t="n">
        <f>IF(D82="","",$J$41+IF($G$40="pons",$G$50/($G$48-MAX(0,(C82-$G$43)*$D$45)/(1-$G$42-$J$48))-$G$49,IF($G$40="four-stock",(E82-$G$49)/(1-$G$42),(E82-$G$49)*(1+$G$42))))</f>
        <v>2762.261208576999</v>
      </c>
    </row>
    <row r="83" ht="20" customHeight="1">
      <c r="C83" s="54" t="n">
        <f>IF($G$40="pons",80%+10*0.5%,IF(80.5%+10*0.5%&lt;=100%,80.5%+10*0.5%,""))</f>
        <v>0.8550000000000001</v>
      </c>
      <c r="D83" s="57" t="n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  <v>143298969.0721649</v>
      </c>
      <c r="E83" s="57" t="n">
        <f>IF(D83="","",IF(ABS(C83-$G$43)&lt;0.000001,$G$49,$G$50/D83))</f>
        <v>2735.539568345325</v>
      </c>
      <c r="F83" s="60" t="n">
        <f>IF(AND(ISNUMBER(D83),D83&gt;0,ISNUMBER(E83)),E83/D83,"")</f>
        <v>0.00001908973655607889</v>
      </c>
      <c r="G83" s="60" t="n">
        <f>IF(AND(ISNUMBER(F83),ISNUMBER($D$55)),F83*$D$55,"")</f>
        <v>0.0001228939970270691</v>
      </c>
      <c r="H83" s="57" t="n">
        <f>IF(ISNUMBER(F83),F83*$D$45,"")</f>
        <v>19089.736556078893</v>
      </c>
      <c r="I83" s="57" t="n">
        <f>IF(AND(ISNUMBER(H83),ISNUMBER($D$55)),H83*$D$55,"")</f>
        <v>122893.9970270691</v>
      </c>
      <c r="J83" s="57" t="n">
        <f>IF(D83="","",E83-E82)</f>
        <v>94.98401278976826</v>
      </c>
      <c r="K83" s="57" t="n">
        <f>IF(D83="","",IF(OR(OR($G$40="flap",$G$40="four-stock"),$G$40="pons"),L83-L82,J83*(1+$G$42)))</f>
        <v>95.22206795966758</v>
      </c>
      <c r="L83" s="66" t="n">
        <f>IF(D83="","",$J$41+IF($G$40="pons",$G$50/($G$48-MAX(0,(C83-$G$43)*$D$45)/(1-$G$42-$J$48))-$G$49,IF($G$40="four-stock",(E83-$G$49)/(1-$G$42),(E83-$G$49)*(1+$G$42))))</f>
        <v>2857.4832765366664</v>
      </c>
    </row>
    <row r="84" ht="20" customHeight="1">
      <c r="C84" s="54" t="n">
        <f>IF($G$40="pons",80%+11*0.5%,IF(80.5%+11*0.5%&lt;=100%,80.5%+11*0.5%,""))</f>
        <v>0.8600000000000001</v>
      </c>
      <c r="D84" s="57" t="n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  <v>138144329.89690715</v>
      </c>
      <c r="E84" s="57" t="n">
        <f>IF(D84="","",IF(ABS(C84-$G$43)&lt;0.000001,$G$49,$G$50/D84))</f>
        <v>2837.6119402985087</v>
      </c>
      <c r="F84" s="60" t="n">
        <f>IF(AND(ISNUMBER(D84),D84&gt;0,ISNUMBER(E84)),E84/D84,"")</f>
        <v>0.000020540922254399663</v>
      </c>
      <c r="G84" s="60" t="n">
        <f>IF(AND(ISNUMBER(F84),ISNUMBER($D$55)),F84*$D$55,"")</f>
        <v>0.00013223629519714872</v>
      </c>
      <c r="H84" s="57" t="n">
        <f>IF(ISNUMBER(F84),F84*$D$45,"")</f>
        <v>20540.922254399662</v>
      </c>
      <c r="I84" s="57" t="n">
        <f>IF(AND(ISNUMBER(H84),ISNUMBER($D$55)),H84*$D$55,"")</f>
        <v>132236.29519714872</v>
      </c>
      <c r="J84" s="57" t="n">
        <f>IF(D84="","",E84-E83)</f>
        <v>102.07237195318385</v>
      </c>
      <c r="K84" s="57" t="n">
        <f>IF(D84="","",IF(OR(OR($G$40="flap",$G$40="four-stock"),$G$40="pons"),L84-L83,J84*(1+$G$42)))</f>
        <v>102.32819243426957</v>
      </c>
      <c r="L84" s="66" t="n">
        <f>IF(D84="","",$J$41+IF($G$40="pons",$G$50/($G$48-MAX(0,(C84-$G$43)*$D$45)/(1-$G$42-$J$48))-$G$49,IF($G$40="four-stock",(E84-$G$49)/(1-$G$42),(E84-$G$49)*(1+$G$42))))</f>
        <v>2959.811468970936</v>
      </c>
    </row>
    <row r="85" ht="20" customHeight="1">
      <c r="C85" s="54" t="n">
        <f>IF($G$40="pons",80%+12*0.5%,IF(80.5%+12*0.5%&lt;=100%,80.5%+12*0.5%,""))</f>
        <v>0.865</v>
      </c>
      <c r="D85" s="57" t="n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  <v>132989690.72164953</v>
      </c>
      <c r="E85" s="57" t="n">
        <f>IF(D85="","",IF(ABS(C85-$G$43)&lt;0.000001,$G$49,$G$50/D85))</f>
        <v>2947.5968992248054</v>
      </c>
      <c r="F85" s="60" t="n">
        <f>IF(AND(ISNUMBER(D85),D85&gt;0,ISNUMBER(E85)),E85/D85,"")</f>
        <v>0.000022164100715101244</v>
      </c>
      <c r="G85" s="60" t="n">
        <f>IF(AND(ISNUMBER(F85),ISNUMBER($D$55)),F85*$D$55,"")</f>
        <v>0.0001426858311736073</v>
      </c>
      <c r="H85" s="57" t="n">
        <f>IF(ISNUMBER(F85),F85*$D$45,"")</f>
        <v>22164.10071510124</v>
      </c>
      <c r="I85" s="57" t="n">
        <f>IF(AND(ISNUMBER(H85),ISNUMBER($D$55)),H85*$D$55,"")</f>
        <v>142685.83117360726</v>
      </c>
      <c r="J85" s="57" t="n">
        <f>IF(D85="","",E85-E84)</f>
        <v>109.98495892629671</v>
      </c>
      <c r="K85" s="57" t="n">
        <f>IF(D85="","",IF(OR(OR($G$40="flap",$G$40="four-stock"),$G$40="pons"),L85-L84,J85*(1+$G$42)))</f>
        <v>110.26061045242795</v>
      </c>
      <c r="L85" s="66" t="n">
        <f>IF(D85="","",$J$41+IF($G$40="pons",$G$50/($G$48-MAX(0,(C85-$G$43)*$D$45)/(1-$G$42-$J$48))-$G$49,IF($G$40="four-stock",(E85-$G$49)/(1-$G$42),(E85-$G$49)*(1+$G$42))))</f>
        <v>3070.072079423364</v>
      </c>
    </row>
    <row r="86" ht="20" customHeight="1">
      <c r="C86" s="54" t="n">
        <f>IF($G$40="pons",80%+13*0.5%,IF(80.5%+13*0.5%&lt;=100%,80.5%+13*0.5%,""))</f>
        <v>0.8700000000000001</v>
      </c>
      <c r="D86" s="57" t="n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  <v>127835051.5463917</v>
      </c>
      <c r="E86" s="57" t="n">
        <f>IF(D86="","",IF(ABS(C86-$G$43)&lt;0.000001,$G$49,$G$50/D86))</f>
        <v>3066.451612903227</v>
      </c>
      <c r="F86" s="60" t="n">
        <f>IF(AND(ISNUMBER(D86),D86&gt;0,ISNUMBER(E86)),E86/D86,"")</f>
        <v>0.000023987565036420416</v>
      </c>
      <c r="G86" s="60" t="n">
        <f>IF(AND(ISNUMBER(F86),ISNUMBER($D$55)),F86*$D$55,"")</f>
        <v>0.00015442474743496373</v>
      </c>
      <c r="H86" s="57" t="n">
        <f>IF(ISNUMBER(F86),F86*$D$45,"")</f>
        <v>23987.565036420416</v>
      </c>
      <c r="I86" s="57" t="n">
        <f>IF(AND(ISNUMBER(H86),ISNUMBER($D$55)),H86*$D$55,"")</f>
        <v>154424.74743496373</v>
      </c>
      <c r="J86" s="57" t="n">
        <f>IF(D86="","",E86-E85)</f>
        <v>118.85471367842183</v>
      </c>
      <c r="K86" s="57" t="n">
        <f>IF(D86="","",IF(OR(OR($G$40="flap",$G$40="four-stock"),$G$40="pons"),L86-L85,J86*(1+$G$42)))</f>
        <v>119.1525951663375</v>
      </c>
      <c r="L86" s="66" t="n">
        <f>IF(D86="","",$J$41+IF($G$40="pons",$G$50/($G$48-MAX(0,(C86-$G$43)*$D$45)/(1-$G$42-$J$48))-$G$49,IF($G$40="four-stock",(E86-$G$49)/(1-$G$42),(E86-$G$49)*(1+$G$42))))</f>
        <v>3189.2246745897014</v>
      </c>
    </row>
    <row r="87" ht="20" customHeight="1">
      <c r="C87" s="54" t="n">
        <f>IF($G$40="pons",80%+14*0.5%,IF(80.5%+14*0.5%&lt;=100%,80.5%+14*0.5%,""))</f>
        <v>0.875</v>
      </c>
      <c r="D87" s="57" t="n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  <v>122680412.37113406</v>
      </c>
      <c r="E87" s="57" t="n">
        <f>IF(D87="","",IF(ABS(C87-$G$43)&lt;0.000001,$G$49,$G$50/D87))</f>
        <v>3195.2941176470576</v>
      </c>
      <c r="F87" s="60" t="n">
        <f>IF(AND(ISNUMBER(D87),D87&gt;0,ISNUMBER(E87)),E87/D87,"")</f>
        <v>0.00002604567474048441</v>
      </c>
      <c r="G87" s="60" t="n">
        <f>IF(AND(ISNUMBER(F87),ISNUMBER($D$55)),F87*$D$55,"")</f>
        <v>0.00016767424027681652</v>
      </c>
      <c r="H87" s="57" t="n">
        <f>IF(ISNUMBER(F87),F87*$D$45,"")</f>
        <v>26045.67474048441</v>
      </c>
      <c r="I87" s="57" t="n">
        <f>IF(AND(ISNUMBER(H87),ISNUMBER($D$55)),H87*$D$55,"")</f>
        <v>167674.2402768165</v>
      </c>
      <c r="J87" s="57" t="n">
        <f>IF(D87="","",E87-E86)</f>
        <v>128.84250474383043</v>
      </c>
      <c r="K87" s="57" t="n">
        <f>IF(D87="","",IF(OR(OR($G$40="flap",$G$40="four-stock"),$G$40="pons"),L87-L86,J87*(1+$G$42)))</f>
        <v>129.16541828955405</v>
      </c>
      <c r="L87" s="66" t="n">
        <f>IF(D87="","",$J$41+IF($G$40="pons",$G$50/($G$48-MAX(0,(C87-$G$43)*$D$45)/(1-$G$42-$J$48))-$G$49,IF($G$40="four-stock",(E87-$G$49)/(1-$G$42),(E87-$G$49)*(1+$G$42))))</f>
        <v>3318.3900928792555</v>
      </c>
    </row>
    <row r="88" ht="20" customHeight="1">
      <c r="C88" s="54" t="n">
        <f>IF($G$40="pons",80%+15*0.5%,IF(80.5%+15*0.5%&lt;=100%,80.5%+15*0.5%,""))</f>
        <v>0.88</v>
      </c>
      <c r="D88" s="57" t="n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  <v>117525773.19587633</v>
      </c>
      <c r="E88" s="57" t="n">
        <f>IF(D88="","",IF(ABS(C88-$G$43)&lt;0.000001,$G$49,$G$50/D88))</f>
        <v>3335.4385964912267</v>
      </c>
      <c r="F88" s="60" t="n">
        <f>IF(AND(ISNUMBER(D88),D88&gt;0,ISNUMBER(E88)),E88/D88,"")</f>
        <v>0.000028380486303477972</v>
      </c>
      <c r="G88" s="60" t="n">
        <f>IF(AND(ISNUMBER(F88),ISNUMBER($D$55)),F88*$D$55,"")</f>
        <v>0.00018270505667590016</v>
      </c>
      <c r="H88" s="57" t="n">
        <f>IF(ISNUMBER(F88),F88*$D$45,"")</f>
        <v>28380.48630347797</v>
      </c>
      <c r="I88" s="57" t="n">
        <f>IF(AND(ISNUMBER(H88),ISNUMBER($D$55)),H88*$D$55,"")</f>
        <v>182705.05667590015</v>
      </c>
      <c r="J88" s="57" t="n">
        <f>IF(D88="","",E88-E87)</f>
        <v>140.14447884416904</v>
      </c>
      <c r="K88" s="57" t="n">
        <f>IF(D88="","",IF(OR(OR($G$40="flap",$G$40="four-stock"),$G$40="pons"),L88-L87,J88*(1+$G$42)))</f>
        <v>140.49571813951798</v>
      </c>
      <c r="L88" s="66" t="n">
        <f>IF(D88="","",$J$41+IF($G$40="pons",$G$50/($G$48-MAX(0,(C88-$G$43)*$D$45)/(1-$G$42-$J$48))-$G$49,IF($G$40="four-stock",(E88-$G$49)/(1-$G$42),(E88-$G$49)*(1+$G$42))))</f>
        <v>3458.8858110187734</v>
      </c>
    </row>
    <row r="89" ht="20" customHeight="1">
      <c r="C89" s="54" t="n">
        <f>IF($G$40="pons",80%+16*0.5%,IF(80.5%+16*0.5%&lt;=100%,80.5%+16*0.5%,""))</f>
        <v>0.885</v>
      </c>
      <c r="D89" s="57" t="n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  <v>112371134.02061859</v>
      </c>
      <c r="E89" s="57" t="n">
        <f>IF(D89="","",IF(ABS(C89-$G$43)&lt;0.000001,$G$49,$G$50/D89))</f>
        <v>3488.440366972476</v>
      </c>
      <c r="F89" s="60" t="n">
        <f>IF(AND(ISNUMBER(D89),D89&gt;0,ISNUMBER(E89)),E89/D89,"")</f>
        <v>0.00003104391886204863</v>
      </c>
      <c r="G89" s="60" t="n">
        <f>IF(AND(ISNUMBER(F89),ISNUMBER($D$55)),F89*$D$55,"")</f>
        <v>0.0001998514364582105</v>
      </c>
      <c r="H89" s="57" t="n">
        <f>IF(ISNUMBER(F89),F89*$D$45,"")</f>
        <v>31043.91886204863</v>
      </c>
      <c r="I89" s="57" t="n">
        <f>IF(AND(ISNUMBER(H89),ISNUMBER($D$55)),H89*$D$55,"")</f>
        <v>199851.4364582105</v>
      </c>
      <c r="J89" s="57" t="n">
        <f>IF(D89="","",E89-E88)</f>
        <v>153.00177048124942</v>
      </c>
      <c r="K89" s="57" t="n">
        <f>IF(D89="","",IF(OR(OR($G$40="flap",$G$40="four-stock"),$G$40="pons"),L89-L88,J89*(1+$G$42)))</f>
        <v>153.38523356516225</v>
      </c>
      <c r="L89" s="66" t="n">
        <f>IF(D89="","",$J$41+IF($G$40="pons",$G$50/($G$48-MAX(0,(C89-$G$43)*$D$45)/(1-$G$42-$J$48))-$G$49,IF($G$40="four-stock",(E89-$G$49)/(1-$G$42),(E89-$G$49)*(1+$G$42))))</f>
        <v>3612.2710445839357</v>
      </c>
    </row>
    <row r="90" ht="20" customHeight="1">
      <c r="C90" s="54" t="n">
        <f>IF($G$40="pons",80%+17*0.5%,IF(80.5%+17*0.5%&lt;=100%,80.5%+17*0.5%,""))</f>
        <v>0.89</v>
      </c>
      <c r="D90" s="57" t="n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  <v>107216494.84536086</v>
      </c>
      <c r="E90" s="57" t="n">
        <f>IF(D90="","",IF(ABS(C90-$G$43)&lt;0.000001,$G$49,$G$50/D90))</f>
        <v>3656.153846153845</v>
      </c>
      <c r="F90" s="60" t="n">
        <f>IF(AND(ISNUMBER(D90),D90&gt;0,ISNUMBER(E90)),E90/D90,"")</f>
        <v>0.00003410066568047335</v>
      </c>
      <c r="G90" s="60" t="n">
        <f>IF(AND(ISNUMBER(F90),ISNUMBER($D$55)),F90*$D$55,"")</f>
        <v>0.00021952985545118332</v>
      </c>
      <c r="H90" s="57" t="n">
        <f>IF(ISNUMBER(F90),F90*$D$45,"")</f>
        <v>34100.66568047335</v>
      </c>
      <c r="I90" s="57" t="n">
        <f>IF(AND(ISNUMBER(H90),ISNUMBER($D$55)),H90*$D$55,"")</f>
        <v>219529.8554511833</v>
      </c>
      <c r="J90" s="57" t="n">
        <f>IF(D90="","",E90-E89)</f>
        <v>167.7134791813687</v>
      </c>
      <c r="K90" s="57" t="n">
        <f>IF(D90="","",IF(OR(OR($G$40="flap",$G$40="four-stock"),$G$40="pons"),L90-L89,J90*(1+$G$42)))</f>
        <v>168.1338137156581</v>
      </c>
      <c r="L90" s="66" t="n">
        <f>IF(D90="","",$J$41+IF($G$40="pons",$G$50/($G$48-MAX(0,(C90-$G$43)*$D$45)/(1-$G$42-$J$48))-$G$49,IF($G$40="four-stock",(E90-$G$49)/(1-$G$42),(E90-$G$49)*(1+$G$42))))</f>
        <v>3780.404858299594</v>
      </c>
    </row>
    <row r="91" ht="20" customHeight="1">
      <c r="C91" s="54" t="n">
        <f>IF($G$40="pons",80%+18*0.5%,IF(80.5%+18*0.5%&lt;=100%,80.5%+18*0.5%,""))</f>
        <v>0.895</v>
      </c>
      <c r="D91" s="57" t="n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  <v>102061855.67010312</v>
      </c>
      <c r="E91" s="57" t="n">
        <f>IF(D91="","",IF(ABS(C91-$G$43)&lt;0.000001,$G$49,$G$50/D91))</f>
        <v>3840.80808080808</v>
      </c>
      <c r="F91" s="60" t="n">
        <f>IF(AND(ISNUMBER(D91),D91&gt;0,ISNUMBER(E91)),E91/D91,"")</f>
        <v>0.00003763215998367512</v>
      </c>
      <c r="G91" s="60" t="n">
        <f>IF(AND(ISNUMBER(F91),ISNUMBER($D$55)),F91*$D$55,"")</f>
        <v>0.00024226455632690534</v>
      </c>
      <c r="H91" s="57" t="n">
        <f>IF(ISNUMBER(F91),F91*$D$45,"")</f>
        <v>37632.15998367512</v>
      </c>
      <c r="I91" s="57" t="n">
        <f>IF(AND(ISNUMBER(H91),ISNUMBER($D$55)),H91*$D$55,"")</f>
        <v>242264.55632690532</v>
      </c>
      <c r="J91" s="57" t="n">
        <f>IF(D91="","",E91-E90)</f>
        <v>184.6542346542351</v>
      </c>
      <c r="K91" s="57" t="n">
        <f>IF(D91="","",IF(OR(OR($G$40="flap",$G$40="four-stock"),$G$40="pons"),L91-L90,J91*(1+$G$42)))</f>
        <v>185.11702722229074</v>
      </c>
      <c r="L91" s="66" t="n">
        <f>IF(D91="","",$J$41+IF($G$40="pons",$G$50/($G$48-MAX(0,(C91-$G$43)*$D$45)/(1-$G$42-$J$48))-$G$49,IF($G$40="four-stock",(E91-$G$49)/(1-$G$42),(E91-$G$49)*(1+$G$42))))</f>
        <v>3965.5218855218845</v>
      </c>
    </row>
    <row r="92" ht="20" customHeight="1">
      <c r="C92" s="54" t="n">
        <f>IF($G$40="pons",80%+19*0.5%,IF(80.5%+19*0.5%&lt;=100%,80.5%+19*0.5%,""))</f>
        <v>0.9</v>
      </c>
      <c r="D92" s="57" t="n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  <v>96907216.49484538</v>
      </c>
      <c r="E92" s="57" t="n">
        <f>IF(D92="","",IF(ABS(C92-$G$43)&lt;0.000001,$G$49,$G$50/D92))</f>
        <v>4045.1063829787226</v>
      </c>
      <c r="F92" s="60" t="n">
        <f>IF(AND(ISNUMBER(D92),D92&gt;0,ISNUMBER(E92)),E92/D92,"")</f>
        <v>0.00004174205522861022</v>
      </c>
      <c r="G92" s="60" t="n">
        <f>IF(AND(ISNUMBER(F92),ISNUMBER($D$55)),F92*$D$55,"")</f>
        <v>0.00026872282894522403</v>
      </c>
      <c r="H92" s="57" t="n">
        <f>IF(ISNUMBER(F92),F92*$D$45,"")</f>
        <v>41742.05522861022</v>
      </c>
      <c r="I92" s="57" t="n">
        <f>IF(AND(ISNUMBER(H92),ISNUMBER($D$55)),H92*$D$55,"")</f>
        <v>268722.828945224</v>
      </c>
      <c r="J92" s="57" t="n">
        <f>IF(D92="","",E92-E91)</f>
        <v>204.29830217064273</v>
      </c>
      <c r="K92" s="57" t="n">
        <f>IF(D92="","",IF(OR(OR($G$40="flap",$G$40="four-stock"),$G$40="pons"),L92-L91,J92*(1+$G$42)))</f>
        <v>204.81032799061904</v>
      </c>
      <c r="L92" s="66" t="n">
        <f>IF(D92="","",$J$41+IF($G$40="pons",$G$50/($G$48-MAX(0,(C92-$G$43)*$D$45)/(1-$G$42-$J$48))-$G$49,IF($G$40="four-stock",(E92-$G$49)/(1-$G$42),(E92-$G$49)*(1+$G$42))))</f>
        <v>4170.332213512504</v>
      </c>
    </row>
    <row r="93" ht="20" customHeight="1">
      <c r="C93" s="54" t="n">
        <f>IF($G$40="pons",80%+20*0.5%,IF(80.5%+20*0.5%&lt;=100%,80.5%+20*0.5%,""))</f>
        <v>0.905</v>
      </c>
      <c r="D93" s="57" t="n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  <v>91752577.31958765</v>
      </c>
      <c r="E93" s="57" t="n">
        <f>IF(D93="","",IF(ABS(C93-$G$43)&lt;0.000001,$G$49,$G$50/D93))</f>
        <v>4272.359550561797</v>
      </c>
      <c r="F93" s="60" t="n">
        <f>IF(AND(ISNUMBER(D93),D93&gt;0,ISNUMBER(E93)),E93/D93,"")</f>
        <v>0.00004656391869713418</v>
      </c>
      <c r="G93" s="60" t="n">
        <f>IF(AND(ISNUMBER(F93),ISNUMBER($D$55)),F93*$D$55,"")</f>
        <v>0.0002997645393965407</v>
      </c>
      <c r="H93" s="57" t="n">
        <f>IF(ISNUMBER(F93),F93*$D$45,"")</f>
        <v>46563.918697134184</v>
      </c>
      <c r="I93" s="57" t="n">
        <f>IF(AND(ISNUMBER(H93),ISNUMBER($D$55)),H93*$D$55,"")</f>
        <v>299764.5393965408</v>
      </c>
      <c r="J93" s="57" t="n">
        <f>IF(D93="","",E93-E92)</f>
        <v>227.25316758307417</v>
      </c>
      <c r="K93" s="57" t="n">
        <f>IF(D93="","",IF(OR(OR($G$40="flap",$G$40="four-stock"),$G$40="pons"),L93-L92,J93*(1+$G$42)))</f>
        <v>227.82272439406006</v>
      </c>
      <c r="L93" s="66" t="n">
        <f>IF(D93="","",$J$41+IF($G$40="pons",$G$50/($G$48-MAX(0,(C93-$G$43)*$D$45)/(1-$G$42-$J$48))-$G$49,IF($G$40="four-stock",(E93-$G$49)/(1-$G$42),(E93-$G$49)*(1+$G$42))))</f>
        <v>4398.154937906564</v>
      </c>
    </row>
    <row r="94" ht="20" customHeight="1">
      <c r="C94" s="54" t="n">
        <f>IF($G$40="pons",80%+21*0.5%,IF(80.5%+21*0.5%&lt;=100%,80.5%+21*0.5%,""))</f>
        <v>0.91</v>
      </c>
      <c r="D94" s="57" t="n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  <v>86597938.1443299</v>
      </c>
      <c r="E94" s="57" t="n">
        <f>IF(D94="","",IF(ABS(C94-$G$43)&lt;0.000001,$G$49,$G$50/D94))</f>
        <v>4526.666666666666</v>
      </c>
      <c r="F94" s="60" t="n">
        <f>IF(AND(ISNUMBER(D94),D94&gt;0,ISNUMBER(E94)),E94/D94,"")</f>
        <v>0.00005227222222222221</v>
      </c>
      <c r="G94" s="60" t="n">
        <f>IF(AND(ISNUMBER(F94),ISNUMBER($D$55)),F94*$D$55,"")</f>
        <v>0.00033651288499999995</v>
      </c>
      <c r="H94" s="57" t="n">
        <f>IF(ISNUMBER(F94),F94*$D$45,"")</f>
        <v>52272.22222222221</v>
      </c>
      <c r="I94" s="57" t="n">
        <f>IF(AND(ISNUMBER(H94),ISNUMBER($D$55)),H94*$D$55,"")</f>
        <v>336512.88499999995</v>
      </c>
      <c r="J94" s="57" t="n">
        <f>IF(D94="","",E94-E93)</f>
        <v>254.30711610486924</v>
      </c>
      <c r="K94" s="57" t="n">
        <f>IF(D94="","",IF(OR(OR($G$40="flap",$G$40="four-stock"),$G$40="pons"),L94-L93,J94*(1+$G$42)))</f>
        <v>254.94447729811418</v>
      </c>
      <c r="L94" s="66" t="n">
        <f>IF(D94="","",$J$41+IF($G$40="pons",$G$50/($G$48-MAX(0,(C94-$G$43)*$D$45)/(1-$G$42-$J$48))-$G$49,IF($G$40="four-stock",(E94-$G$49)/(1-$G$42),(E94-$G$49)*(1+$G$42))))</f>
        <v>4653.099415204678</v>
      </c>
    </row>
    <row r="95" ht="20" customHeight="1">
      <c r="C95" s="54" t="n">
        <f>IF($G$40="pons",80%+22*0.5%,IF(80.5%+22*0.5%&lt;=100%,80.5%+22*0.5%,""))</f>
        <v>0.915</v>
      </c>
      <c r="D95" s="57" t="n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  <v>81443298.96907218</v>
      </c>
      <c r="E95" s="57" t="n">
        <f>IF(D95="","",IF(ABS(C95-$G$43)&lt;0.000001,$G$49,$G$50/D95))</f>
        <v>4813.164556962024</v>
      </c>
      <c r="F95" s="60" t="n">
        <f>IF(AND(ISNUMBER(D95),D95&gt;0,ISNUMBER(E95)),E95/D95,"")</f>
        <v>0.00005909834962345776</v>
      </c>
      <c r="G95" s="60" t="n">
        <f>IF(AND(ISNUMBER(F95),ISNUMBER($D$55)),F95*$D$55,"")</f>
        <v>0.00038045744537093404</v>
      </c>
      <c r="H95" s="57" t="n">
        <f>IF(ISNUMBER(F95),F95*$D$45,"")</f>
        <v>59098.349623457754</v>
      </c>
      <c r="I95" s="57" t="n">
        <f>IF(AND(ISNUMBER(H95),ISNUMBER($D$55)),H95*$D$55,"")</f>
        <v>380457.44537093403</v>
      </c>
      <c r="J95" s="57" t="n">
        <f>IF(D95="","",E95-E94)</f>
        <v>286.49789029535805</v>
      </c>
      <c r="K95" s="57" t="n">
        <f>IF(D95="","",IF(OR(OR($G$40="flap",$G$40="four-stock"),$G$40="pons"),L95-L94,J95*(1+$G$42)))</f>
        <v>287.2159301206593</v>
      </c>
      <c r="L95" s="66" t="n">
        <f>IF(D95="","",$J$41+IF($G$40="pons",$G$50/($G$48-MAX(0,(C95-$G$43)*$D$45)/(1-$G$42-$J$48))-$G$49,IF($G$40="four-stock",(E95-$G$49)/(1-$G$42),(E95-$G$49)*(1+$G$42))))</f>
        <v>4940.315345325337</v>
      </c>
    </row>
    <row r="96" ht="20" customHeight="1">
      <c r="C96" s="54" t="n">
        <f>IF($G$40="pons",80%+23*0.5%,IF(80.5%+23*0.5%&lt;=100%,80.5%+23*0.5%,""))</f>
        <v>0.92</v>
      </c>
      <c r="D96" s="57" t="n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  <v>76288659.79381444</v>
      </c>
      <c r="E96" s="57" t="n">
        <f>IF(D96="","",IF(ABS(C96-$G$43)&lt;0.000001,$G$49,$G$50/D96))</f>
        <v>5138.378378378378</v>
      </c>
      <c r="F96" s="60" t="n">
        <f>IF(AND(ISNUMBER(D96),D96&gt;0,ISNUMBER(E96)),E96/D96,"")</f>
        <v>0.000067354419284149</v>
      </c>
      <c r="G96" s="60" t="n">
        <f>IF(AND(ISNUMBER(F96),ISNUMBER($D$55)),F96*$D$55,"")</f>
        <v>0.0004336075450255661</v>
      </c>
      <c r="H96" s="57" t="n">
        <f>IF(ISNUMBER(F96),F96*$D$45,"")</f>
        <v>67354.419284149</v>
      </c>
      <c r="I96" s="57" t="n">
        <f>IF(AND(ISNUMBER(H96),ISNUMBER($D$55)),H96*$D$55,"")</f>
        <v>433607.54502556607</v>
      </c>
      <c r="J96" s="57" t="n">
        <f>IF(D96="","",E96-E95)</f>
        <v>325.2138214163542</v>
      </c>
      <c r="K96" s="57" t="n">
        <f>IF(D96="","",IF(OR(OR($G$40="flap",$G$40="four-stock"),$G$40="pons"),L96-L95,J96*(1+$G$42)))</f>
        <v>326.0288936504812</v>
      </c>
      <c r="L96" s="66" t="n">
        <f>IF(D96="","",$J$41+IF($G$40="pons",$G$50/($G$48-MAX(0,(C96-$G$43)*$D$45)/(1-$G$42-$J$48))-$G$49,IF($G$40="four-stock",(E96-$G$49)/(1-$G$42),(E96-$G$49)*(1+$G$42))))</f>
        <v>5266.344238975818</v>
      </c>
    </row>
    <row r="97" ht="20" customHeight="1">
      <c r="C97" s="54" t="n">
        <f>IF($G$40="pons",80%+24*0.5%,IF(80.5%+24*0.5%&lt;=100%,80.5%+24*0.5%,""))</f>
        <v>0.925</v>
      </c>
      <c r="D97" s="57" t="n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  <v>71134020.6185567</v>
      </c>
      <c r="E97" s="57" t="n">
        <f>IF(D97="","",IF(ABS(C97-$G$43)&lt;0.000001,$G$49,$G$50/D97))</f>
        <v>5510.72463768116</v>
      </c>
      <c r="F97" s="60" t="n">
        <f>IF(AND(ISNUMBER(D97),D97&gt;0,ISNUMBER(E97)),E97/D97,"")</f>
        <v>0.00007746960722537283</v>
      </c>
      <c r="G97" s="60" t="n">
        <f>IF(AND(ISNUMBER(F97),ISNUMBER($D$55)),F97*$D$55,"")</f>
        <v>0.0004987260904347827</v>
      </c>
      <c r="H97" s="57" t="n">
        <f>IF(ISNUMBER(F97),F97*$D$45,"")</f>
        <v>77469.60722537283</v>
      </c>
      <c r="I97" s="57" t="n">
        <f>IF(AND(ISNUMBER(H97),ISNUMBER($D$55)),H97*$D$55,"")</f>
        <v>498726.09043478273</v>
      </c>
      <c r="J97" s="57" t="n">
        <f>IF(D97="","",E97-E96)</f>
        <v>372.3462593027816</v>
      </c>
      <c r="K97" s="57" t="n">
        <f>IF(D97="","",IF(OR(OR($G$40="flap",$G$40="four-stock"),$G$40="pons"),L97-L96,J97*(1+$G$42)))</f>
        <v>373.27945794765037</v>
      </c>
      <c r="L97" s="66" t="n">
        <f>IF(D97="","",$J$41+IF($G$40="pons",$G$50/($G$48-MAX(0,(C97-$G$43)*$D$45)/(1-$G$42-$J$48))-$G$49,IF($G$40="four-stock",(E97-$G$49)/(1-$G$42),(E97-$G$49)*(1+$G$42))))</f>
        <v>5639.623696923469</v>
      </c>
    </row>
    <row r="98" ht="20" customHeight="1">
      <c r="C98" s="54" t="n">
        <f>IF($G$40="pons",80%+25*0.5%,IF(80.5%+25*0.5%&lt;=100%,80.5%+25*0.5%,""))</f>
        <v>0.93</v>
      </c>
      <c r="D98" s="57" t="n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  <v>65979381.443298966</v>
      </c>
      <c r="E98" s="57" t="n">
        <f>IF(D98="","",IF(ABS(C98-$G$43)&lt;0.000001,$G$49,$G$50/D98))</f>
        <v>5941.25</v>
      </c>
      <c r="F98" s="60" t="n">
        <f>IF(AND(ISNUMBER(D98),D98&gt;0,ISNUMBER(E98)),E98/D98,"")</f>
        <v>0.0000900470703125</v>
      </c>
      <c r="G98" s="60" t="n">
        <f>IF(AND(ISNUMBER(F98),ISNUMBER($D$55)),F98*$D$55,"")</f>
        <v>0.0005796960245507813</v>
      </c>
      <c r="H98" s="57" t="n">
        <f>IF(ISNUMBER(F98),F98*$D$45,"")</f>
        <v>90047.0703125</v>
      </c>
      <c r="I98" s="57" t="n">
        <f>IF(AND(ISNUMBER(H98),ISNUMBER($D$55)),H98*$D$55,"")</f>
        <v>579696.0245507812</v>
      </c>
      <c r="J98" s="57" t="n">
        <f>IF(D98="","",E98-E97)</f>
        <v>430.52536231884005</v>
      </c>
      <c r="K98" s="57" t="n">
        <f>IF(D98="","",IF(OR(OR($G$40="flap",$G$40="four-stock"),$G$40="pons"),L98-L97,J98*(1+$G$42)))</f>
        <v>431.6043732519702</v>
      </c>
      <c r="L98" s="66" t="n">
        <f>IF(D98="","",$J$41+IF($G$40="pons",$G$50/($G$48-MAX(0,(C98-$G$43)*$D$45)/(1-$G$42-$J$48))-$G$49,IF($G$40="four-stock",(E98-$G$49)/(1-$G$42),(E98-$G$49)*(1+$G$42))))</f>
        <v>6071.228070175439</v>
      </c>
    </row>
    <row r="99" ht="20" customHeight="1">
      <c r="C99" s="54" t="n">
        <f>IF($G$40="pons",80%+26*0.5%,IF(80.5%+26*0.5%&lt;=100%,80.5%+26*0.5%,""))</f>
        <v>0.935</v>
      </c>
      <c r="D99" s="57" t="n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  <v>60824742.26804122</v>
      </c>
      <c r="E99" s="57" t="n">
        <f>IF(D99="","",IF(ABS(C99-$G$43)&lt;0.000001,$G$49,$G$50/D99))</f>
        <v>6444.745762711866</v>
      </c>
      <c r="F99" s="60" t="n">
        <f>IF(AND(ISNUMBER(D99),D99&gt;0,ISNUMBER(E99)),E99/D99,"")</f>
        <v>0.00010595598965814425</v>
      </c>
      <c r="G99" s="60" t="n">
        <f>IF(AND(ISNUMBER(F99),ISNUMBER($D$55)),F99*$D$55,"")</f>
        <v>0.0006821128746222353</v>
      </c>
      <c r="H99" s="57" t="n">
        <f>IF(ISNUMBER(F99),F99*$D$45,"")</f>
        <v>105955.98965814424</v>
      </c>
      <c r="I99" s="57" t="n">
        <f>IF(AND(ISNUMBER(H99),ISNUMBER($D$55)),H99*$D$55,"")</f>
        <v>682112.8746222352</v>
      </c>
      <c r="J99" s="57" t="n">
        <f>IF(D99="","",E99-E98)</f>
        <v>503.4957627118656</v>
      </c>
      <c r="K99" s="57" t="n">
        <f>IF(D99="","",IF(OR(OR($G$40="flap",$G$40="four-stock"),$G$40="pons"),L99-L98,J99*(1+$G$42)))</f>
        <v>504.75765685399983</v>
      </c>
      <c r="L99" s="66" t="n">
        <f>IF(D99="","",$J$41+IF($G$40="pons",$G$50/($G$48-MAX(0,(C99-$G$43)*$D$45)/(1-$G$42-$J$48))-$G$49,IF($G$40="four-stock",(E99-$G$49)/(1-$G$42),(E99-$G$49)*(1+$G$42))))</f>
        <v>6575.985727029439</v>
      </c>
    </row>
    <row r="100" ht="20" customHeight="1">
      <c r="C100" s="54" t="n">
        <f>IF($G$40="pons",80%+27*0.5%,IF(80.5%+27*0.5%&lt;=100%,80.5%+27*0.5%,""))</f>
        <v>0.9400000000000001</v>
      </c>
      <c r="D100" s="57" t="n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  <v>55670103.09278351</v>
      </c>
      <c r="E100" s="57" t="n">
        <f>IF(D100="","",IF(ABS(C100-$G$43)&lt;0.000001,$G$49,$G$50/D100))</f>
        <v>7041.481481481481</v>
      </c>
      <c r="F100" s="60" t="n">
        <f>IF(AND(ISNUMBER(D100),D100&gt;0,ISNUMBER(E100)),E100/D100,"")</f>
        <v>0.0001264858710562414</v>
      </c>
      <c r="G100" s="60" t="n">
        <f>IF(AND(ISNUMBER(F100),ISNUMBER($D$55)),F100*$D$55,"")</f>
        <v>0.0008142780920987653</v>
      </c>
      <c r="H100" s="57" t="n">
        <f>IF(ISNUMBER(F100),F100*$D$45,"")</f>
        <v>126485.87105624139</v>
      </c>
      <c r="I100" s="57" t="n">
        <f>IF(AND(ISNUMBER(H100),ISNUMBER($D$55)),H100*$D$55,"")</f>
        <v>814278.0920987653</v>
      </c>
      <c r="J100" s="57" t="n">
        <f>IF(D100="","",E100-E99)</f>
        <v>596.7357187696152</v>
      </c>
      <c r="K100" s="57" t="n">
        <f>IF(D100="","",IF(OR(OR($G$40="flap",$G$40="four-stock"),$G$40="pons"),L100-L99,J100*(1+$G$42)))</f>
        <v>598.2312970121457</v>
      </c>
      <c r="L100" s="66" t="n">
        <f>IF(D100="","",$J$41+IF($G$40="pons",$G$50/($G$48-MAX(0,(C100-$G$43)*$D$45)/(1-$G$42-$J$48))-$G$49,IF($G$40="four-stock",(E100-$G$49)/(1-$G$42),(E100-$G$49)*(1+$G$42))))</f>
        <v>7174.217024041584</v>
      </c>
    </row>
    <row r="101" ht="20" customHeight="1">
      <c r="C101" s="54" t="n">
        <f>IF($G$40="pons",80%+28*0.5%,IF(80.5%+28*0.5%&lt;=100%,80.5%+28*0.5%,""))</f>
        <v>0.9450000000000001</v>
      </c>
      <c r="D101" s="57" t="n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  <v>50515463.91752574</v>
      </c>
      <c r="E101" s="57" t="n">
        <f>IF(D101="","",IF(ABS(C101-$G$43)&lt;0.000001,$G$49,$G$50/D101))</f>
        <v>7760.0000000000055</v>
      </c>
      <c r="F101" s="60" t="n">
        <f>IF(AND(ISNUMBER(D101),D101&gt;0,ISNUMBER(E101)),E101/D101,"")</f>
        <v>0.00015361632653061245</v>
      </c>
      <c r="G101" s="60" t="n">
        <f>IF(AND(ISNUMBER(F101),ISNUMBER($D$55)),F101*$D$55,"")</f>
        <v>0.0009889358253061238</v>
      </c>
      <c r="H101" s="57" t="n">
        <f>IF(ISNUMBER(F101),F101*$D$45,"")</f>
        <v>153616.32653061245</v>
      </c>
      <c r="I101" s="57" t="n">
        <f>IF(AND(ISNUMBER(H101),ISNUMBER($D$55)),H101*$D$55,"")</f>
        <v>988935.8253061238</v>
      </c>
      <c r="J101" s="57" t="n">
        <f>IF(D101="","",E101-E100)</f>
        <v>718.5185185185246</v>
      </c>
      <c r="K101" s="57" t="n">
        <f>IF(D101="","",IF(OR(OR($G$40="flap",$G$40="four-stock"),$G$40="pons"),L101-L100,J101*(1+$G$42)))</f>
        <v>720.3193168105508</v>
      </c>
      <c r="L101" s="66" t="n">
        <f>IF(D101="","",$J$41+IF($G$40="pons",$G$50/($G$48-MAX(0,(C101-$G$43)*$D$45)/(1-$G$42-$J$48))-$G$49,IF($G$40="four-stock",(E101-$G$49)/(1-$G$42),(E101-$G$49)*(1+$G$42))))</f>
        <v>7894.536340852135</v>
      </c>
    </row>
    <row r="102" ht="20" customHeight="1">
      <c r="C102" s="54" t="n">
        <f>IF($G$40="pons",80%+29*0.5%,IF(80.5%+29*0.5%&lt;=100%,80.5%+29*0.5%,""))</f>
        <v>0.9500000000000001</v>
      </c>
      <c r="D102" s="57" t="n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  <v>45360824.742267996</v>
      </c>
      <c r="E102" s="57" t="n">
        <f>IF(D102="","",IF(ABS(C102-$G$43)&lt;0.000001,$G$49,$G$50/D102))</f>
        <v>8641.818181818191</v>
      </c>
      <c r="F102" s="60" t="n">
        <f>IF(AND(ISNUMBER(D102),D102&gt;0,ISNUMBER(E102)),E102/D102,"")</f>
        <v>0.00019051280991735578</v>
      </c>
      <c r="G102" s="60" t="n">
        <f>IF(AND(ISNUMBER(F102),ISNUMBER($D$55)),F102*$D$55,"")</f>
        <v>0.0012264643164049613</v>
      </c>
      <c r="H102" s="57" t="n">
        <f>IF(ISNUMBER(F102),F102*$D$45,"")</f>
        <v>190512.80991735577</v>
      </c>
      <c r="I102" s="57" t="n">
        <f>IF(AND(ISNUMBER(H102),ISNUMBER($D$55)),H102*$D$55,"")</f>
        <v>1226464.3164049613</v>
      </c>
      <c r="J102" s="57" t="n">
        <f>IF(D102="","",E102-E101)</f>
        <v>881.8181818181856</v>
      </c>
      <c r="K102" s="57" t="n">
        <f>IF(D102="","",IF(OR(OR($G$40="flap",$G$40="four-stock"),$G$40="pons"),L102-L101,J102*(1+$G$42)))</f>
        <v>884.0282524493086</v>
      </c>
      <c r="L102" s="66" t="n">
        <f>IF(D102="","",$J$41+IF($G$40="pons",$G$50/($G$48-MAX(0,(C102-$G$43)*$D$45)/(1-$G$42-$J$48))-$G$49,IF($G$40="four-stock",(E102-$G$49)/(1-$G$42),(E102-$G$49)*(1+$G$42))))</f>
        <v>8778.564593301444</v>
      </c>
    </row>
    <row r="103" ht="20" customHeight="1">
      <c r="C103" s="54" t="n">
        <f>IF($G$40="pons",80%+30*0.5%,IF(80.5%+30*0.5%&lt;=100%,80.5%+30*0.5%,""))</f>
        <v>0.9550000000000001</v>
      </c>
      <c r="D103" s="57" t="n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  <v>40206185.56701028</v>
      </c>
      <c r="E103" s="57" t="n">
        <f>IF(D103="","",IF(ABS(C103-$G$43)&lt;0.000001,$G$49,$G$50/D103))</f>
        <v>9749.743589743595</v>
      </c>
      <c r="F103" s="60" t="n">
        <f>IF(AND(ISNUMBER(D103),D103&gt;0,ISNUMBER(E103)),E103/D103,"")</f>
        <v>0.00024249362261669983</v>
      </c>
      <c r="G103" s="60" t="n">
        <f>IF(AND(ISNUMBER(F103),ISNUMBER($D$55)),F103*$D$55,"")</f>
        <v>0.0015611011943195286</v>
      </c>
      <c r="H103" s="57" t="n">
        <f>IF(ISNUMBER(F103),F103*$D$45,"")</f>
        <v>242493.62261669984</v>
      </c>
      <c r="I103" s="57" t="n">
        <f>IF(AND(ISNUMBER(H103),ISNUMBER($D$55)),H103*$D$55,"")</f>
        <v>1561101.1943195288</v>
      </c>
      <c r="J103" s="57" t="n">
        <f>IF(D103="","",E103-E102)</f>
        <v>1107.9254079254042</v>
      </c>
      <c r="K103" s="57" t="n">
        <f>IF(D103="","",IF(OR(OR($G$40="flap",$G$40="four-stock"),$G$40="pons"),L103-L102,J103*(1+$G$42)))</f>
        <v>1110.702163333739</v>
      </c>
      <c r="L103" s="66" t="n">
        <f>IF(D103="","",$J$41+IF($G$40="pons",$G$50/($G$48-MAX(0,(C103-$G$43)*$D$45)/(1-$G$42-$J$48))-$G$49,IF($G$40="four-stock",(E103-$G$49)/(1-$G$42),(E103-$G$49)*(1+$G$42))))</f>
        <v>9889.266756635183</v>
      </c>
    </row>
    <row r="104" ht="20" customHeight="1">
      <c r="C104" s="54" t="n">
        <f>IF($G$40="pons",80%+31*0.5%,IF(80.5%+31*0.5%&lt;=100%,80.5%+31*0.5%,""))</f>
        <v>0.9600000000000001</v>
      </c>
      <c r="D104" s="57" t="n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  <v>35051546.39175254</v>
      </c>
      <c r="E104" s="57" t="n">
        <f>IF(D104="","",IF(ABS(C104-$G$43)&lt;0.000001,$G$49,$G$50/D104))</f>
        <v>11183.529411764717</v>
      </c>
      <c r="F104" s="60" t="n">
        <f>IF(AND(ISNUMBER(D104),D104&gt;0,ISNUMBER(E104)),E104/D104,"")</f>
        <v>0.0003190595155709349</v>
      </c>
      <c r="G104" s="60" t="n">
        <f>IF(AND(ISNUMBER(F104),ISNUMBER($D$55)),F104*$D$55,"")</f>
        <v>0.002054009443391008</v>
      </c>
      <c r="H104" s="57" t="n">
        <f>IF(ISNUMBER(F104),F104*$D$45,"")</f>
        <v>319059.5155709349</v>
      </c>
      <c r="I104" s="57" t="n">
        <f>IF(AND(ISNUMBER(H104),ISNUMBER($D$55)),H104*$D$55,"")</f>
        <v>2054009.4433910078</v>
      </c>
      <c r="J104" s="57" t="n">
        <f>IF(D104="","",E104-E103)</f>
        <v>1433.785822021122</v>
      </c>
      <c r="K104" s="57" t="n">
        <f>IF(D104="","",IF(OR(OR($G$40="flap",$G$40="four-stock"),$G$40="pons"),L104-L103,J104*(1+$G$42)))</f>
        <v>1437.379270196614</v>
      </c>
      <c r="L104" s="66" t="n">
        <f>IF(D104="","",$J$41+IF($G$40="pons",$G$50/($G$48-MAX(0,(C104-$G$43)*$D$45)/(1-$G$42-$J$48))-$G$49,IF($G$40="four-stock",(E104-$G$49)/(1-$G$42),(E104-$G$49)*(1+$G$42))))</f>
        <v>11326.646026831797</v>
      </c>
    </row>
    <row r="105" ht="20" customHeight="1">
      <c r="C105" s="54" t="n">
        <f>IF($G$40="pons",80%+32*0.5%,IF(80.5%+32*0.5%&lt;=100%,80.5%+32*0.5%,""))</f>
        <v>0.9650000000000001</v>
      </c>
      <c r="D105" s="57" t="n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  <v>29896907.2164948</v>
      </c>
      <c r="E105" s="57" t="n">
        <f>IF(D105="","",IF(ABS(C105-$G$43)&lt;0.000001,$G$49,$G$50/D105))</f>
        <v>13111.724137931054</v>
      </c>
      <c r="F105" s="60" t="n">
        <f>IF(AND(ISNUMBER(D105),D105&gt;0,ISNUMBER(E105)),E105/D105,"")</f>
        <v>0.000438564565992867</v>
      </c>
      <c r="G105" s="60" t="n">
        <f>IF(AND(ISNUMBER(F105),ISNUMBER($D$55)),F105*$D$55,"")</f>
        <v>0.00282334710649228</v>
      </c>
      <c r="H105" s="57" t="n">
        <f>IF(ISNUMBER(F105),F105*$D$45,"")</f>
        <v>438564.565992867</v>
      </c>
      <c r="I105" s="57" t="n">
        <f>IF(AND(ISNUMBER(H105),ISNUMBER($D$55)),H105*$D$55,"")</f>
        <v>2823347.10649228</v>
      </c>
      <c r="J105" s="57" t="n">
        <f>IF(D105="","",E105-E104)</f>
        <v>1928.1947261663372</v>
      </c>
      <c r="K105" s="57" t="n">
        <f>IF(D105="","",IF(OR(OR($G$40="flap",$G$40="four-stock"),$G$40="pons"),L105-L104,J105*(1+$G$42)))</f>
        <v>1933.0272944023418</v>
      </c>
      <c r="L105" s="66" t="n">
        <f>IF(D105="","",$J$41+IF($G$40="pons",$G$50/($G$48-MAX(0,(C105-$G$43)*$D$45)/(1-$G$42-$J$48))-$G$49,IF($G$40="four-stock",(E105-$G$49)/(1-$G$42),(E105-$G$49)*(1+$G$42))))</f>
        <v>13259.673321234139</v>
      </c>
    </row>
    <row r="106" ht="20" customHeight="1">
      <c r="C106" s="54" t="n">
        <f>IF($G$40="pons",80%+33*0.5%,IF(80.5%+33*0.5%&lt;=100%,80.5%+33*0.5%,""))</f>
        <v>0.9700000000000001</v>
      </c>
      <c r="D106" s="57" t="n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  <v>24742268.041237086</v>
      </c>
      <c r="E106" s="57" t="n">
        <f>IF(D106="","",IF(ABS(C106-$G$43)&lt;0.000001,$G$49,$G$50/D106))</f>
        <v>15843.33333333335</v>
      </c>
      <c r="F106" s="60" t="n">
        <f>IF(AND(ISNUMBER(D106),D106&gt;0,ISNUMBER(E106)),E106/D106,"")</f>
        <v>0.0006403347222222236</v>
      </c>
      <c r="G106" s="60" t="n">
        <f>IF(AND(ISNUMBER(F106),ISNUMBER($D$55)),F106*$D$55,"")</f>
        <v>0.0041222828412500094</v>
      </c>
      <c r="H106" s="57" t="n">
        <f>IF(ISNUMBER(F106),F106*$D$45,"")</f>
        <v>640334.7222222236</v>
      </c>
      <c r="I106" s="57" t="n">
        <f>IF(AND(ISNUMBER(H106),ISNUMBER($D$55)),H106*$D$55,"")</f>
        <v>4122282.8412500094</v>
      </c>
      <c r="J106" s="57" t="n">
        <f>IF(D106="","",E106-E105)</f>
        <v>2731.609195402296</v>
      </c>
      <c r="K106" s="57" t="n">
        <f>IF(D106="","",IF(OR(OR($G$40="flap",$G$40="four-stock"),$G$40="pons"),L106-L105,J106*(1+$G$42)))</f>
        <v>2738.455333736638</v>
      </c>
      <c r="L106" s="66" t="n">
        <f>IF(D106="","",$J$41+IF($G$40="pons",$G$50/($G$48-MAX(0,(C106-$G$43)*$D$45)/(1-$G$42-$J$48))-$G$49,IF($G$40="four-stock",(E106-$G$49)/(1-$G$42),(E106-$G$49)*(1+$G$42))))</f>
        <v>15998.128654970777</v>
      </c>
    </row>
    <row r="107" ht="20" customHeight="1">
      <c r="C107" s="54" t="n">
        <f>IF($G$40="pons",80%+34*0.5%,IF(80.5%+34*0.5%&lt;=100%,80.5%+34*0.5%,""))</f>
        <v>0.9750000000000001</v>
      </c>
      <c r="D107" s="57" t="n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  <v>19587628.865979344</v>
      </c>
      <c r="E107" s="57" t="n">
        <f>IF(D107="","",IF(ABS(C107-$G$43)&lt;0.000001,$G$49,$G$50/D107))</f>
        <v>20012.631578947407</v>
      </c>
      <c r="F107" s="60" t="n">
        <f>IF(AND(ISNUMBER(D107),D107&gt;0,ISNUMBER(E107)),E107/D107,"")</f>
        <v>0.0010216975069252117</v>
      </c>
      <c r="G107" s="60" t="n">
        <f>IF(AND(ISNUMBER(F107),ISNUMBER($D$55)),F107*$D$55,"")</f>
        <v>0.006577382040332436</v>
      </c>
      <c r="H107" s="57" t="n">
        <f>IF(ISNUMBER(F107),F107*$D$45,"")</f>
        <v>1021697.5069252116</v>
      </c>
      <c r="I107" s="57" t="n">
        <f>IF(AND(ISNUMBER(H107),ISNUMBER($D$55)),H107*$D$55,"")</f>
        <v>6577382.040332436</v>
      </c>
      <c r="J107" s="57" t="n">
        <f>IF(D107="","",E107-E106)</f>
        <v>4169.298245614056</v>
      </c>
      <c r="K107" s="57" t="n">
        <f>IF(D107="","",IF(OR(OR($G$40="flap",$G$40="four-stock"),$G$40="pons"),L107-L106,J107*(1+$G$42)))</f>
        <v>4179.7476146506815</v>
      </c>
      <c r="L107" s="66" t="n">
        <f>IF(D107="","",$J$41+IF($G$40="pons",$G$50/($G$48-MAX(0,(C107-$G$43)*$D$45)/(1-$G$42-$J$48))-$G$49,IF($G$40="four-stock",(E107-$G$49)/(1-$G$42),(E107-$G$49)*(1+$G$42))))</f>
        <v>20177.876269621458</v>
      </c>
    </row>
    <row r="108" ht="20" customHeight="1">
      <c r="C108" s="54" t="n">
        <f>IF($G$40="pons",80%+35*0.5%,IF(80.5%+35*0.5%&lt;=100%,80.5%+35*0.5%,""))</f>
        <v>0.9800000000000001</v>
      </c>
      <c r="D108" s="57" t="n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  <v>14432989.690721571</v>
      </c>
      <c r="E108" s="57" t="n">
        <f>IF(D108="","",IF(ABS(C108-$G$43)&lt;0.000001,$G$49,$G$50/D108))</f>
        <v>27160.000000000146</v>
      </c>
      <c r="F108" s="60" t="n">
        <f>IF(AND(ISNUMBER(D108),D108&gt;0,ISNUMBER(E108)),E108/D108,"")</f>
        <v>0.0018818000000000203</v>
      </c>
      <c r="G108" s="60" t="n">
        <f>IF(AND(ISNUMBER(F108),ISNUMBER($D$55)),F108*$D$55,"")</f>
        <v>0.01211446386000013</v>
      </c>
      <c r="H108" s="57" t="n">
        <f>IF(ISNUMBER(F108),F108*$D$45,"")</f>
        <v>1881800.0000000203</v>
      </c>
      <c r="I108" s="57" t="n">
        <f>IF(AND(ISNUMBER(H108),ISNUMBER($D$55)),H108*$D$55,"")</f>
        <v>12114463.860000132</v>
      </c>
      <c r="J108" s="57" t="n">
        <f>IF(D108="","",E108-E107)</f>
        <v>7147.368421052739</v>
      </c>
      <c r="K108" s="57" t="n">
        <f>IF(D108="","",IF(OR(OR($G$40="flap",$G$40="four-stock"),$G$40="pons"),L108-L107,J108*(1+$G$42)))</f>
        <v>7165.281625115527</v>
      </c>
      <c r="L108" s="66" t="n">
        <f>IF(D108="","",$J$41+IF($G$40="pons",$G$50/($G$48-MAX(0,(C108-$G$43)*$D$45)/(1-$G$42-$J$48))-$G$49,IF($G$40="four-stock",(E108-$G$49)/(1-$G$42),(E108-$G$49)*(1+$G$42))))</f>
        <v>27343.157894736985</v>
      </c>
    </row>
    <row r="109" ht="20" customHeight="1">
      <c r="C109" s="54" t="n">
        <f>IF($G$40="pons",80%+36*0.5%,IF(80.5%+36*0.5%&lt;=100%,80.5%+36*0.5%,""))</f>
        <v>0.9850000000000001</v>
      </c>
      <c r="D109" s="57" t="n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  <v>9278350.515463859</v>
      </c>
      <c r="E109" s="57" t="n">
        <f>IF(D109="","",IF(ABS(C109-$G$43)&lt;0.000001,$G$49,$G$50/D109))</f>
        <v>42248.88888888916</v>
      </c>
      <c r="F109" s="60" t="n">
        <f>IF(AND(ISNUMBER(D109),D109&gt;0,ISNUMBER(E109)),E109/D109,"")</f>
        <v>0.004553491358024749</v>
      </c>
      <c r="G109" s="60" t="n">
        <f>IF(AND(ISNUMBER(F109),ISNUMBER($D$55)),F109*$D$55,"")</f>
        <v>0.02931401131555593</v>
      </c>
      <c r="H109" s="57" t="n">
        <f>IF(ISNUMBER(F109),F109*$D$45,"")</f>
        <v>4553491.358024749</v>
      </c>
      <c r="I109" s="57" t="n">
        <f>IF(AND(ISNUMBER(H109),ISNUMBER($D$55)),H109*$D$55,"")</f>
        <v>29314011.31555593</v>
      </c>
      <c r="J109" s="57" t="n">
        <f>IF(D109="","",E109-E108)</f>
        <v>15088.888888889014</v>
      </c>
      <c r="K109" s="57" t="n">
        <f>IF(D109="","",IF(OR(OR($G$40="flap",$G$40="four-stock"),$G$40="pons"),L109-L108,J109*(1+$G$42)))</f>
        <v>15126.70565302157</v>
      </c>
      <c r="L109" s="66" t="n">
        <f>IF(D109="","",$J$41+IF($G$40="pons",$G$50/($G$48-MAX(0,(C109-$G$43)*$D$45)/(1-$G$42-$J$48))-$G$49,IF($G$40="four-stock",(E109-$G$49)/(1-$G$42),(E109-$G$49)*(1+$G$42))))</f>
        <v>42469.863547758556</v>
      </c>
    </row>
    <row r="110" ht="20" customHeight="1">
      <c r="C110" s="54" t="n">
        <f>IF($G$40="pons",80%+37*0.5%,IF(80.5%+37*0.5%&lt;=100%,80.5%+37*0.5%,""))</f>
        <v>0.99</v>
      </c>
      <c r="D110" s="57" t="n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  <v>4123711.3402062356</v>
      </c>
      <c r="E110" s="57" t="n">
        <f>IF(D110="","",IF(ABS(C110-$G$43)&lt;0.000001,$G$49,$G$50/D110))</f>
        <v>95059.99999999885</v>
      </c>
      <c r="F110" s="60" t="n">
        <f>IF(AND(ISNUMBER(D110),D110&gt;0,ISNUMBER(E110)),E110/D110,"")</f>
        <v>0.023052049999999442</v>
      </c>
      <c r="G110" s="60" t="n">
        <f>IF(AND(ISNUMBER(F110),ISNUMBER($D$55)),F110*$D$55,"")</f>
        <v>0.1484021822849964</v>
      </c>
      <c r="H110" s="57" t="n">
        <f>IF(ISNUMBER(F110),F110*$D$45,"")</f>
        <v>23052049.99999944</v>
      </c>
      <c r="I110" s="57" t="n">
        <f>IF(AND(ISNUMBER(H110),ISNUMBER($D$55)),H110*$D$55,"")</f>
        <v>148402182.28499642</v>
      </c>
      <c r="J110" s="57" t="n">
        <f>IF(D110="","",E110-E109)</f>
        <v>52811.11111110969</v>
      </c>
      <c r="K110" s="57" t="n">
        <f>IF(D110="","",IF(OR(OR($G$40="flap",$G$40="four-stock"),$G$40="pons"),L110-L109,J110*(1+$G$42)))</f>
        <v>52943.46978557362</v>
      </c>
      <c r="L110" s="66" t="n">
        <f>IF(D110="","",$J$41+IF($G$40="pons",$G$50/($G$48-MAX(0,(C110-$G$43)*$D$45)/(1-$G$42-$J$48))-$G$49,IF($G$40="four-stock",(E110-$G$49)/(1-$G$42),(E110-$G$49)*(1+$G$42))))</f>
        <v>95413.33333333218</v>
      </c>
    </row>
    <row r="111" ht="20" customHeight="1">
      <c r="C111" s="54" t="n">
        <f>IF($G$40="pons",80%+38*0.5%,IF(80.5%+38*0.5%&lt;=100%,80.5%+38*0.5%,""))</f>
        <v>0.9950000000000001</v>
      </c>
      <c r="D111" s="57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57" t="str">
        <f>IF(D111="","",IF(ABS(C111-$G$43)&lt;0.000001,$G$49,$G$50/D111))</f>
      </c>
      <c r="F111" s="60" t="str">
        <f>IF(AND(ISNUMBER(D111),D111&gt;0,ISNUMBER(E111)),E111/D111,"")</f>
      </c>
      <c r="G111" s="60" t="str">
        <f>IF(AND(ISNUMBER(F111),ISNUMBER($D$55)),F111*$D$55,"")</f>
      </c>
      <c r="H111" s="57" t="str">
        <f>IF(ISNUMBER(F111),F111*$D$45,"")</f>
      </c>
      <c r="I111" s="57" t="str">
        <f>IF(AND(ISNUMBER(H111),ISNUMBER($D$55)),H111*$D$55,"")</f>
      </c>
      <c r="J111" s="57" t="str">
        <f>IF(D111="","",E111-E110)</f>
      </c>
      <c r="K111" s="57" t="str">
        <f>IF(D111="","",IF(OR(OR($G$40="flap",$G$40="four-stock"),$G$40="pons"),L111-L110,J111*(1+$G$42)))</f>
      </c>
      <c r="L111" s="66" t="str">
        <f>IF(D111="","",$J$41+IF($G$40="pons",$G$50/($G$48-MAX(0,(C111-$G$43)*$D$45)/(1-$G$42-$J$48))-$G$49,IF($G$40="four-stock",(E111-$G$49)/(1-$G$42),(E111-$G$49)*(1+$G$42))))</f>
      </c>
    </row>
    <row r="112" ht="20" customHeight="1">
      <c r="C112" s="54" t="n">
        <f>IF($G$40="pons",80%+39*0.5%,IF(80.5%+39*0.5%&lt;=100%,80.5%+39*0.5%,""))</f>
        <v>1</v>
      </c>
      <c r="D112" s="57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57" t="str">
        <f>IF(D112="","",IF(ABS(C112-$G$43)&lt;0.000001,$G$49,$G$50/D112))</f>
      </c>
      <c r="F112" s="60" t="str">
        <f>IF(AND(ISNUMBER(D112),D112&gt;0,ISNUMBER(E112)),E112/D112,"")</f>
      </c>
      <c r="G112" s="60" t="str">
        <f>IF(AND(ISNUMBER(F112),ISNUMBER($D$55)),F112*$D$55,"")</f>
      </c>
      <c r="H112" s="57" t="str">
        <f>IF(ISNUMBER(F112),F112*$D$45,"")</f>
      </c>
      <c r="I112" s="57" t="str">
        <f>IF(AND(ISNUMBER(H112),ISNUMBER($D$55)),H112*$D$55,"")</f>
      </c>
      <c r="J112" s="57" t="str">
        <f>IF(D112="","",E112-E111)</f>
      </c>
      <c r="K112" s="57" t="str">
        <f>IF(D112="","",IF(OR(OR($G$40="flap",$G$40="four-stock"),$G$40="pons"),L112-L111,J112*(1+$G$42)))</f>
      </c>
      <c r="L112" s="66" t="str">
        <f>IF(D112="","",$J$41+IF($G$40="pons",$G$50/($G$48-MAX(0,(C112-$G$43)*$D$45)/(1-$G$42-$J$48))-$G$49,IF($G$40="four-stock",(E112-$G$49)/(1-$G$42),(E112-$G$49)*(1+$G$42))))</f>
      </c>
    </row>
    <row r="113" ht="20" customHeight="1">
      <c r="C113" s="55" t="str">
        <f>IF($G$40="pons",80%+40*0.5%,IF(80.5%+40*0.5%&lt;=100%,80.5%+40*0.5%,""))</f>
      </c>
      <c r="D113" s="58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58" t="str">
        <f>IF(D113="","",IF(ABS(C113-$G$43)&lt;0.000001,$G$49,$G$50/D113))</f>
      </c>
      <c r="F113" s="61" t="str">
        <f>IF(AND(ISNUMBER(D113),D113&gt;0,ISNUMBER(E113)),E113/D113,"")</f>
      </c>
      <c r="G113" s="61" t="str">
        <f>IF(AND(ISNUMBER(F113),ISNUMBER($D$55)),F113*$D$55,"")</f>
      </c>
      <c r="H113" s="58" t="str">
        <f>IF(ISNUMBER(F113),F113*$D$45,"")</f>
      </c>
      <c r="I113" s="58" t="str">
        <f>IF(AND(ISNUMBER(H113),ISNUMBER($D$55)),H113*$D$55,"")</f>
      </c>
      <c r="J113" s="58" t="str">
        <f>IF(D113="","",E113-E112)</f>
      </c>
      <c r="K113" s="58" t="str">
        <f>IF(D113="","",IF(OR(OR($G$40="flap",$G$40="four-stock"),$G$40="pons"),L113-L112,J113*(1+$G$42)))</f>
      </c>
      <c r="L113" s="67" t="str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 t="n">
        <f>IF($G$40="pons",$G$43,80%)</f>
        <v>0.8</v>
      </c>
      <c r="D118" s="56" t="n">
        <f>IF($G$40="four-stock",$G$48+($G$43-C118)*$D$45*(1-$J$47),IF($G$40="pons",$D$45*(1-C118)-$G$51,IF(ABS(C118-$G$43)&lt;0.000001,$G$48,$D$45*(1-C118))))</f>
        <v>200000000</v>
      </c>
      <c r="E118" s="56" t="n">
        <f>IF($G$40="four-stock",$G$49-$G$49*(($G$43-C118)*$D$45*(1-$J$47)*(1-$G$42))/($G$48+(($G$43-C118)*$D$45*(1-$J$47)*(1-$G$42))),IF(ABS(C118-$G$43)&lt;0.000001,$G$49,$G$50/D118))</f>
        <v>1960</v>
      </c>
      <c r="F118" s="59" t="n">
        <f>IF(AND(ISNUMBER(D118),D118&gt;0,ISNUMBER(E118)),E118/D118,"")</f>
        <v>0.0000098</v>
      </c>
      <c r="G118" s="59" t="n">
        <f>IF(AND(ISNUMBER(F118),ISNUMBER($D$55)),F118*$D$55,"")</f>
        <v>0.00006308946</v>
      </c>
      <c r="H118" s="56" t="n">
        <f>IF(ISNUMBER(F118),F118*$D$45,"")</f>
        <v>9800</v>
      </c>
      <c r="I118" s="56" t="n">
        <f>IF(AND(ISNUMBER(H118),ISNUMBER($D$55)),H118*$D$55,"")</f>
        <v>63089.46000000001</v>
      </c>
      <c r="J118" s="53" t="n">
        <f>IF(H$118&gt;0,1-H118/H$118,"")</f>
        <v>0</v>
      </c>
      <c r="K118" s="56" t="str"/>
      <c r="L118" s="56" t="str"/>
    </row>
    <row r="119" ht="20" customHeight="1">
      <c r="C119" s="54" t="n">
        <f>0.7</f>
        <v>0.7</v>
      </c>
      <c r="D119" s="57" t="n">
        <f>IF($G$40="four-stock",$G$48+($G$43-C119)*$D$45*(1-$J$47),IF($G$40="pons",$D$45*(1-C119)-$G$51,IF(ABS(C119-$G$43)&lt;0.000001,$G$48,$D$45*(1-C119))))</f>
        <v>297000000.0000001</v>
      </c>
      <c r="E119" s="57" t="n">
        <f>IF($G$40="four-stock",$G$49-$G$49*(($G$43-C119)*$D$45*(1-$J$47)*(1-$G$42))/($G$48+(($G$43-C119)*$D$45*(1-$J$47)*(1-$G$42))),IF(ABS(C119-$G$43)&lt;0.000001,$G$49,$G$50/D119))</f>
        <v>1320.9438683099834</v>
      </c>
      <c r="F119" s="60" t="n">
        <f>IF(AND(ISNUMBER(D119),D119&gt;0,ISNUMBER(E119)),E119/D119,"")</f>
        <v>0.000004447622452222164</v>
      </c>
      <c r="G119" s="60" t="n">
        <f>IF(AND(ISNUMBER(F119),ISNUMBER($D$55)),F119*$D$55,"")</f>
        <v>0.000028632459060670627</v>
      </c>
      <c r="H119" s="57" t="n">
        <f>IF(ISNUMBER(F119),F119*$D$45,"")</f>
        <v>4447.622452222164</v>
      </c>
      <c r="I119" s="57" t="n">
        <f>IF(AND(ISNUMBER(H119),ISNUMBER($D$55)),H119*$D$55,"")</f>
        <v>28632.459060670626</v>
      </c>
      <c r="J119" s="54" t="n">
        <f>IF(H$118&gt;0,1-H119/H$118,"")</f>
        <v>0.5461609742630444</v>
      </c>
      <c r="K119" s="57" t="str"/>
      <c r="L119" s="57" t="str"/>
    </row>
    <row r="120" ht="20" customHeight="1">
      <c r="C120" s="54" t="n">
        <f>0.6</f>
        <v>0.6</v>
      </c>
      <c r="D120" s="57" t="n">
        <f>IF($G$40="four-stock",$G$48+($G$43-C120)*$D$45*(1-$J$47),IF($G$40="pons",$D$45*(1-C120)-$G$51,IF(ABS(C120-$G$43)&lt;0.000001,$G$48,$D$45*(1-C120))))</f>
        <v>394000000.00000006</v>
      </c>
      <c r="E120" s="57" t="n">
        <f>IF($G$40="four-stock",$G$49-$G$49*(($G$43-C120)*$D$45*(1-$J$47)*(1-$G$42))/($G$48+(($G$43-C120)*$D$45*(1-$J$47)*(1-$G$42))),IF(ABS(C120-$G$43)&lt;0.000001,$G$49,$G$50/D120))</f>
        <v>996.1500832242733</v>
      </c>
      <c r="F120" s="60" t="n">
        <f>IF(AND(ISNUMBER(D120),D120&gt;0,ISNUMBER(E120)),E120/D120,"")</f>
        <v>0.0000025282997036149064</v>
      </c>
      <c r="G120" s="60" t="n">
        <f>IF(AND(ISNUMBER(F120),ISNUMBER($D$55)),F120*$D$55,"")</f>
        <v>0.000016276435001961686</v>
      </c>
      <c r="H120" s="57" t="n">
        <f>IF(ISNUMBER(F120),F120*$D$45,"")</f>
        <v>2528.2997036149063</v>
      </c>
      <c r="I120" s="57" t="n">
        <f>IF(AND(ISNUMBER(H120),ISNUMBER($D$55)),H120*$D$55,"")</f>
        <v>16276.435001961683</v>
      </c>
      <c r="J120" s="54" t="n">
        <f>IF(H$118&gt;0,1-H120/H$118,"")</f>
        <v>0.7420102343250096</v>
      </c>
      <c r="K120" s="57" t="str"/>
      <c r="L120" s="57" t="str"/>
    </row>
    <row r="121" ht="20" customHeight="1">
      <c r="C121" s="54" t="n">
        <f>0.5</f>
        <v>0.5</v>
      </c>
      <c r="D121" s="57" t="n">
        <f>IF($G$40="four-stock",$G$48+($G$43-C121)*$D$45*(1-$J$47),IF($G$40="pons",$D$45*(1-C121)-$G$51,IF(ABS(C121-$G$43)&lt;0.000001,$G$48,$D$45*(1-C121))))</f>
        <v>491000000.00000006</v>
      </c>
      <c r="E121" s="57" t="n">
        <f>IF($G$40="four-stock",$G$49-$G$49*(($G$43-C121)*$D$45*(1-$J$47)*(1-$G$42))/($G$48+(($G$43-C121)*$D$45*(1-$J$47)*(1-$G$42))),IF(ABS(C121-$G$43)&lt;0.000001,$G$49,$G$50/D121))</f>
        <v>799.5553493210407</v>
      </c>
      <c r="F121" s="60" t="n">
        <f>IF(AND(ISNUMBER(D121),D121&gt;0,ISNUMBER(E121)),E121/D121,"")</f>
        <v>0.0000016284223000428526</v>
      </c>
      <c r="G121" s="60" t="n">
        <f>IF(AND(ISNUMBER(F121),ISNUMBER($D$55)),F121*$D$55,"")</f>
        <v>0.000010483294240985873</v>
      </c>
      <c r="H121" s="57" t="n">
        <f>IF(ISNUMBER(F121),F121*$D$45,"")</f>
        <v>1628.4223000428526</v>
      </c>
      <c r="I121" s="57" t="n">
        <f>IF(AND(ISNUMBER(H121),ISNUMBER($D$55)),H121*$D$55,"")</f>
        <v>10483.294240985873</v>
      </c>
      <c r="J121" s="54" t="n">
        <f>IF(H$118&gt;0,1-H121/H$118,"")</f>
        <v>0.8338344591793008</v>
      </c>
      <c r="K121" s="57" t="str"/>
      <c r="L121" s="57" t="str"/>
    </row>
    <row r="122" ht="20" customHeight="1">
      <c r="C122" s="54" t="n">
        <f>0.4</f>
        <v>0.4</v>
      </c>
      <c r="D122" s="57" t="n">
        <f>IF($G$40="four-stock",$G$48+($G$43-C122)*$D$45*(1-$J$47),IF($G$40="pons",$D$45*(1-C122)-$G$51,IF(ABS(C122-$G$43)&lt;0.000001,$G$48,$D$45*(1-C122))))</f>
        <v>588000000</v>
      </c>
      <c r="E122" s="57" t="n">
        <f>IF($G$40="four-stock",$G$49-$G$49*(($G$43-C122)*$D$45*(1-$J$47)*(1-$G$42))/($G$48+(($G$43-C122)*$D$45*(1-$J$47)*(1-$G$42))),IF(ABS(C122-$G$43)&lt;0.000001,$G$49,$G$50/D122))</f>
        <v>667.7682571589187</v>
      </c>
      <c r="F122" s="60" t="n">
        <f>IF(AND(ISNUMBER(D122),D122&gt;0,ISNUMBER(E122)),E122/D122,"")</f>
        <v>0.000001135660301290678</v>
      </c>
      <c r="G122" s="60" t="n">
        <f>IF(AND(ISNUMBER(F122),ISNUMBER($D$55)),F122*$D$55,"")</f>
        <v>0.000007311040321618999</v>
      </c>
      <c r="H122" s="57" t="n">
        <f>IF(ISNUMBER(F122),F122*$D$45,"")</f>
        <v>1135.660301290678</v>
      </c>
      <c r="I122" s="57" t="n">
        <f>IF(AND(ISNUMBER(H122),ISNUMBER($D$55)),H122*$D$55,"")</f>
        <v>7311.040321618999</v>
      </c>
      <c r="J122" s="54" t="n">
        <f>IF(H$118&gt;0,1-H122/H$118,"")</f>
        <v>0.8841162957866655</v>
      </c>
      <c r="K122" s="57" t="str"/>
      <c r="L122" s="57" t="str"/>
    </row>
    <row r="123" ht="20" customHeight="1">
      <c r="C123" s="54" t="n">
        <f>0.3</f>
        <v>0.3</v>
      </c>
      <c r="D123" s="57" t="n">
        <f>IF($G$40="four-stock",$G$48+($G$43-C123)*$D$45*(1-$J$47),IF($G$40="pons",$D$45*(1-C123)-$G$51,IF(ABS(C123-$G$43)&lt;0.000001,$G$48,$D$45*(1-C123))))</f>
        <v>685000000</v>
      </c>
      <c r="E123" s="57" t="n">
        <f>IF($G$40="four-stock",$G$49-$G$49*(($G$43-C123)*$D$45*(1-$J$47)*(1-$G$42))/($G$48+(($G$43-C123)*$D$45*(1-$J$47)*(1-$G$42))),IF(ABS(C123-$G$43)&lt;0.000001,$G$49,$G$50/D123))</f>
        <v>573.2775167723892</v>
      </c>
      <c r="F123" s="60" t="n">
        <f>IF(AND(ISNUMBER(D123),D123&gt;0,ISNUMBER(E123)),E123/D123,"")</f>
        <v>8.369014843392542e-7</v>
      </c>
      <c r="G123" s="60" t="n">
        <f>IF(AND(ISNUMBER(F123),ISNUMBER($D$55)),F123*$D$55,"")</f>
        <v>0.000005387720685730817</v>
      </c>
      <c r="H123" s="57" t="n">
        <f>IF(ISNUMBER(F123),F123*$D$45,"")</f>
        <v>836.9014843392542</v>
      </c>
      <c r="I123" s="57" t="n">
        <f>IF(AND(ISNUMBER(H123),ISNUMBER($D$55)),H123*$D$55,"")</f>
        <v>5387.720685730817</v>
      </c>
      <c r="J123" s="54" t="n">
        <f>IF(H$118&gt;0,1-H123/H$118,"")</f>
        <v>0.9146018893531374</v>
      </c>
      <c r="K123" s="57" t="str"/>
      <c r="L123" s="57" t="str"/>
    </row>
    <row r="124" ht="20" customHeight="1">
      <c r="C124" s="54" t="n">
        <f>0.2</f>
        <v>0.2</v>
      </c>
      <c r="D124" s="57" t="n">
        <f>IF($G$40="four-stock",$G$48+($G$43-C124)*$D$45*(1-$J$47),IF($G$40="pons",$D$45*(1-C124)-$G$51,IF(ABS(C124-$G$43)&lt;0.000001,$G$48,$D$45*(1-C124))))</f>
        <v>782000000.0000001</v>
      </c>
      <c r="E124" s="57" t="n">
        <f>IF($G$40="four-stock",$G$49-$G$49*(($G$43-C124)*$D$45*(1-$J$47)*(1-$G$42))/($G$48+(($G$43-C124)*$D$45*(1-$J$47)*(1-$G$42))),IF(ABS(C124-$G$43)&lt;0.000001,$G$49,$G$50/D124))</f>
        <v>502.21319718914333</v>
      </c>
      <c r="F124" s="60" t="n">
        <f>IF(AND(ISNUMBER(D124),D124&gt;0,ISNUMBER(E124)),E124/D124,"")</f>
        <v>6.422163646919991e-7</v>
      </c>
      <c r="G124" s="60" t="n">
        <f>IF(AND(ISNUMBER(F124),ISNUMBER($D$55)),F124*$D$55,"")</f>
        <v>0.000004134396290977682</v>
      </c>
      <c r="H124" s="57" t="n">
        <f>IF(ISNUMBER(F124),F124*$D$45,"")</f>
        <v>642.216364691999</v>
      </c>
      <c r="I124" s="57" t="n">
        <f>IF(AND(ISNUMBER(H124),ISNUMBER($D$55)),H124*$D$55,"")</f>
        <v>4134.396290977683</v>
      </c>
      <c r="J124" s="54" t="n">
        <f>IF(H$118&gt;0,1-H124/H$118,"")</f>
        <v>0.9344677178885715</v>
      </c>
      <c r="K124" s="57" t="str"/>
      <c r="L124" s="57" t="str"/>
    </row>
    <row r="125" ht="20" customHeight="1">
      <c r="C125" s="54" t="n">
        <f>0.1</f>
        <v>0.1</v>
      </c>
      <c r="D125" s="57" t="n">
        <f>IF($G$40="four-stock",$G$48+($G$43-C125)*$D$45*(1-$J$47),IF($G$40="pons",$D$45*(1-C125)-$G$51,IF(ABS(C125-$G$43)&lt;0.000001,$G$48,$D$45*(1-C125))))</f>
        <v>879000000.0000001</v>
      </c>
      <c r="E125" s="57" t="n">
        <f>IF($G$40="four-stock",$G$49-$G$49*(($G$43-C125)*$D$45*(1-$J$47)*(1-$G$42))/($G$48+(($G$43-C125)*$D$45*(1-$J$47)*(1-$G$42))),IF(ABS(C125-$G$43)&lt;0.000001,$G$49,$G$50/D125))</f>
        <v>446.82421399688246</v>
      </c>
      <c r="F125" s="60" t="n">
        <f>IF(AND(ISNUMBER(D125),D125&gt;0,ISNUMBER(E125)),E125/D125,"")</f>
        <v>5.083324391318343e-7</v>
      </c>
      <c r="G125" s="60" t="n">
        <f>IF(AND(ISNUMBER(F125),ISNUMBER($D$55)),F125*$D$55,"")</f>
        <v>0.00000327249174339901</v>
      </c>
      <c r="H125" s="57" t="n">
        <f>IF(ISNUMBER(F125),F125*$D$45,"")</f>
        <v>508.33243913183435</v>
      </c>
      <c r="I125" s="57" t="n">
        <f>IF(AND(ISNUMBER(H125),ISNUMBER($D$55)),H125*$D$55,"")</f>
        <v>3272.4917433990104</v>
      </c>
      <c r="J125" s="54" t="n">
        <f>IF(H$118&gt;0,1-H125/H$118,"")</f>
        <v>0.9481293429457311</v>
      </c>
      <c r="K125" s="57" t="str"/>
      <c r="L125" s="57" t="str"/>
    </row>
    <row r="126" ht="20" customHeight="1">
      <c r="C126" s="55" t="n">
        <f>0</f>
        <v>0</v>
      </c>
      <c r="D126" s="58" t="n">
        <f>IF($G$40="four-stock",$G$48+($G$43-C126)*$D$45*(1-$J$47),IF($G$40="pons",$D$45*(1-C126)-$G$51,IF(ABS(C126-$G$43)&lt;0.000001,$G$48,$D$45*(1-C126))))</f>
        <v>976000000</v>
      </c>
      <c r="E126" s="58" t="n">
        <f>IF($G$40="four-stock",$G$49-$G$49*(($G$43-C126)*$D$45*(1-$J$47)*(1-$G$42))/($G$48+(($G$43-C126)*$D$45*(1-$J$47)*(1-$G$42))),IF(ABS(C126-$G$43)&lt;0.000001,$G$49,$G$50/D126))</f>
        <v>402.43927478800083</v>
      </c>
      <c r="F126" s="61" t="n">
        <f>IF(AND(ISNUMBER(D126),D126&gt;0,ISNUMBER(E126)),E126/D126,"")</f>
        <v>4.123353225286894e-7</v>
      </c>
      <c r="G126" s="61" t="n">
        <f>IF(AND(ISNUMBER(F126),ISNUMBER($D$55)),F126*$D$55,"")</f>
        <v>0.000002654491105842944</v>
      </c>
      <c r="H126" s="58" t="n">
        <f>IF(ISNUMBER(F126),F126*$D$45,"")</f>
        <v>412.3353225286894</v>
      </c>
      <c r="I126" s="58" t="n">
        <f>IF(AND(ISNUMBER(H126),ISNUMBER($D$55)),H126*$D$55,"")</f>
        <v>2654.491105842944</v>
      </c>
      <c r="J126" s="55" t="n">
        <f>IF(H$118&gt;0,1-H126/H$118,"")</f>
        <v>0.9579249670889093</v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 t="n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 t="n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str">
        <x:v>https://api.coingecko.com/api/v3/simple/price?ids=tether&amp;vs_currencies=usd</x:v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损耗按目标加缓冲的 FDV × 双边费率。外盘手续费仅在扣 Base/TOKEN 时降低控筹率；只扣 Quote 时补回为 0。补回按 Base/TOKEN 缺口及现有外盘曲线差额估算，非逐笔模拟。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5" t="str">
        <x:v>Four.meme 4Stock / BNC4</x:v>
      </x:c>
      <x:c r="D14" s="18" t="str">
        <x:v>fourmeme-bnc4</x:v>
      </x:c>
      <x:c r="E14" s="18" t="str">
        <x:v>BNC4</x:v>
      </x:c>
      <x:c r="F14" s="18" t="str">
        <x:v>BNB</x:v>
      </x:c>
      <x:c r="G14" s="21" t="str">
        <x:v>0x7c8d5502b544ddaf8852fc46d1174e34876d545c</x:v>
      </x:c>
      <x:c r="H14" s="17" t="n">
        <x:v>6.4377</x:v>
      </x:c>
      <x:c r="I14" s="17" t="n">
        <x:v>752.7981080507881</x:v>
      </x:c>
      <x:c r="J14" s="6" t="n">
        <x:v>46285.27349457176</x:v>
      </x:c>
      <x:c r="K14" s="21" t="str">
        <x:v>https://dexscreener.com/bsc/0xbec6906a984f4695aca0f15bafa7de5eb45b54ab</x:v>
      </x:c>
      <x:c r="L14" s="18" t="str">
        <x:v>four-stock</x:v>
      </x:c>
      <x:c r="M14" s="20" t="n">
        <x:v>1000000000</x:v>
      </x:c>
      <x:c r="N14" s="20" t="n">
        <x:v>1073972601.740811</x:v>
      </x:c>
      <x:c r="O14" s="5" t="n">
        <x:v>684.9315068493152</x:v>
      </x:c>
      <x:c r="P14" s="5" t="n">
        <x:v>735597672425.2131</x:v>
      </x:c>
      <x:c r="Q14" s="19" t="n">
        <x:v>0.8</x:v>
      </x:c>
      <x:c r="R14" s="20" t="n">
        <x:v>200000000</x:v>
      </x:c>
      <x:c r="S14" s="5" t="n">
        <x:v>1960</x:v>
      </x:c>
      <x:c r="T14" s="5" t="n">
        <x:v>392000000000</x:v>
      </x:c>
      <x:c r="U14" s="19" t="n">
        <x:v>0.01</x:v>
      </x:c>
      <x:c r="V14" s="19" t="n">
        <x:v>0.0025</x:v>
      </x:c>
      <x:c r="W14" s="5" t="n">
        <x:v>2080</x:v>
      </x:c>
      <x:c r="X14" s="20" t="n">
        <x:v>0</x:v>
      </x:c>
      <x:c r="Y14" s="5" t="n">
        <x:v>402.43927478800083</x:v>
      </x:c>
      <x:c r="Z14" s="5" t="n">
        <x:v>2000</x:v>
      </x:c>
      <x:c r="AA14" s="19" t="n">
        <x:v>0.03</x:v>
      </x:c>
      <x:c r="AB14" s="19" t="n">
        <x:v>0.03</x:v>
      </x:c>
      <x:c r="AC14" s="19" t="n">
        <x:v>0</x:v>
      </x:c>
      <x:c r="AD14" s="21" t="str">
        <x:v>https://four.meme/zh-TW/contract/1778027615733</x:v>
      </x:c>
      <x:c r="AE14" s="5" t="str">
        <x:v>2026-09-16</x:v>
      </x:c>
      <x:c r="AF14" s="21" t="str">
        <x:v>https://api.coingecko.com/api/v3/simple/price?ids=tether,ethereum,binancecoin,solana,hyperliquid,aster-2&amp;vs_currencies=usd</x:v>
      </x:c>
      <x:c r="AG14" s="21" t="str">
        <x:v>0xbec6906a984f4695aca0f15bafa7de5eb45b54ab</x:v>
      </x:c>
      <x:c r="AH14" s="19" t="n">
        <x:v>0.1</x:v>
      </x:c>
      <x:c r="AI14" s="5" t="n">
        <x:v>0.01</x:v>
      </x:c>
      <x:c r="AJ14" s="18" t="str">
        <x:v>input</x:v>
      </x:c>
      <x:c r="AK14" s="21" t="str">
        <x:v>PancakeSwap LP 费从输入币扣取；外盘买税扣输出 TOKEN，卖税扣输入 TOKEN</x:v>
      </x:c>
      <x:c r="AL14" s="21" t="str">
        <x:v>https://docs.pancakeswap.finance/trade/pancakeswap-exchange/trade</x:v>
      </x:c>
    </x:row>
  </x:sheetData>
  <x:mergeCells>
    <x:mergeCell ref="C3:M3"/>
    <x:mergeCell ref="D11:M11"/>
  </x:mergeCells>
  <x:pageMargins left="0.7" right="0.7" top="0.75" bottom="0.75" header="0.3" footer="0.3"/>
</x:worksheet>
</file>