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a623e3e20047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460505bc6e094336"/>
    <x:sheet xmlns:r="http://schemas.openxmlformats.org/officeDocument/2006/relationships" name="Quote参数" sheetId="2" r:id="Rda67499a124f4f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4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be21857aed483b" /><Relationship Type="http://schemas.openxmlformats.org/officeDocument/2006/relationships/theme" Target="/xl/theme/theme1.xml" Id="R297425490369467c" /><Relationship Type="http://schemas.openxmlformats.org/officeDocument/2006/relationships/sharedStrings" Target="/xl/sharedStrings.xml" Id="R0a41b209eb274051" /><Relationship Type="http://schemas.openxmlformats.org/officeDocument/2006/relationships/worksheet" Target="/xl/worksheets/sheet1.xml" Id="R460505bc6e094336" /><Relationship Type="http://schemas.openxmlformats.org/officeDocument/2006/relationships/worksheet" Target="/xl/worksheets/sheet2.xml" Id="Rda67499a124f4f9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 t="n">
        <f>IF(AND(ISNUMBER($D$55),$D$55&gt;0),ROUNDUP($G$56/$D$55,0),"")</f>
        <v>65</v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 t="n">
        <f>IF(ISNUMBER($D$26),(IF(LEFT($D$51,2)&lt;&gt;"可达","",IF($D$22="","",SUM($D$22,$D$23,$D$24,$D$25))))+$D$26,"")</f>
        <v>560.8436557080356</v>
      </c>
      <c r="E18" s="58" t="str">
        <f>$D$7</f>
        <v>SPCXB</v>
      </c>
      <c r="F18" s="101" t="str">
        <v>原生币 Gas 储备</v>
      </c>
      <c r="G18" s="68" t="n">
        <f>$D$53*MAX(0,$G$11)</f>
        <v>2.2</v>
      </c>
      <c r="H18" s="58" t="str">
        <v>BNB</v>
      </c>
      <c r="I18" s="101" t="str">
        <v>总折算 / USDT</v>
      </c>
      <c r="J18" s="114" t="n">
        <f>IF(AND(ISNUMBER($D$19),ISNUMBER($G$19)),SUM(D19,G19),"")</f>
        <v>88615.67030738079</v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 t="n">
        <f>IF(ISNUMBER($D$18),IF($D$18=0,0,IF($D$55&gt;0,$D$18*$D$55,"")),"")</f>
        <v>86955.74661117076</v>
      </c>
      <c r="E19" s="100" t="str">
        <v>USDT</v>
      </c>
      <c r="F19" s="101" t="str">
        <v>Gas 折算 / USDT</v>
      </c>
      <c r="G19" s="115" t="n">
        <f>IF($G$18=0,0,IF($J$19="","",$G$18*$J$19))</f>
        <v>1659.9236962100315</v>
      </c>
      <c r="H19" s="100" t="str">
        <v>USDT</v>
      </c>
      <c r="I19" s="101" t="str">
        <v>原生币价格 / USDT</v>
      </c>
      <c r="J19" s="116" t="n">
        <f>IF($D$7="BNB",$D$55,IF('Quote参数'!$P$7&gt;0,'Quote参数'!$P$7,""))</f>
        <v>754.5107710045597</v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 t="str">
        <f>"预算 "&amp;TEXT($D$52,"0%")&amp;" 理论资金"</f>
        <v>预算 95% 理论资金</v>
      </c>
      <c r="D22" s="115" t="n">
        <f>IF(LEFT($D$51,2)&lt;&gt;"可达","",IF($J$45="","",$J$41+$J$45))</f>
        <v>358.7053571297718</v>
      </c>
      <c r="E22" s="100" t="str">
        <f>$D$7</f>
        <v>SPCXB</v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 t="n">
        <f>IF(LEFT($D$51,2)&lt;&gt;"可达","",$J$41*MAX(0,$G$7-1))</f>
        <v>90.17857142528192</v>
      </c>
      <c r="E23" s="100" t="str">
        <f>$D$7</f>
        <v>SPCXB</v>
      </c>
      <c r="F23" s="100"/>
      <c r="G23" s="100"/>
      <c r="H23" s="100"/>
      <c r="I23" s="101" t="str">
        <v>基础手续费</v>
      </c>
      <c r="J23" s="117" t="n">
        <f>$G$41</f>
        <v>0.01</v>
      </c>
      <c r="K23" s="100"/>
      <c r="L23" s="100"/>
    </row>
    <row r="24" ht="20" customHeight="1">
      <c r="A24" s="2"/>
      <c r="B24" s="2"/>
      <c r="C24" s="101" t="str">
        <v>洗筹损耗</v>
      </c>
      <c r="D24" s="115" t="n">
        <f>IF(LEFT($D$51,2)&lt;&gt;"可达","",IF($J$46="","",$J$46*$J$47))</f>
        <v>35.71428571298285</v>
      </c>
      <c r="E24" s="100" t="str">
        <f>$D$7</f>
        <v>SPCXB</v>
      </c>
      <c r="F24" s="100"/>
      <c r="G24" s="100"/>
      <c r="H24" s="100"/>
      <c r="I24" s="101" t="str">
        <v>买入含税费率</v>
      </c>
      <c r="J24" s="117" t="n">
        <f>$G$41+$J$7</f>
        <v>0.01</v>
      </c>
      <c r="K24" s="100"/>
      <c r="L24" s="100"/>
    </row>
    <row r="25" ht="20" customHeight="1">
      <c r="A25" s="2"/>
      <c r="B25" s="2"/>
      <c r="C25" s="101" t="str">
        <v>资金预留</v>
      </c>
      <c r="D25" s="115" t="n">
        <f>MAX(0,$G$12)</f>
        <v>65</v>
      </c>
      <c r="E25" s="100" t="str">
        <f>$D$7</f>
        <v>SPCXB</v>
      </c>
      <c r="F25" s="100"/>
      <c r="G25" s="100"/>
      <c r="H25" s="100"/>
      <c r="I25" s="101" t="str">
        <v>卖出含税费率</v>
      </c>
      <c r="J25" s="117" t="n">
        <f>$G$41+$J$8</f>
        <v>0.01</v>
      </c>
      <c r="K25" s="100"/>
      <c r="L25" s="100"/>
    </row>
    <row r="26" ht="20" customHeight="1">
      <c r="A26" s="2"/>
      <c r="B26" s="2"/>
      <c r="C26" s="101" t="str">
        <v>恢复目标控筹预留</v>
      </c>
      <c r="D26" s="115" t="n">
        <f>IF(LEFT($D$51,2)&lt;&gt;"可达","",MAX(0,($G$50/$J$55-$G$50/$J$56)*(1+$G$42)))</f>
        <v>11.245441439998995</v>
      </c>
      <c r="E26" s="100" t="str">
        <f>$D$7</f>
        <v>SPCXB</v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 t="n">
        <f>$D$8*$J$54</f>
        <v>0.93765</v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补回目标控筹率</v>
      </c>
      <c r="D28" s="117" t="n">
        <f>$D$8</f>
        <v>0.94</v>
      </c>
      <c r="E28" s="100"/>
      <c r="F28" s="100"/>
      <c r="G28" s="100"/>
      <c r="H28" s="100"/>
      <c r="I28" s="101" t="str">
        <v>基础手续费</v>
      </c>
      <c r="J28" s="117" t="n">
        <f>$G$42</f>
        <v>0.0025</v>
      </c>
      <c r="K28" s="100"/>
      <c r="L28" s="100"/>
    </row>
    <row r="29" ht="20" customHeight="1">
      <c r="A29" s="2"/>
      <c r="B29" s="2"/>
      <c r="C29" s="101" t="str">
        <v>洗筹双边总费率</v>
      </c>
      <c r="D29" s="117" t="n">
        <f>$J$47</f>
        <v>0.005</v>
      </c>
      <c r="E29" s="100"/>
      <c r="F29" s="100"/>
      <c r="G29" s="100"/>
      <c r="H29" s="100"/>
      <c r="I29" s="101" t="str">
        <v>买入含税费率</v>
      </c>
      <c r="J29" s="117" t="n">
        <f>$G$42+$J$7</f>
        <v>0.0025</v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 t="n">
        <f>$G$42+$J$8</f>
        <v>0.0025</v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 Pancake LP 费从输入币收取：卖出腿扣 TOKEN，买入腿扣 Quote；Tax V3 买税扣输出 TOKEN、卖税扣输入 TOKEN。洗后控筹只按实际扣 TOKEN 的一侧 LP 费及买卖税折减，补回按曲线差额估算。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 t="n">
        <f>E125</f>
        <v>17.857142856491468</v>
      </c>
      <c r="H37" s="120" t="str">
        <f>$D$7</f>
        <v>SPCXB</v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 t="str">
        <f>VLOOKUP($D$7,'Quote参数'!$E$14:$M$36,2,FALSE)</f>
        <v>SpaceX</v>
      </c>
      <c r="E41" s="101"/>
      <c r="F41" s="101" t="str">
        <v>内盘基础费</v>
      </c>
      <c r="G41" s="106" t="n">
        <f>0.01</f>
        <v>0.01</v>
      </c>
      <c r="H41" s="101"/>
      <c r="I41" s="101" t="str">
        <v>一套内盘打满 / Quote</v>
      </c>
      <c r="J41" s="102" t="n">
        <f>$G$44*(1+$G$41+$J$7)</f>
        <v>90.17857142528192</v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 t="str">
        <f>VLOOKUP($D$7,'Quote参数'!$E$14:$M$36,3,FALSE)</f>
        <v>​0xbe9D156892E55e7154BcD3cB0FEA677F9D3103E1</v>
      </c>
      <c r="E42" s="101"/>
      <c r="F42" s="101" t="str">
        <v>外盘 LP 费</v>
      </c>
      <c r="G42" s="106" t="n">
        <f>0.0025</f>
        <v>0.0025</v>
      </c>
      <c r="H42" s="101"/>
      <c r="I42" s="101" t="str">
        <v>目标+1% Pool TOKEN</v>
      </c>
      <c r="J42" s="102" t="n">
        <f>IF($J$49="","",$G$48-$J$49)</f>
        <v>50000000.00000006</v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 t="n">
        <f>0.8</f>
        <v>0.8</v>
      </c>
      <c r="H43" s="101"/>
      <c r="I43" s="101" t="str">
        <v>目标+1% Pool Quote</v>
      </c>
      <c r="J43" s="102" t="n">
        <f>IF($J$42="","",$G$50/$J$42)</f>
        <v>357.1428571298289</v>
      </c>
      <c r="K43" s="101"/>
      <c r="L43" s="101"/>
    </row>
    <row r="44" ht="30" hidden="1" customHeight="1" outlineLevel="1">
      <c r="A44"/>
      <c r="B44"/>
      <c r="C44" s="101" t="str">
        <v>Decimals</v>
      </c>
      <c r="D44" s="104" t="n">
        <f>VLOOKUP($D$7,'Quote参数'!$E$14:$M$36,4,FALSE)</f>
        <v>18</v>
      </c>
      <c r="E44" s="101"/>
      <c r="F44" s="101" t="str">
        <v>毕业真实 Quote</v>
      </c>
      <c r="G44" s="102" t="n">
        <f>VLOOKUP($D$7,'Quote参数'!$E$14:$M$36,8,FALSE)</f>
        <v>89.28571428245735</v>
      </c>
      <c r="H44" s="101"/>
      <c r="I44" s="101" t="str">
        <v>外盘净增加 / Quote</v>
      </c>
      <c r="J44" s="102" t="n">
        <f>IF($J$43="","",MAX(0,$J$43-$G$44))</f>
        <v>267.8571428473715</v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 t="n">
        <f>$D$45+$G$52</f>
        <v>1107036751</v>
      </c>
      <c r="H45" s="101"/>
      <c r="I45" s="101" t="str">
        <v>外盘含费投入 / Quote</v>
      </c>
      <c r="J45" s="102" t="n">
        <f>IF($J$44="","",$J$44*(1+$G$42))</f>
        <v>268.5267857044899</v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 t="n">
        <f>VLOOKUP($D$7,'Quote参数'!$E$14:$M$36,5,FALSE)</f>
        <v>34.26749453</v>
      </c>
      <c r="H46" s="101"/>
      <c r="I46" s="101" t="str">
        <v>目标+1% FDV / Quote</v>
      </c>
      <c r="J46" s="102" t="n">
        <f>IF($J$43="","",$J$43/$J$42*1000000000)</f>
        <v>7142.857142596569</v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 t="n">
        <f>VLOOKUP($D$7,'Quote参数'!$E$14:$M$36,7,FALSE)</f>
        <v>37935375809.401474</v>
      </c>
      <c r="H47" s="101"/>
      <c r="I47" s="101" t="str">
        <v>洗筹总费率</v>
      </c>
      <c r="J47" s="106" t="n">
        <f>$G$42*2+$J$7+$J$8</f>
        <v>0.005</v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 t="n">
        <f>1000000000*(1-0.8)</f>
        <v>199999999.99999997</v>
      </c>
      <c r="H48" s="101"/>
      <c r="I48" s="101" t="str">
        <v>外盘净控筹 TOKEN</v>
      </c>
      <c r="J48" s="102" t="n">
        <f>IF($D$52&lt;$D$54,MAX(0,($D$52-$G$43)*1000000000),"")</f>
        <v>149999999.9999999</v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 t="n">
        <f>$G$44</f>
        <v>89.28571428245735</v>
      </c>
      <c r="H49" s="101"/>
      <c r="I49" s="101" t="str">
        <v>外盘需扫 TOKEN</v>
      </c>
      <c r="J49" s="102" t="n">
        <f>IF($J$48="","",$J$48/(1-$J$7))</f>
        <v>149999999.9999999</v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 t="n">
        <f>VLOOKUP($D$7,'Quote参数'!$E$14:$N$36,10,FALSE)</f>
        <v>17857142856.491467</v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 t="str">
        <f>IF($J$51&lt;&gt;"参数有效",$J$51,IF(OR($D$8&lt;80%,$D$8&gt;=100%),"目标控筹率无效",IF(OR($J$7&lt;0,$J$7&gt;10%,$J$8&lt;0,$J$8&gt;10%),"税率无效",IF($D$52&gt;=$D$54,"目标+1%不可达","可达"))))</f>
        <v>可达</v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 t="str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  <v>参数有效</v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 t="n">
        <f>$D$8+1%</f>
        <v>0.95</v>
      </c>
      <c r="E52" s="101"/>
      <c r="F52" s="101" t="str">
        <v>虚拟 TOKEN h</v>
      </c>
      <c r="G52" s="102" t="n">
        <f>VLOOKUP($D$7,'Quote参数'!$E$14:$M$36,6,FALSE)</f>
        <v>107036751</v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 t="n">
        <f>MAX(0,$G$8)*MAX(0,$G$7)+MAX(0,$G$9)+MAX(0,$G$10)</f>
        <v>220</v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 t="n">
        <f>$G$43+(1-$J$7)*$G$48/1000000000</f>
        <v>1</v>
      </c>
      <c r="E54" s="101"/>
      <c r="F54" s="101" t="str">
        <v>价格采用方式</v>
      </c>
      <c r="G54" s="102" t="str">
        <f>IF($D$9&lt;&gt;"","手动覆盖","每日行情")</f>
        <v>每日行情</v>
      </c>
      <c r="H54" s="101"/>
      <c r="I54" s="101" t="str">
        <v>洗后持仓保留比例</v>
      </c>
      <c r="J54" s="106" t="n">
        <f>(1-$J$7)*(1-$J$8)*(1-$G$42)</f>
        <v>0.9975</v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 t="n">
        <f>IF($D$9&lt;&gt;"",IF(AND(ISNUMBER($D$9),$D$9&gt;0),$D$9,""),IF(VLOOKUP($D$7,'Quote参数'!$E$14:$P$36,12,FALSE)&gt;0,VLOOKUP($D$7,'Quote参数'!$E$14:$P$36,12,FALSE),""))</f>
        <v>155.04454</v>
      </c>
      <c r="E55" s="101"/>
      <c r="F55" s="101" t="str">
        <v>价格状态</v>
      </c>
      <c r="G55" s="102" t="str">
        <f>IF($D$9&lt;&gt;"",IF($D$55="","手动价格无效","手动价格"),IF($D$55="","缺少价格","每日行情"))</f>
        <v>每日行情</v>
      </c>
      <c r="H55" s="101"/>
      <c r="I55" s="101" t="str">
        <v>目标外盘 Pool TOKEN</v>
      </c>
      <c r="J55" s="102" t="n">
        <f>$G$48-($D$8-$G$43)*$D$45/(1-$J$7)</f>
        <v>60000000.00000006</v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 t="n">
        <f>IF(VLOOKUP($D$7,'Quote参数'!$E$14:$Q$36,13,FALSE)=0,"",VLOOKUP($D$7,'Quote参数'!$E$14:$Q$36,13,FALSE))</f>
        <v>46283.2286428125</v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 t="n">
        <f>$G$48-($D$27-$G$43)*$D$45/(1-$J$7)</f>
        <v>62350000.00000003</v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 t="n">
        <f>$D$45+$G$52-$D$45*C59</f>
        <v>1107036751</v>
      </c>
      <c r="E59" s="137" t="n">
        <f>$G$47/D59</f>
        <v>34.26749453</v>
      </c>
      <c r="F59" s="128" t="n">
        <f>IF(OR(D59="",E59=""),"",E59/D59)</f>
        <v>3.0954251969544594e-8</v>
      </c>
      <c r="G59" s="128" t="n">
        <f>IF(OR($D$55="",NOT(ISNUMBER(F59))),"",F59*$D$55)</f>
        <v>0.000004799287757662136</v>
      </c>
      <c r="H59" s="137" t="n">
        <f>IF(NOT(ISNUMBER(F59)),"",F59*$D$45)</f>
        <v>30.954251969544593</v>
      </c>
      <c r="I59" s="137" t="n">
        <f>IF(OR($D$55="",NOT(ISNUMBER(H59))),"",H59*$D$55)</f>
        <v>4799.287757662136</v>
      </c>
      <c r="J59" s="137" t="n">
        <f>0</f>
        <v>0</v>
      </c>
      <c r="K59" s="137" t="n">
        <f>J59*(1+$G$41+$J$7)</f>
        <v>0</v>
      </c>
      <c r="L59" s="140" t="n">
        <f>(E59-$G$46)*(1+$G$41+$J$7)</f>
        <v>0</v>
      </c>
    </row>
    <row r="60" ht="20" customHeight="1">
      <c r="A60"/>
      <c r="B60"/>
      <c r="C60" s="126" t="n">
        <v>0.1</v>
      </c>
      <c r="D60" s="138" t="n">
        <f>$D$45+$G$52-$D$45*C60</f>
        <v>1007036751</v>
      </c>
      <c r="E60" s="138" t="n">
        <f>$G$47/D60</f>
        <v>37.670299293179895</v>
      </c>
      <c r="F60" s="129" t="n">
        <f>IF(OR(D60="",E60=""),"",E60/D60)</f>
        <v>3.740707502062146e-8</v>
      </c>
      <c r="G60" s="129" t="n">
        <f>IF(OR($D$55="",NOT(ISNUMBER(F60))),"",F60*$D$55)</f>
        <v>0.000005799762739317745</v>
      </c>
      <c r="H60" s="138" t="n">
        <f>IF(NOT(ISNUMBER(F60)),"",F60*$D$45)</f>
        <v>37.40707502062146</v>
      </c>
      <c r="I60" s="138" t="n">
        <f>IF(OR($D$55="",NOT(ISNUMBER(H60))),"",H60*$D$55)</f>
        <v>5799.762739317745</v>
      </c>
      <c r="J60" s="138" t="n">
        <f>E60-E59</f>
        <v>3.402804763179894</v>
      </c>
      <c r="K60" s="138" t="n">
        <f>J60*(1+$G$41+$J$7)</f>
        <v>3.4368328108116932</v>
      </c>
      <c r="L60" s="141" t="n">
        <f>(E60-$G$46)*(1+$G$41+$J$7)</f>
        <v>3.4368328108116932</v>
      </c>
    </row>
    <row r="61" ht="20" customHeight="1">
      <c r="A61"/>
      <c r="B61"/>
      <c r="C61" s="126" t="n">
        <v>0.2</v>
      </c>
      <c r="D61" s="138" t="n">
        <f>$D$45+$G$52-$D$45*C61</f>
        <v>907036751</v>
      </c>
      <c r="E61" s="138" t="n">
        <f>$G$47/D61</f>
        <v>41.82341649065273</v>
      </c>
      <c r="F61" s="129" t="n">
        <f>IF(OR(D61="",E61=""),"",E61/D61)</f>
        <v>4.6109946972427285e-8</v>
      </c>
      <c r="G61" s="129" t="n">
        <f>IF(OR($D$55="",NOT(ISNUMBER(F61))),"",F61*$D$55)</f>
        <v>0.000007149095517764382</v>
      </c>
      <c r="H61" s="138" t="n">
        <f>IF(NOT(ISNUMBER(F61)),"",F61*$D$45)</f>
        <v>46.10994697242729</v>
      </c>
      <c r="I61" s="138" t="n">
        <f>IF(OR($D$55="",NOT(ISNUMBER(H61))),"",H61*$D$55)</f>
        <v>7149.095517764382</v>
      </c>
      <c r="J61" s="138" t="n">
        <f>E61-E60</f>
        <v>4.153117197472838</v>
      </c>
      <c r="K61" s="138" t="n">
        <f>J61*(1+$G$41+$J$7)</f>
        <v>4.194648369447567</v>
      </c>
      <c r="L61" s="141" t="n">
        <f>(E61-$G$46)*(1+$G$41+$J$7)</f>
        <v>7.63148118025926</v>
      </c>
    </row>
    <row r="62" ht="20" customHeight="1">
      <c r="A62"/>
      <c r="B62"/>
      <c r="C62" s="126" t="n">
        <v>0.3</v>
      </c>
      <c r="D62" s="138" t="n">
        <f>$D$45+$G$52-$D$45*C62</f>
        <v>807036751</v>
      </c>
      <c r="E62" s="138" t="n">
        <f>$G$47/D62</f>
        <v>47.00575997610482</v>
      </c>
      <c r="F62" s="129" t="n">
        <f>IF(OR(D62="",E62=""),"",E62/D62)</f>
        <v>5.824488155943325e-8</v>
      </c>
      <c r="G62" s="129" t="n">
        <f>IF(OR($D$55="",NOT(ISNUMBER(F62))),"",F62*$D$55)</f>
        <v>0.00000903055086873681</v>
      </c>
      <c r="H62" s="138" t="n">
        <f>IF(NOT(ISNUMBER(F62)),"",F62*$D$45)</f>
        <v>58.244881559433246</v>
      </c>
      <c r="I62" s="138" t="n">
        <f>IF(OR($D$55="",NOT(ISNUMBER(H62))),"",H62*$D$55)</f>
        <v>9030.550868736811</v>
      </c>
      <c r="J62" s="138" t="n">
        <f>E62-E61</f>
        <v>5.182343485452087</v>
      </c>
      <c r="K62" s="138" t="n">
        <f>J62*(1+$G$41+$J$7)</f>
        <v>5.234166920306608</v>
      </c>
      <c r="L62" s="141" t="n">
        <f>(E62-$G$46)*(1+$G$41+$J$7)</f>
        <v>12.865648100565867</v>
      </c>
    </row>
    <row r="63" ht="20" customHeight="1">
      <c r="A63"/>
      <c r="B63"/>
      <c r="C63" s="126" t="n">
        <v>0.4</v>
      </c>
      <c r="D63" s="138" t="n">
        <f>$D$45+$G$52-$D$45*C63</f>
        <v>707036751</v>
      </c>
      <c r="E63" s="138" t="n">
        <f>$G$47/D63</f>
        <v>53.65403673252831</v>
      </c>
      <c r="F63" s="129" t="n">
        <f>IF(OR(D63="",E63=""),"",E63/D63)</f>
        <v>7.588578197193078e-8</v>
      </c>
      <c r="G63" s="129" t="n">
        <f>IF(OR($D$55="",NOT(ISNUMBER(F63))),"",F63*$D$55)</f>
        <v>0.000011765676158378303</v>
      </c>
      <c r="H63" s="138" t="n">
        <f>IF(NOT(ISNUMBER(F63)),"",F63*$D$45)</f>
        <v>75.88578197193078</v>
      </c>
      <c r="I63" s="138" t="n">
        <f>IF(OR($D$55="",NOT(ISNUMBER(H63))),"",H63*$D$55)</f>
        <v>11765.676158378303</v>
      </c>
      <c r="J63" s="138" t="n">
        <f>E63-E62</f>
        <v>6.648276756423492</v>
      </c>
      <c r="K63" s="138" t="n">
        <f>J63*(1+$G$41+$J$7)</f>
        <v>6.714759523987727</v>
      </c>
      <c r="L63" s="141" t="n">
        <f>(E63-$G$46)*(1+$G$41+$J$7)</f>
        <v>19.580407624553594</v>
      </c>
    </row>
    <row r="64" ht="20" customHeight="1">
      <c r="A64"/>
      <c r="B64"/>
      <c r="C64" s="126" t="n">
        <v>0.5</v>
      </c>
      <c r="D64" s="138" t="n">
        <f>$D$45+$G$52-$D$45*C64</f>
        <v>607036751</v>
      </c>
      <c r="E64" s="138" t="n">
        <f>$G$47/D64</f>
        <v>62.49271686913314</v>
      </c>
      <c r="F64" s="129" t="n">
        <f>IF(OR(D64="",E64=""),"",E64/D64)</f>
        <v>1.0294717208832245e-7</v>
      </c>
      <c r="G64" s="129" t="n">
        <f>IF(OR($D$55="",NOT(ISNUMBER(F64))),"",F64*$D$55)</f>
        <v>0.000015961396940734793</v>
      </c>
      <c r="H64" s="138" t="n">
        <f>IF(NOT(ISNUMBER(F64)),"",F64*$D$45)</f>
        <v>102.94717208832245</v>
      </c>
      <c r="I64" s="138" t="n">
        <f>IF(OR($D$55="",NOT(ISNUMBER(H64))),"",H64*$D$55)</f>
        <v>15961.396940734794</v>
      </c>
      <c r="J64" s="138" t="n">
        <f>E64-E63</f>
        <v>8.838680136604829</v>
      </c>
      <c r="K64" s="138" t="n">
        <f>J64*(1+$G$41+$J$7)</f>
        <v>8.927066937970878</v>
      </c>
      <c r="L64" s="141" t="n">
        <f>(E64-$G$46)*(1+$G$41+$J$7)</f>
        <v>28.50747456252447</v>
      </c>
    </row>
    <row r="65" ht="20" customHeight="1">
      <c r="A65"/>
      <c r="B65"/>
      <c r="C65" s="126" t="n">
        <v>0.6</v>
      </c>
      <c r="D65" s="138" t="n">
        <f>$D$45+$G$52-$D$45*C65</f>
        <v>507036751</v>
      </c>
      <c r="E65" s="138" t="n">
        <f>$G$47/D65</f>
        <v>74.81780311700024</v>
      </c>
      <c r="F65" s="129" t="n">
        <f>IF(OR(D65="",E65=""),"",E65/D65)</f>
        <v>1.475589352634524e-7</v>
      </c>
      <c r="G65" s="129" t="n">
        <f>IF(OR($D$55="",NOT(ISNUMBER(F65))),"",F65*$D$55)</f>
        <v>0.000022878207240811758</v>
      </c>
      <c r="H65" s="138" t="n">
        <f>IF(NOT(ISNUMBER(F65)),"",F65*$D$45)</f>
        <v>147.5589352634524</v>
      </c>
      <c r="I65" s="138" t="n">
        <f>IF(OR($D$55="",NOT(ISNUMBER(H65))),"",H65*$D$55)</f>
        <v>22878.20724081176</v>
      </c>
      <c r="J65" s="138" t="n">
        <f>E65-E64</f>
        <v>12.325086247867098</v>
      </c>
      <c r="K65" s="138" t="n">
        <f>J65*(1+$G$41+$J$7)</f>
        <v>12.448337110345769</v>
      </c>
      <c r="L65" s="141" t="n">
        <f>(E65-$G$46)*(1+$G$41+$J$7)</f>
        <v>40.95581167287024</v>
      </c>
    </row>
    <row r="66" ht="20" customHeight="1">
      <c r="A66"/>
      <c r="B66"/>
      <c r="C66" s="126" t="n">
        <v>0.7</v>
      </c>
      <c r="D66" s="138" t="n">
        <f>$D$45+$G$52-$D$45*C66</f>
        <v>407036751</v>
      </c>
      <c r="E66" s="138" t="n">
        <f>$G$47/D66</f>
        <v>93.19889596259448</v>
      </c>
      <c r="F66" s="129" t="n">
        <f>IF(OR(D66="",E66=""),"",E66/D66)</f>
        <v>2.289692410663785e-7</v>
      </c>
      <c r="G66" s="129" t="n">
        <f>IF(OR($D$55="",NOT(ISNUMBER(F66))),"",F66*$D$55)</f>
        <v>0.00003550043065528577</v>
      </c>
      <c r="H66" s="138" t="n">
        <f>IF(NOT(ISNUMBER(F66)),"",F66*$D$45)</f>
        <v>228.9692410663785</v>
      </c>
      <c r="I66" s="138" t="n">
        <f>IF(OR($D$55="",NOT(ISNUMBER(H66))),"",H66*$D$55)</f>
        <v>35500.43065528577</v>
      </c>
      <c r="J66" s="138" t="n">
        <f>E66-E65</f>
        <v>18.38109284559424</v>
      </c>
      <c r="K66" s="138" t="n">
        <f>J66*(1+$G$41+$J$7)</f>
        <v>18.56490377405018</v>
      </c>
      <c r="L66" s="141" t="n">
        <f>(E66-$G$46)*(1+$G$41+$J$7)</f>
        <v>59.52071544692042</v>
      </c>
    </row>
    <row r="67" ht="20" customHeight="1">
      <c r="A67"/>
      <c r="B67"/>
      <c r="C67" s="127" t="n">
        <f>$G$43</f>
        <v>0.8</v>
      </c>
      <c r="D67" s="139" t="n">
        <f>$D$45+$G$52-$D$45*C67</f>
        <v>307036751</v>
      </c>
      <c r="E67" s="139" t="n">
        <f>$G$47/D67</f>
        <v>123.55320881245736</v>
      </c>
      <c r="F67" s="130" t="n">
        <f>IF(OR(D67="",E67=""),"",E67/D67)</f>
        <v>4.024052769254888e-7</v>
      </c>
      <c r="G67" s="130" t="n">
        <f>IF(OR($D$55="",NOT(ISNUMBER(F67))),"",F67*$D$55)</f>
        <v>0.00006239074105448503</v>
      </c>
      <c r="H67" s="139" t="n">
        <f>IF(NOT(ISNUMBER(F67)),"",F67*$D$45)</f>
        <v>402.4052769254888</v>
      </c>
      <c r="I67" s="139" t="n">
        <f>IF(OR($D$55="",NOT(ISNUMBER(H67))),"",H67*$D$55)</f>
        <v>62390.74105448503</v>
      </c>
      <c r="J67" s="139" t="n">
        <f>E67-E66</f>
        <v>30.35431284986288</v>
      </c>
      <c r="K67" s="139" t="n">
        <f>J67*(1+$G$41+$J$7)</f>
        <v>30.657855978361507</v>
      </c>
      <c r="L67" s="142" t="n">
        <f>(E67-$G$46)*(1+$G$41+$J$7)</f>
        <v>90.17857142528192</v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 t="n">
        <f>$G$43</f>
        <v>0.8</v>
      </c>
      <c r="D72" s="137" t="n">
        <f>$G$48</f>
        <v>199999999.99999997</v>
      </c>
      <c r="E72" s="137" t="n">
        <f>$G$44</f>
        <v>89.28571428245735</v>
      </c>
      <c r="F72" s="128" t="n">
        <f>IF(OR(D72="",E72=""),"",E72/D72)</f>
        <v>4.464285714122868e-7</v>
      </c>
      <c r="G72" s="128" t="n">
        <f>IF(OR($D$55="",NOT(ISNUMBER(F72))),"",F72*$D$55)</f>
        <v>0.00006921631249747516</v>
      </c>
      <c r="H72" s="137" t="n">
        <f>IF(NOT(ISNUMBER(F72)),"",F72*$D$45)</f>
        <v>446.4285714122868</v>
      </c>
      <c r="I72" s="137" t="n">
        <f>IF(OR($D$55="",NOT(ISNUMBER(H72))),"",H72*$D$55)</f>
        <v>69216.31249747516</v>
      </c>
      <c r="J72" s="137" t="n">
        <f>0</f>
        <v>0</v>
      </c>
      <c r="K72" s="137" t="n">
        <f>0</f>
        <v>0</v>
      </c>
      <c r="L72" s="140" t="n">
        <f>$J$41</f>
        <v>90.17857142528192</v>
      </c>
    </row>
    <row r="73" ht="20" customHeight="1">
      <c r="A73"/>
      <c r="B73"/>
      <c r="C73" s="126" t="n">
        <v>0.805</v>
      </c>
      <c r="D73" s="138" t="n">
        <f>IF(C73&lt;$D$54,$G$48-MAX(0,(C73-$G$43)*$D$45)/(1-$J$7),"")</f>
        <v>194999999.99999997</v>
      </c>
      <c r="E73" s="138" t="n">
        <f>IF(D73="","",$G$50/D73)</f>
        <v>91.57509157175113</v>
      </c>
      <c r="F73" s="129" t="n">
        <f>IF(OR(D73="",E73=""),"",E73/D73)</f>
        <v>4.696158542141084e-7</v>
      </c>
      <c r="G73" s="129" t="n">
        <f>IF(OR($D$55="",NOT(ISNUMBER(F73))),"",F73*$D$55)</f>
        <v>0.0000728113740933335</v>
      </c>
      <c r="H73" s="138" t="n">
        <f>IF(NOT(ISNUMBER(F73)),"",F73*$D$45)</f>
        <v>469.6158542141084</v>
      </c>
      <c r="I73" s="138" t="n">
        <f>IF(OR($D$55="",NOT(ISNUMBER(H73))),"",H73*$D$55)</f>
        <v>72811.3740933335</v>
      </c>
      <c r="J73" s="138" t="n">
        <f>IF(E73="","",MAX(0,E73-$G$44))</f>
        <v>2.289377289293782</v>
      </c>
      <c r="K73" s="138" t="n">
        <f>IF(J73="","",J73*(1+$G$42))</f>
        <v>2.295100732517016</v>
      </c>
      <c r="L73" s="141" t="n">
        <f>IF(K73="","",$J$41+K73)</f>
        <v>92.47367215779893</v>
      </c>
    </row>
    <row r="74" ht="20" customHeight="1">
      <c r="A74"/>
      <c r="B74"/>
      <c r="C74" s="126" t="n">
        <v>0.81</v>
      </c>
      <c r="D74" s="138" t="n">
        <f>IF(C74&lt;$D$54,$G$48-MAX(0,(C74-$G$43)*$D$45)/(1-$J$7),"")</f>
        <v>189999999.99999997</v>
      </c>
      <c r="E74" s="138" t="n">
        <f>IF(D74="","",$G$50/D74)</f>
        <v>93.98496240258667</v>
      </c>
      <c r="F74" s="129" t="n">
        <f>IF(OR(D74="",E74=""),"",E74/D74)</f>
        <v>4.946576968557194e-7</v>
      </c>
      <c r="G74" s="129" t="n">
        <f>IF(OR($D$55="",NOT(ISNUMBER(F74))),"",F74*$D$55)</f>
        <v>0.00007669397506645448</v>
      </c>
      <c r="H74" s="138" t="n">
        <f>IF(NOT(ISNUMBER(F74)),"",F74*$D$45)</f>
        <v>494.65769685571945</v>
      </c>
      <c r="I74" s="138" t="n">
        <f>IF(OR($D$55="",NOT(ISNUMBER(H74))),"",H74*$D$55)</f>
        <v>76693.97506645447</v>
      </c>
      <c r="J74" s="138" t="n">
        <f>IF(E74="","",MAX(0,E74-$G$44))</f>
        <v>4.699248120129326</v>
      </c>
      <c r="K74" s="138" t="n">
        <f>IF(J74="","",J74*(1+$G$42))</f>
        <v>4.710996240429649</v>
      </c>
      <c r="L74" s="141" t="n">
        <f>IF(K74="","",$J$41+K74)</f>
        <v>94.88956766571157</v>
      </c>
    </row>
    <row r="75" ht="20" customHeight="1">
      <c r="A75"/>
      <c r="B75"/>
      <c r="C75" s="126" t="n">
        <v>0.8150000000000001</v>
      </c>
      <c r="D75" s="138" t="n">
        <f>IF(C75&lt;$D$54,$G$48-MAX(0,(C75-$G$43)*$D$45)/(1-$J$7),"")</f>
        <v>184999999.99999997</v>
      </c>
      <c r="E75" s="138" t="n">
        <f>IF(D75="","",$G$50/D75)</f>
        <v>96.5250965215755</v>
      </c>
      <c r="F75" s="129" t="n">
        <f>IF(OR(D75="",E75=""),"",E75/D75)</f>
        <v>5.217572784950028e-7</v>
      </c>
      <c r="G75" s="129" t="n">
        <f>IF(OR($D$55="",NOT(ISNUMBER(F75))),"",F75*$D$55)</f>
        <v>0.00008089561723590962</v>
      </c>
      <c r="H75" s="138" t="n">
        <f>IF(NOT(ISNUMBER(F75)),"",F75*$D$45)</f>
        <v>521.7572784950029</v>
      </c>
      <c r="I75" s="138" t="n">
        <f>IF(OR($D$55="",NOT(ISNUMBER(H75))),"",H75*$D$55)</f>
        <v>80895.61723590962</v>
      </c>
      <c r="J75" s="138" t="n">
        <f>IF(E75="","",MAX(0,E75-$G$44))</f>
        <v>7.239382239118157</v>
      </c>
      <c r="K75" s="138" t="n">
        <f>IF(J75="","",J75*(1+$G$42))</f>
        <v>7.2574806947159525</v>
      </c>
      <c r="L75" s="141" t="n">
        <f>IF(K75="","",$J$41+K75)</f>
        <v>97.43605211999787</v>
      </c>
    </row>
    <row r="76" ht="20" customHeight="1">
      <c r="A76"/>
      <c r="B76"/>
      <c r="C76" s="126" t="n">
        <v>0.8200000000000001</v>
      </c>
      <c r="D76" s="138" t="n">
        <f>IF(C76&lt;$D$54,$G$48-MAX(0,(C76-$G$43)*$D$45)/(1-$J$7),"")</f>
        <v>179999999.99999994</v>
      </c>
      <c r="E76" s="138" t="n">
        <f>IF(D76="","",$G$50/D76)</f>
        <v>99.20634920273041</v>
      </c>
      <c r="F76" s="129" t="n">
        <f>IF(OR(D76="",E76=""),"",E76/D76)</f>
        <v>5.511463844596135e-7</v>
      </c>
      <c r="G76" s="129" t="n">
        <f>IF(OR($D$55="",NOT(ISNUMBER(F76))),"",F76*$D$55)</f>
        <v>0.00008545223765120394</v>
      </c>
      <c r="H76" s="138" t="n">
        <f>IF(NOT(ISNUMBER(F76)),"",F76*$D$45)</f>
        <v>551.1463844596135</v>
      </c>
      <c r="I76" s="138" t="n">
        <f>IF(OR($D$55="",NOT(ISNUMBER(H76))),"",H76*$D$55)</f>
        <v>85452.23765120393</v>
      </c>
      <c r="J76" s="138" t="n">
        <f>IF(E76="","",MAX(0,E76-$G$44))</f>
        <v>9.92063492027306</v>
      </c>
      <c r="K76" s="138" t="n">
        <f>IF(J76="","",J76*(1+$G$42))</f>
        <v>9.945436507573742</v>
      </c>
      <c r="L76" s="141" t="n">
        <f>IF(K76="","",$J$41+K76)</f>
        <v>100.12400793285566</v>
      </c>
    </row>
    <row r="77" ht="20" customHeight="1">
      <c r="A77"/>
      <c r="B77"/>
      <c r="C77" s="126" t="n">
        <v>0.8250000000000001</v>
      </c>
      <c r="D77" s="138" t="n">
        <f>IF(C77&lt;$D$54,$G$48-MAX(0,(C77-$G$43)*$D$45)/(1-$J$7),"")</f>
        <v>174999999.99999994</v>
      </c>
      <c r="E77" s="138" t="n">
        <f>IF(D77="","",$G$50/D77)</f>
        <v>102.04081632280841</v>
      </c>
      <c r="F77" s="129" t="n">
        <f>IF(OR(D77="",E77=""),"",E77/D77)</f>
        <v>5.830903789874768e-7</v>
      </c>
      <c r="G77" s="129" t="n">
        <f>IF(OR($D$55="",NOT(ISNUMBER(F77))),"",F77*$D$55)</f>
        <v>0.00009040497958853903</v>
      </c>
      <c r="H77" s="138" t="n">
        <f>IF(NOT(ISNUMBER(F77)),"",F77*$D$45)</f>
        <v>583.0903789874768</v>
      </c>
      <c r="I77" s="138" t="n">
        <f>IF(OR($D$55="",NOT(ISNUMBER(H77))),"",H77*$D$55)</f>
        <v>90404.97958853902</v>
      </c>
      <c r="J77" s="138" t="n">
        <f>IF(E77="","",MAX(0,E77-$G$44))</f>
        <v>12.755102040351062</v>
      </c>
      <c r="K77" s="138" t="n">
        <f>IF(J77="","",J77*(1+$G$42))</f>
        <v>12.78698979545194</v>
      </c>
      <c r="L77" s="141" t="n">
        <f>IF(K77="","",$J$41+K77)</f>
        <v>102.96556122073386</v>
      </c>
    </row>
    <row r="78" ht="20" customHeight="1">
      <c r="A78"/>
      <c r="B78"/>
      <c r="C78" s="126" t="n">
        <v>0.8300000000000001</v>
      </c>
      <c r="D78" s="138" t="n">
        <f>IF(C78&lt;$D$54,$G$48-MAX(0,(C78-$G$43)*$D$45)/(1-$J$7),"")</f>
        <v>169999999.99999994</v>
      </c>
      <c r="E78" s="138" t="n">
        <f>IF(D78="","",$G$50/D78)</f>
        <v>105.04201680289101</v>
      </c>
      <c r="F78" s="129" t="n">
        <f>IF(OR(D78="",E78=""),"",E78/D78)</f>
        <v>6.178942164875944e-7</v>
      </c>
      <c r="G78" s="129" t="n">
        <f>IF(OR($D$55="",NOT(ISNUMBER(F78))),"",F78*$D$55)</f>
        <v>0.0000958011245639795</v>
      </c>
      <c r="H78" s="138" t="n">
        <f>IF(NOT(ISNUMBER(F78)),"",F78*$D$45)</f>
        <v>617.8942164875945</v>
      </c>
      <c r="I78" s="138" t="n">
        <f>IF(OR($D$55="",NOT(ISNUMBER(H78))),"",H78*$D$55)</f>
        <v>95801.12456397951</v>
      </c>
      <c r="J78" s="138" t="n">
        <f>IF(E78="","",MAX(0,E78-$G$44))</f>
        <v>15.756302520433664</v>
      </c>
      <c r="K78" s="138" t="n">
        <f>IF(J78="","",J78*(1+$G$42))</f>
        <v>15.795693276734747</v>
      </c>
      <c r="L78" s="141" t="n">
        <f>IF(K78="","",$J$41+K78)</f>
        <v>105.97426470201667</v>
      </c>
    </row>
    <row r="79" ht="20" customHeight="1">
      <c r="A79"/>
      <c r="B79"/>
      <c r="C79" s="126" t="n">
        <v>0.8350000000000001</v>
      </c>
      <c r="D79" s="138" t="n">
        <f>IF(C79&lt;$D$54,$G$48-MAX(0,(C79-$G$43)*$D$45)/(1-$J$7),"")</f>
        <v>164999999.99999994</v>
      </c>
      <c r="E79" s="138" t="n">
        <f>IF(D79="","",$G$50/D79)</f>
        <v>108.22510822116044</v>
      </c>
      <c r="F79" s="129" t="n">
        <f>IF(OR(D79="",E79=""),"",E79/D79)</f>
        <v>6.55909746794912e-7</v>
      </c>
      <c r="G79" s="129" t="n">
        <f>IF(OR($D$55="",NOT(ISNUMBER(F79))),"",F79*$D$55)</f>
        <v>0.0001016952249733336</v>
      </c>
      <c r="H79" s="138" t="n">
        <f>IF(NOT(ISNUMBER(F79)),"",F79*$D$45)</f>
        <v>655.9097467949119</v>
      </c>
      <c r="I79" s="138" t="n">
        <f>IF(OR($D$55="",NOT(ISNUMBER(H79))),"",H79*$D$55)</f>
        <v>101695.2249733336</v>
      </c>
      <c r="J79" s="138" t="n">
        <f>IF(E79="","",MAX(0,E79-$G$44))</f>
        <v>18.93939393870309</v>
      </c>
      <c r="K79" s="138" t="n">
        <f>IF(J79="","",J79*(1+$G$42))</f>
        <v>18.98674242354985</v>
      </c>
      <c r="L79" s="141" t="n">
        <f>IF(K79="","",$J$41+K79)</f>
        <v>109.16531384883177</v>
      </c>
    </row>
    <row r="80" ht="20" customHeight="1">
      <c r="A80"/>
      <c r="B80"/>
      <c r="C80" s="126" t="n">
        <v>0.8400000000000001</v>
      </c>
      <c r="D80" s="138" t="n">
        <f>IF(C80&lt;$D$54,$G$48-MAX(0,(C80-$G$43)*$D$45)/(1-$J$7),"")</f>
        <v>159999999.99999994</v>
      </c>
      <c r="E80" s="138" t="n">
        <f>IF(D80="","",$G$50/D80)</f>
        <v>111.60714285307171</v>
      </c>
      <c r="F80" s="129" t="n">
        <f>IF(OR(D80="",E80=""),"",E80/D80)</f>
        <v>6.975446428316984e-7</v>
      </c>
      <c r="G80" s="129" t="n">
        <f>IF(OR($D$55="",NOT(ISNUMBER(F80))),"",F80*$D$55)</f>
        <v>0.00010815048827730498</v>
      </c>
      <c r="H80" s="138" t="n">
        <f>IF(NOT(ISNUMBER(F80)),"",F80*$D$45)</f>
        <v>697.5446428316984</v>
      </c>
      <c r="I80" s="138" t="n">
        <f>IF(OR($D$55="",NOT(ISNUMBER(H80))),"",H80*$D$55)</f>
        <v>108150.48827730499</v>
      </c>
      <c r="J80" s="138" t="n">
        <f>IF(E80="","",MAX(0,E80-$G$44))</f>
        <v>22.32142857061436</v>
      </c>
      <c r="K80" s="138" t="n">
        <f>IF(J80="","",J80*(1+$G$42))</f>
        <v>22.377232142040892</v>
      </c>
      <c r="L80" s="141" t="n">
        <f>IF(K80="","",$J$41+K80)</f>
        <v>112.55580356732281</v>
      </c>
    </row>
    <row r="81" ht="20" customHeight="1">
      <c r="A81"/>
      <c r="B81"/>
      <c r="C81" s="126" t="n">
        <v>0.8450000000000001</v>
      </c>
      <c r="D81" s="138" t="n">
        <f>IF(C81&lt;$D$54,$G$48-MAX(0,(C81-$G$43)*$D$45)/(1-$J$7),"")</f>
        <v>154999999.99999994</v>
      </c>
      <c r="E81" s="138" t="n">
        <f>IF(D81="","",$G$50/D81)</f>
        <v>115.20737326768692</v>
      </c>
      <c r="F81" s="129" t="n">
        <f>IF(OR(D81="",E81=""),"",E81/D81)</f>
        <v>7.43273375920561e-7</v>
      </c>
      <c r="G81" s="129" t="n">
        <f>IF(OR($D$55="",NOT(ISNUMBER(F81))),"",F81*$D$55)</f>
        <v>0.00011524047866385047</v>
      </c>
      <c r="H81" s="138" t="n">
        <f>IF(NOT(ISNUMBER(F81)),"",F81*$D$45)</f>
        <v>743.2733759205611</v>
      </c>
      <c r="I81" s="138" t="n">
        <f>IF(OR($D$55="",NOT(ISNUMBER(H81))),"",H81*$D$55)</f>
        <v>115240.47866385047</v>
      </c>
      <c r="J81" s="138" t="n">
        <f>IF(E81="","",MAX(0,E81-$G$44))</f>
        <v>25.92165898522957</v>
      </c>
      <c r="K81" s="138" t="n">
        <f>IF(J81="","",J81*(1+$G$42))</f>
        <v>25.98646313269264</v>
      </c>
      <c r="L81" s="141" t="n">
        <f>IF(K81="","",$J$41+K81)</f>
        <v>116.16503455797456</v>
      </c>
    </row>
    <row r="82" ht="20" customHeight="1">
      <c r="A82"/>
      <c r="B82"/>
      <c r="C82" s="126" t="n">
        <v>0.8500000000000001</v>
      </c>
      <c r="D82" s="138" t="n">
        <f>IF(C82&lt;$D$54,$G$48-MAX(0,(C82-$G$43)*$D$45)/(1-$J$7),"")</f>
        <v>149999999.99999994</v>
      </c>
      <c r="E82" s="138" t="n">
        <f>IF(D82="","",$G$50/D82)</f>
        <v>119.04761904327648</v>
      </c>
      <c r="F82" s="129" t="n">
        <f>IF(OR(D82="",E82=""),"",E82/D82)</f>
        <v>7.936507936218436e-7</v>
      </c>
      <c r="G82" s="129" t="n">
        <f>IF(OR($D$55="",NOT(ISNUMBER(F82))),"",F82*$D$55)</f>
        <v>0.0001230512222177337</v>
      </c>
      <c r="H82" s="138" t="n">
        <f>IF(NOT(ISNUMBER(F82)),"",F82*$D$45)</f>
        <v>793.6507936218436</v>
      </c>
      <c r="I82" s="138" t="n">
        <f>IF(OR($D$55="",NOT(ISNUMBER(H82))),"",H82*$D$55)</f>
        <v>123051.22221773368</v>
      </c>
      <c r="J82" s="138" t="n">
        <f>IF(E82="","",MAX(0,E82-$G$44))</f>
        <v>29.761904760819135</v>
      </c>
      <c r="K82" s="138" t="n">
        <f>IF(J82="","",J82*(1+$G$42))</f>
        <v>29.83630952272118</v>
      </c>
      <c r="L82" s="141" t="n">
        <f>IF(K82="","",$J$41+K82)</f>
        <v>120.0148809480031</v>
      </c>
    </row>
    <row r="83" ht="20" customHeight="1">
      <c r="A83"/>
      <c r="B83"/>
      <c r="C83" s="126" t="n">
        <v>0.8550000000000001</v>
      </c>
      <c r="D83" s="138" t="n">
        <f>IF(C83&lt;$D$54,$G$48-MAX(0,(C83-$G$43)*$D$45)/(1-$J$7),"")</f>
        <v>144999999.9999999</v>
      </c>
      <c r="E83" s="138" t="n">
        <f>IF(D83="","",$G$50/D83)</f>
        <v>123.15270935511364</v>
      </c>
      <c r="F83" s="129" t="n">
        <f>IF(OR(D83="",E83=""),"",E83/D83)</f>
        <v>8.49329030035267e-7</v>
      </c>
      <c r="G83" s="129" t="n">
        <f>IF(OR($D$55="",NOT(ISNUMBER(F83))),"",F83*$D$55)</f>
        <v>0.00013168382877046415</v>
      </c>
      <c r="H83" s="138" t="n">
        <f>IF(NOT(ISNUMBER(F83)),"",F83*$D$45)</f>
        <v>849.329030035267</v>
      </c>
      <c r="I83" s="138" t="n">
        <f>IF(OR($D$55="",NOT(ISNUMBER(H83))),"",H83*$D$55)</f>
        <v>131683.82877046417</v>
      </c>
      <c r="J83" s="138" t="n">
        <f>IF(E83="","",MAX(0,E83-$G$44))</f>
        <v>33.866995072656294</v>
      </c>
      <c r="K83" s="138" t="n">
        <f>IF(J83="","",J83*(1+$G$42))</f>
        <v>33.95166256033794</v>
      </c>
      <c r="L83" s="141" t="n">
        <f>IF(K83="","",$J$41+K83)</f>
        <v>124.13023398561985</v>
      </c>
    </row>
    <row r="84" ht="20" customHeight="1">
      <c r="A84"/>
      <c r="B84"/>
      <c r="C84" s="126" t="n">
        <v>0.8600000000000001</v>
      </c>
      <c r="D84" s="138" t="n">
        <f>IF(C84&lt;$D$54,$G$48-MAX(0,(C84-$G$43)*$D$45)/(1-$J$7),"")</f>
        <v>139999999.9999999</v>
      </c>
      <c r="E84" s="138" t="n">
        <f>IF(D84="","",$G$50/D84)</f>
        <v>127.55102040351056</v>
      </c>
      <c r="F84" s="129" t="n">
        <f>IF(OR(D84="",E84=""),"",E84/D84)</f>
        <v>9.110787171679332e-7</v>
      </c>
      <c r="G84" s="129" t="n">
        <f>IF(OR($D$55="",NOT(ISNUMBER(F84))),"",F84*$D$55)</f>
        <v>0.0001412577806070923</v>
      </c>
      <c r="H84" s="138" t="n">
        <f>IF(NOT(ISNUMBER(F84)),"",F84*$D$45)</f>
        <v>911.0787171679332</v>
      </c>
      <c r="I84" s="138" t="n">
        <f>IF(OR($D$55="",NOT(ISNUMBER(H84))),"",H84*$D$55)</f>
        <v>141257.7806070923</v>
      </c>
      <c r="J84" s="138" t="n">
        <f>IF(E84="","",MAX(0,E84-$G$44))</f>
        <v>38.265306121053214</v>
      </c>
      <c r="K84" s="138" t="n">
        <f>IF(J84="","",J84*(1+$G$42))</f>
        <v>38.36096938635585</v>
      </c>
      <c r="L84" s="141" t="n">
        <f>IF(K84="","",$J$41+K84)</f>
        <v>128.53954081163778</v>
      </c>
    </row>
    <row r="85" ht="20" customHeight="1">
      <c r="A85"/>
      <c r="B85"/>
      <c r="C85" s="126" t="n">
        <v>0.865</v>
      </c>
      <c r="D85" s="138" t="n">
        <f>IF(C85&lt;$D$54,$G$48-MAX(0,(C85-$G$43)*$D$45)/(1-$J$7),"")</f>
        <v>135000000.00000003</v>
      </c>
      <c r="E85" s="138" t="n">
        <f>IF(D85="","",$G$50/D85)</f>
        <v>132.27513227030713</v>
      </c>
      <c r="F85" s="129" t="n">
        <f>IF(OR(D85="",E85=""),"",E85/D85)</f>
        <v>9.798157945948675e-7</v>
      </c>
      <c r="G85" s="129" t="n">
        <f>IF(OR($D$55="",NOT(ISNUMBER(F85))),"",F85*$D$55)</f>
        <v>0.00015191508915769574</v>
      </c>
      <c r="H85" s="138" t="n">
        <f>IF(NOT(ISNUMBER(F85)),"",F85*$D$45)</f>
        <v>979.8157945948675</v>
      </c>
      <c r="I85" s="138" t="n">
        <f>IF(OR($D$55="",NOT(ISNUMBER(H85))),"",H85*$D$55)</f>
        <v>151915.08915769574</v>
      </c>
      <c r="J85" s="138" t="n">
        <f>IF(E85="","",MAX(0,E85-$G$44))</f>
        <v>42.98941798784978</v>
      </c>
      <c r="K85" s="138" t="n">
        <f>IF(J85="","",J85*(1+$G$42))</f>
        <v>43.0968915328194</v>
      </c>
      <c r="L85" s="141" t="n">
        <f>IF(K85="","",$J$41+K85)</f>
        <v>133.27546295810131</v>
      </c>
    </row>
    <row r="86" ht="20" customHeight="1">
      <c r="A86"/>
      <c r="B86"/>
      <c r="C86" s="126" t="n">
        <v>0.8700000000000001</v>
      </c>
      <c r="D86" s="138" t="n">
        <f>IF(C86&lt;$D$54,$G$48-MAX(0,(C86-$G$43)*$D$45)/(1-$J$7),"")</f>
        <v>129999999.99999991</v>
      </c>
      <c r="E86" s="138" t="n">
        <f>IF(D86="","",$G$50/D86)</f>
        <v>137.36263735762677</v>
      </c>
      <c r="F86" s="129" t="n">
        <f>IF(OR(D86="",E86=""),"",E86/D86)</f>
        <v>0.0000010566356719817452</v>
      </c>
      <c r="G86" s="129" t="n">
        <f>IF(OR($D$55="",NOT(ISNUMBER(F86))),"",F86*$D$55)</f>
        <v>0.0001638255917100006</v>
      </c>
      <c r="H86" s="138" t="n">
        <f>IF(NOT(ISNUMBER(F86)),"",F86*$D$45)</f>
        <v>1056.6356719817452</v>
      </c>
      <c r="I86" s="138" t="n">
        <f>IF(OR($D$55="",NOT(ISNUMBER(H86))),"",H86*$D$55)</f>
        <v>163825.5917100006</v>
      </c>
      <c r="J86" s="138" t="n">
        <f>IF(E86="","",MAX(0,E86-$G$44))</f>
        <v>48.07692307516942</v>
      </c>
      <c r="K86" s="138" t="n">
        <f>IF(J86="","",J86*(1+$G$42))</f>
        <v>48.19711538285734</v>
      </c>
      <c r="L86" s="141" t="n">
        <f>IF(K86="","",$J$41+K86)</f>
        <v>138.37568680813925</v>
      </c>
    </row>
    <row r="87" ht="20" customHeight="1">
      <c r="A87"/>
      <c r="B87"/>
      <c r="C87" s="126" t="n">
        <v>0.875</v>
      </c>
      <c r="D87" s="138" t="n">
        <f>IF(C87&lt;$D$54,$G$48-MAX(0,(C87-$G$43)*$D$45)/(1-$J$7),"")</f>
        <v>125000000.00000001</v>
      </c>
      <c r="E87" s="138" t="n">
        <f>IF(D87="","",$G$50/D87)</f>
        <v>142.8571428519317</v>
      </c>
      <c r="F87" s="129" t="n">
        <f>IF(OR(D87="",E87=""),"",E87/D87)</f>
        <v>0.0000011428571428154535</v>
      </c>
      <c r="G87" s="129" t="n">
        <f>IF(OR($D$55="",NOT(ISNUMBER(F87))),"",F87*$D$55)</f>
        <v>0.0001771937599935363</v>
      </c>
      <c r="H87" s="138" t="n">
        <f>IF(NOT(ISNUMBER(F87)),"",F87*$D$45)</f>
        <v>1142.8571428154535</v>
      </c>
      <c r="I87" s="138" t="n">
        <f>IF(OR($D$55="",NOT(ISNUMBER(H87))),"",H87*$D$55)</f>
        <v>177193.7599935363</v>
      </c>
      <c r="J87" s="138" t="n">
        <f>IF(E87="","",MAX(0,E87-$G$44))</f>
        <v>53.571428569474364</v>
      </c>
      <c r="K87" s="138" t="n">
        <f>IF(J87="","",J87*(1+$G$42))</f>
        <v>53.705357140898045</v>
      </c>
      <c r="L87" s="141" t="n">
        <f>IF(K87="","",$J$41+K87)</f>
        <v>143.88392856617997</v>
      </c>
    </row>
    <row r="88" ht="20" customHeight="1">
      <c r="A88"/>
      <c r="B88"/>
      <c r="C88" s="126" t="n">
        <v>0.88</v>
      </c>
      <c r="D88" s="138" t="n">
        <f>IF(C88&lt;$D$54,$G$48-MAX(0,(C88-$G$43)*$D$45)/(1-$J$7),"")</f>
        <v>120000000.00000001</v>
      </c>
      <c r="E88" s="138" t="n">
        <f>IF(D88="","",$G$50/D88)</f>
        <v>148.80952380409553</v>
      </c>
      <c r="F88" s="129" t="n">
        <f>IF(OR(D88="",E88=""),"",E88/D88)</f>
        <v>0.0000012400793650341293</v>
      </c>
      <c r="G88" s="129" t="n">
        <f>IF(OR($D$55="",NOT(ISNUMBER(F88))),"",F88*$D$55)</f>
        <v>0.00019226753471520867</v>
      </c>
      <c r="H88" s="138" t="n">
        <f>IF(NOT(ISNUMBER(F88)),"",F88*$D$45)</f>
        <v>1240.0793650341293</v>
      </c>
      <c r="I88" s="138" t="n">
        <f>IF(OR($D$55="",NOT(ISNUMBER(H88))),"",H88*$D$55)</f>
        <v>192267.53471520866</v>
      </c>
      <c r="J88" s="138" t="n">
        <f>IF(E88="","",MAX(0,E88-$G$44))</f>
        <v>59.523809521638185</v>
      </c>
      <c r="K88" s="138" t="n">
        <f>IF(J88="","",J88*(1+$G$42))</f>
        <v>59.672619045442275</v>
      </c>
      <c r="L88" s="141" t="n">
        <f>IF(K88="","",$J$41+K88)</f>
        <v>149.8511904707242</v>
      </c>
    </row>
    <row r="89" ht="20" customHeight="1">
      <c r="A89"/>
      <c r="B89"/>
      <c r="C89" s="126" t="n">
        <v>0.885</v>
      </c>
      <c r="D89" s="138" t="n">
        <f>IF(C89&lt;$D$54,$G$48-MAX(0,(C89-$G$43)*$D$45)/(1-$J$7),"")</f>
        <v>115000000</v>
      </c>
      <c r="E89" s="138" t="n">
        <f>IF(D89="","",$G$50/D89)</f>
        <v>155.2795030999258</v>
      </c>
      <c r="F89" s="129" t="n">
        <f>IF(OR(D89="",E89=""),"",E89/D89)</f>
        <v>0.0000013502565486950068</v>
      </c>
      <c r="G89" s="129" t="n">
        <f>IF(OR($D$55="",NOT(ISNUMBER(F89))),"",F89*$D$55)</f>
        <v>0.00020934990547440493</v>
      </c>
      <c r="H89" s="138" t="n">
        <f>IF(NOT(ISNUMBER(F89)),"",F89*$D$45)</f>
        <v>1350.2565486950068</v>
      </c>
      <c r="I89" s="138" t="n">
        <f>IF(OR($D$55="",NOT(ISNUMBER(H89))),"",H89*$D$55)</f>
        <v>209349.90547440495</v>
      </c>
      <c r="J89" s="138" t="n">
        <f>IF(E89="","",MAX(0,E89-$G$44))</f>
        <v>65.99378881746844</v>
      </c>
      <c r="K89" s="138" t="n">
        <f>IF(J89="","",J89*(1+$G$42))</f>
        <v>66.15877328951211</v>
      </c>
      <c r="L89" s="141" t="n">
        <f>IF(K89="","",$J$41+K89)</f>
        <v>156.33734471479403</v>
      </c>
    </row>
    <row r="90" ht="20" customHeight="1">
      <c r="A90"/>
      <c r="B90"/>
      <c r="C90" s="126" t="n">
        <v>0.89</v>
      </c>
      <c r="D90" s="138" t="n">
        <f>IF(C90&lt;$D$54,$G$48-MAX(0,(C90-$G$43)*$D$45)/(1-$J$7),"")</f>
        <v>110000000</v>
      </c>
      <c r="E90" s="138" t="n">
        <f>IF(D90="","",$G$50/D90)</f>
        <v>162.3376623317406</v>
      </c>
      <c r="F90" s="129" t="n">
        <f>IF(OR(D90="",E90=""),"",E90/D90)</f>
        <v>0.0000014757969302885509</v>
      </c>
      <c r="G90" s="129" t="n">
        <f>IF(OR($D$55="",NOT(ISNUMBER(F90))),"",F90*$D$55)</f>
        <v>0.00022881425619000046</v>
      </c>
      <c r="H90" s="138" t="n">
        <f>IF(NOT(ISNUMBER(F90)),"",F90*$D$45)</f>
        <v>1475.7969302885508</v>
      </c>
      <c r="I90" s="138" t="n">
        <f>IF(OR($D$55="",NOT(ISNUMBER(H90))),"",H90*$D$55)</f>
        <v>228814.25619000045</v>
      </c>
      <c r="J90" s="138" t="n">
        <f>IF(E90="","",MAX(0,E90-$G$44))</f>
        <v>73.05194804928325</v>
      </c>
      <c r="K90" s="138" t="n">
        <f>IF(J90="","",J90*(1+$G$42))</f>
        <v>73.23457791940646</v>
      </c>
      <c r="L90" s="141" t="n">
        <f>IF(K90="","",$J$41+K90)</f>
        <v>163.41314934468838</v>
      </c>
    </row>
    <row r="91" ht="20" customHeight="1">
      <c r="A91"/>
      <c r="B91"/>
      <c r="C91" s="126" t="n">
        <v>0.895</v>
      </c>
      <c r="D91" s="138" t="n">
        <f>IF(C91&lt;$D$54,$G$48-MAX(0,(C91-$G$43)*$D$45)/(1-$J$7),"")</f>
        <v>105000000</v>
      </c>
      <c r="E91" s="138" t="n">
        <f>IF(D91="","",$G$50/D91)</f>
        <v>170.06802720468065</v>
      </c>
      <c r="F91" s="129" t="n">
        <f>IF(OR(D91="",E91=""),"",E91/D91)</f>
        <v>0.0000016196954971874346</v>
      </c>
      <c r="G91" s="129" t="n">
        <f>IF(OR($D$55="",NOT(ISNUMBER(F91))),"",F91*$D$55)</f>
        <v>0.0002511249433014971</v>
      </c>
      <c r="H91" s="138" t="n">
        <f>IF(NOT(ISNUMBER(F91)),"",F91*$D$45)</f>
        <v>1619.6954971874347</v>
      </c>
      <c r="I91" s="138" t="n">
        <f>IF(OR($D$55="",NOT(ISNUMBER(H91))),"",H91*$D$55)</f>
        <v>251124.94330149714</v>
      </c>
      <c r="J91" s="138" t="n">
        <f>IF(E91="","",MAX(0,E91-$G$44))</f>
        <v>80.7823129222233</v>
      </c>
      <c r="K91" s="138" t="n">
        <f>IF(J91="","",J91*(1+$G$42))</f>
        <v>80.98426870452886</v>
      </c>
      <c r="L91" s="141" t="n">
        <f>IF(K91="","",$J$41+K91)</f>
        <v>171.16284012981077</v>
      </c>
    </row>
    <row r="92" ht="20" customHeight="1">
      <c r="A92"/>
      <c r="B92"/>
      <c r="C92" s="126" t="n">
        <v>0.9</v>
      </c>
      <c r="D92" s="138" t="n">
        <f>IF(C92&lt;$D$54,$G$48-MAX(0,(C92-$G$43)*$D$45)/(1-$J$7),"")</f>
        <v>99999999.99999999</v>
      </c>
      <c r="E92" s="138" t="n">
        <f>IF(D92="","",$G$50/D92)</f>
        <v>178.5714285649147</v>
      </c>
      <c r="F92" s="129" t="n">
        <f>IF(OR(D92="",E92=""),"",E92/D92)</f>
        <v>0.0000017857142856491472</v>
      </c>
      <c r="G92" s="129" t="n">
        <f>IF(OR($D$55="",NOT(ISNUMBER(F92))),"",F92*$D$55)</f>
        <v>0.00027686524998990063</v>
      </c>
      <c r="H92" s="138" t="n">
        <f>IF(NOT(ISNUMBER(F92)),"",F92*$D$45)</f>
        <v>1785.714285649147</v>
      </c>
      <c r="I92" s="138" t="n">
        <f>IF(OR($D$55="",NOT(ISNUMBER(H92))),"",H92*$D$55)</f>
        <v>276865.2499899006</v>
      </c>
      <c r="J92" s="138" t="n">
        <f>IF(E92="","",MAX(0,E92-$G$44))</f>
        <v>89.28571428245735</v>
      </c>
      <c r="K92" s="138" t="n">
        <f>IF(J92="","",J92*(1+$G$42))</f>
        <v>89.50892856816348</v>
      </c>
      <c r="L92" s="141" t="n">
        <f>IF(K92="","",$J$41+K92)</f>
        <v>179.68749999344539</v>
      </c>
    </row>
    <row r="93" ht="20" customHeight="1">
      <c r="A93"/>
      <c r="B93"/>
      <c r="C93" s="126" t="n">
        <v>0.905</v>
      </c>
      <c r="D93" s="138" t="n">
        <f>IF(C93&lt;$D$54,$G$48-MAX(0,(C93-$G$43)*$D$45)/(1-$J$7),"")</f>
        <v>94999999.99999999</v>
      </c>
      <c r="E93" s="138" t="n">
        <f>IF(D93="","",$G$50/D93)</f>
        <v>187.96992480517335</v>
      </c>
      <c r="F93" s="129" t="n">
        <f>IF(OR(D93="",E93=""),"",E93/D93)</f>
        <v>0.0000019786307874228778</v>
      </c>
      <c r="G93" s="129" t="n">
        <f>IF(OR($D$55="",NOT(ISNUMBER(F93))),"",F93*$D$55)</f>
        <v>0.0003067759002658179</v>
      </c>
      <c r="H93" s="138" t="n">
        <f>IF(NOT(ISNUMBER(F93)),"",F93*$D$45)</f>
        <v>1978.6307874228778</v>
      </c>
      <c r="I93" s="138" t="n">
        <f>IF(OR($D$55="",NOT(ISNUMBER(H93))),"",H93*$D$55)</f>
        <v>306775.9002658179</v>
      </c>
      <c r="J93" s="138" t="n">
        <f>IF(E93="","",MAX(0,E93-$G$44))</f>
        <v>98.684210522716</v>
      </c>
      <c r="K93" s="138" t="n">
        <f>IF(J93="","",J93*(1+$G$42))</f>
        <v>98.93092104902279</v>
      </c>
      <c r="L93" s="141" t="n">
        <f>IF(K93="","",$J$41+K93)</f>
        <v>189.10949247430472</v>
      </c>
    </row>
    <row r="94" ht="20" customHeight="1">
      <c r="A94"/>
      <c r="B94"/>
      <c r="C94" s="126" t="n">
        <v>0.91</v>
      </c>
      <c r="D94" s="138" t="n">
        <f>IF(C94&lt;$D$54,$G$48-MAX(0,(C94-$G$43)*$D$45)/(1-$J$7),"")</f>
        <v>89999999.99999999</v>
      </c>
      <c r="E94" s="138" t="n">
        <f>IF(D94="","",$G$50/D94)</f>
        <v>198.41269840546076</v>
      </c>
      <c r="F94" s="129" t="n">
        <f>IF(OR(D94="",E94=""),"",E94/D94)</f>
        <v>0.0000022045855378384533</v>
      </c>
      <c r="G94" s="129" t="n">
        <f>IF(OR($D$55="",NOT(ISNUMBER(F94))),"",F94*$D$55)</f>
        <v>0.0003418089506048156</v>
      </c>
      <c r="H94" s="138" t="n">
        <f>IF(NOT(ISNUMBER(F94)),"",F94*$D$45)</f>
        <v>2204.5855378384535</v>
      </c>
      <c r="I94" s="138" t="n">
        <f>IF(OR($D$55="",NOT(ISNUMBER(H94))),"",H94*$D$55)</f>
        <v>341808.9506048157</v>
      </c>
      <c r="J94" s="138" t="n">
        <f>IF(E94="","",MAX(0,E94-$G$44))</f>
        <v>109.12698412300341</v>
      </c>
      <c r="K94" s="138" t="n">
        <f>IF(J94="","",J94*(1+$G$42))</f>
        <v>109.39980158331092</v>
      </c>
      <c r="L94" s="141" t="n">
        <f>IF(K94="","",$J$41+K94)</f>
        <v>199.57837300859285</v>
      </c>
    </row>
    <row r="95" ht="20" customHeight="1">
      <c r="A95"/>
      <c r="B95"/>
      <c r="C95" s="126" t="n">
        <v>0.915</v>
      </c>
      <c r="D95" s="138" t="n">
        <f>IF(C95&lt;$D$54,$G$48-MAX(0,(C95-$G$43)*$D$45)/(1-$J$7),"")</f>
        <v>84999999.99999999</v>
      </c>
      <c r="E95" s="138" t="n">
        <f>IF(D95="","",$G$50/D95)</f>
        <v>210.084033605782</v>
      </c>
      <c r="F95" s="129" t="n">
        <f>IF(OR(D95="",E95=""),"",E95/D95)</f>
        <v>0.000002471576865950377</v>
      </c>
      <c r="G95" s="129" t="n">
        <f>IF(OR($D$55="",NOT(ISNUMBER(F95))),"",F95*$D$55)</f>
        <v>0.00038320449825591786</v>
      </c>
      <c r="H95" s="138" t="n">
        <f>IF(NOT(ISNUMBER(F95)),"",F95*$D$45)</f>
        <v>2471.576865950377</v>
      </c>
      <c r="I95" s="138" t="n">
        <f>IF(OR($D$55="",NOT(ISNUMBER(H95))),"",H95*$D$55)</f>
        <v>383204.49825591786</v>
      </c>
      <c r="J95" s="138" t="n">
        <f>IF(E95="","",MAX(0,E95-$G$44))</f>
        <v>120.79831932332465</v>
      </c>
      <c r="K95" s="138" t="n">
        <f>IF(J95="","",J95*(1+$G$42))</f>
        <v>121.10031512163296</v>
      </c>
      <c r="L95" s="141" t="n">
        <f>IF(K95="","",$J$41+K95)</f>
        <v>211.27888654691486</v>
      </c>
    </row>
    <row r="96" ht="20" customHeight="1">
      <c r="A96"/>
      <c r="B96"/>
      <c r="C96" s="126" t="n">
        <v>0.92</v>
      </c>
      <c r="D96" s="138" t="n">
        <f>IF(C96&lt;$D$54,$G$48-MAX(0,(C96-$G$43)*$D$45)/(1-$J$7),"")</f>
        <v>79999999.99999997</v>
      </c>
      <c r="E96" s="138" t="n">
        <f>IF(D96="","",$G$50/D96)</f>
        <v>223.21428570614341</v>
      </c>
      <c r="F96" s="129" t="n">
        <f>IF(OR(D96="",E96=""),"",E96/D96)</f>
        <v>0.0000027901785713267936</v>
      </c>
      <c r="G96" s="129" t="n">
        <f>IF(OR($D$55="",NOT(ISNUMBER(F96))),"",F96*$D$55)</f>
        <v>0.0004326019531092199</v>
      </c>
      <c r="H96" s="138" t="n">
        <f>IF(NOT(ISNUMBER(F96)),"",F96*$D$45)</f>
        <v>2790.1785713267936</v>
      </c>
      <c r="I96" s="138" t="n">
        <f>IF(OR($D$55="",NOT(ISNUMBER(H96))),"",H96*$D$55)</f>
        <v>432601.95310921996</v>
      </c>
      <c r="J96" s="138" t="n">
        <f>IF(E96="","",MAX(0,E96-$G$44))</f>
        <v>133.92857142368607</v>
      </c>
      <c r="K96" s="138" t="n">
        <f>IF(J96="","",J96*(1+$G$42))</f>
        <v>134.26339285224526</v>
      </c>
      <c r="L96" s="141" t="n">
        <f>IF(K96="","",$J$41+K96)</f>
        <v>224.44196427752718</v>
      </c>
    </row>
    <row r="97" ht="20" customHeight="1">
      <c r="A97"/>
      <c r="B97"/>
      <c r="C97" s="126" t="n">
        <v>0.925</v>
      </c>
      <c r="D97" s="138" t="n">
        <f>IF(C97&lt;$D$54,$G$48-MAX(0,(C97-$G$43)*$D$45)/(1-$J$7),"")</f>
        <v>74999999.99999997</v>
      </c>
      <c r="E97" s="138" t="n">
        <f>IF(D97="","",$G$50/D97)</f>
        <v>238.09523808655297</v>
      </c>
      <c r="F97" s="129" t="n">
        <f>IF(OR(D97="",E97=""),"",E97/D97)</f>
        <v>0.0000031746031744873742</v>
      </c>
      <c r="G97" s="129" t="n">
        <f>IF(OR($D$55="",NOT(ISNUMBER(F97))),"",F97*$D$55)</f>
        <v>0.0004922048888709347</v>
      </c>
      <c r="H97" s="138" t="n">
        <f>IF(NOT(ISNUMBER(F97)),"",F97*$D$45)</f>
        <v>3174.6031744873744</v>
      </c>
      <c r="I97" s="138" t="n">
        <f>IF(OR($D$55="",NOT(ISNUMBER(H97))),"",H97*$D$55)</f>
        <v>492204.8888709347</v>
      </c>
      <c r="J97" s="138" t="n">
        <f>IF(E97="","",MAX(0,E97-$G$44))</f>
        <v>148.80952380409562</v>
      </c>
      <c r="K97" s="138" t="n">
        <f>IF(J97="","",J97*(1+$G$42))</f>
        <v>149.18154761360586</v>
      </c>
      <c r="L97" s="141" t="n">
        <f>IF(K97="","",$J$41+K97)</f>
        <v>239.36011903888777</v>
      </c>
    </row>
    <row r="98" ht="20" customHeight="1">
      <c r="A98"/>
      <c r="B98"/>
      <c r="C98" s="126" t="n">
        <v>0.93</v>
      </c>
      <c r="D98" s="138" t="n">
        <f>IF(C98&lt;$D$54,$G$48-MAX(0,(C98-$G$43)*$D$45)/(1-$J$7),"")</f>
        <v>69999999.99999997</v>
      </c>
      <c r="E98" s="138" t="n">
        <f>IF(D98="","",$G$50/D98)</f>
        <v>255.10204080702107</v>
      </c>
      <c r="F98" s="129" t="n">
        <f>IF(OR(D98="",E98=""),"",E98/D98)</f>
        <v>0.000003644314868671731</v>
      </c>
      <c r="G98" s="129" t="n">
        <f>IF(OR($D$55="",NOT(ISNUMBER(F98))),"",F98*$D$55)</f>
        <v>0.000565031122428369</v>
      </c>
      <c r="H98" s="138" t="n">
        <f>IF(NOT(ISNUMBER(F98)),"",F98*$D$45)</f>
        <v>3644.3148686717313</v>
      </c>
      <c r="I98" s="138" t="n">
        <f>IF(OR($D$55="",NOT(ISNUMBER(H98))),"",H98*$D$55)</f>
        <v>565031.122428369</v>
      </c>
      <c r="J98" s="138" t="n">
        <f>IF(E98="","",MAX(0,E98-$G$44))</f>
        <v>165.81632652456372</v>
      </c>
      <c r="K98" s="138" t="n">
        <f>IF(J98="","",J98*(1+$G$42))</f>
        <v>166.2308673408751</v>
      </c>
      <c r="L98" s="141" t="n">
        <f>IF(K98="","",$J$41+K98)</f>
        <v>256.409438766157</v>
      </c>
    </row>
    <row r="99" ht="20" customHeight="1">
      <c r="A99"/>
      <c r="B99"/>
      <c r="C99" s="126" t="n">
        <v>0.935</v>
      </c>
      <c r="D99" s="138" t="n">
        <f>IF(C99&lt;$D$54,$G$48-MAX(0,(C99-$G$43)*$D$45)/(1-$J$7),"")</f>
        <v>64999999.99999997</v>
      </c>
      <c r="E99" s="138" t="n">
        <f>IF(D99="","",$G$50/D99)</f>
        <v>274.7252747152535</v>
      </c>
      <c r="F99" s="129" t="n">
        <f>IF(OR(D99="",E99=""),"",E99/D99)</f>
        <v>0.000004226542687926978</v>
      </c>
      <c r="G99" s="129" t="n">
        <f>IF(OR($D$55="",NOT(ISNUMBER(F99))),"",F99*$D$55)</f>
        <v>0.0006553023668400019</v>
      </c>
      <c r="H99" s="138" t="n">
        <f>IF(NOT(ISNUMBER(F99)),"",F99*$D$45)</f>
        <v>4226.542687926978</v>
      </c>
      <c r="I99" s="138" t="n">
        <f>IF(OR($D$55="",NOT(ISNUMBER(H99))),"",H99*$D$55)</f>
        <v>655302.3668400019</v>
      </c>
      <c r="J99" s="138" t="n">
        <f>IF(E99="","",MAX(0,E99-$G$44))</f>
        <v>185.43956043279613</v>
      </c>
      <c r="K99" s="138" t="n">
        <f>IF(J99="","",J99*(1+$G$42))</f>
        <v>185.9031593338781</v>
      </c>
      <c r="L99" s="141" t="n">
        <f>IF(K99="","",$J$41+K99)</f>
        <v>276.08173075916</v>
      </c>
    </row>
    <row r="100" ht="20" customHeight="1">
      <c r="A100"/>
      <c r="B100"/>
      <c r="C100" s="126" t="n">
        <v>0.9400000000000001</v>
      </c>
      <c r="D100" s="138" t="n">
        <f>IF(C100&lt;$D$54,$G$48-MAX(0,(C100-$G$43)*$D$45)/(1-$J$7),"")</f>
        <v>59999999.99999997</v>
      </c>
      <c r="E100" s="138" t="n">
        <f>IF(D100="","",$G$50/D100)</f>
        <v>297.61904760819124</v>
      </c>
      <c r="F100" s="129" t="n">
        <f>IF(OR(D100="",E100=""),"",E100/D100)</f>
        <v>0.000004960317460136523</v>
      </c>
      <c r="G100" s="129" t="n">
        <f>IF(OR($D$55="",NOT(ISNUMBER(F100))),"",F100*$D$55)</f>
        <v>0.0007690701388608357</v>
      </c>
      <c r="H100" s="138" t="n">
        <f>IF(NOT(ISNUMBER(F100)),"",F100*$D$45)</f>
        <v>4960.317460136523</v>
      </c>
      <c r="I100" s="138" t="n">
        <f>IF(OR($D$55="",NOT(ISNUMBER(H100))),"",H100*$D$55)</f>
        <v>769070.1388608356</v>
      </c>
      <c r="J100" s="138" t="n">
        <f>IF(E100="","",MAX(0,E100-$G$44))</f>
        <v>208.3333333257339</v>
      </c>
      <c r="K100" s="138" t="n">
        <f>IF(J100="","",J100*(1+$G$42))</f>
        <v>208.85416665904822</v>
      </c>
      <c r="L100" s="141" t="n">
        <f>IF(K100="","",$J$41+K100)</f>
        <v>299.03273808433016</v>
      </c>
    </row>
    <row r="101" ht="20" customHeight="1">
      <c r="A101"/>
      <c r="B101"/>
      <c r="C101" s="126" t="n">
        <v>0.9450000000000001</v>
      </c>
      <c r="D101" s="138" t="n">
        <f>IF(C101&lt;$D$54,$G$48-MAX(0,(C101-$G$43)*$D$45)/(1-$J$7),"")</f>
        <v>54999999.99999994</v>
      </c>
      <c r="E101" s="138" t="n">
        <f>IF(D101="","",$G$50/D101)</f>
        <v>324.67532466348155</v>
      </c>
      <c r="F101" s="129" t="n">
        <f>IF(OR(D101="",E101=""),"",E101/D101)</f>
        <v>0.000005903187721154216</v>
      </c>
      <c r="G101" s="129" t="n">
        <f>IF(OR($D$55="",NOT(ISNUMBER(F101))),"",F101*$D$55)</f>
        <v>0.0009152570247600038</v>
      </c>
      <c r="H101" s="138" t="n">
        <f>IF(NOT(ISNUMBER(F101)),"",F101*$D$45)</f>
        <v>5903.187721154216</v>
      </c>
      <c r="I101" s="138" t="n">
        <f>IF(OR($D$55="",NOT(ISNUMBER(H101))),"",H101*$D$55)</f>
        <v>915257.0247600038</v>
      </c>
      <c r="J101" s="138" t="n">
        <f>IF(E101="","",MAX(0,E101-$G$44))</f>
        <v>235.3896103810242</v>
      </c>
      <c r="K101" s="138" t="n">
        <f>IF(J101="","",J101*(1+$G$42))</f>
        <v>235.97808440697673</v>
      </c>
      <c r="L101" s="141" t="n">
        <f>IF(K101="","",$J$41+K101)</f>
        <v>326.15665583225865</v>
      </c>
    </row>
    <row r="102" ht="20" customHeight="1">
      <c r="A102"/>
      <c r="B102"/>
      <c r="C102" s="126" t="n">
        <v>0.9500000000000001</v>
      </c>
      <c r="D102" s="138" t="n">
        <f>IF(C102&lt;$D$54,$G$48-MAX(0,(C102-$G$43)*$D$45)/(1-$J$7),"")</f>
        <v>49999999.99999994</v>
      </c>
      <c r="E102" s="138" t="n">
        <f>IF(D102="","",$G$50/D102)</f>
        <v>357.14285712982974</v>
      </c>
      <c r="F102" s="129" t="n">
        <f>IF(OR(D102="",E102=""),"",E102/D102)</f>
        <v>0.000007142857142596603</v>
      </c>
      <c r="G102" s="129" t="n">
        <f>IF(OR($D$55="",NOT(ISNUMBER(F102))),"",F102*$D$55)</f>
        <v>0.0011074609999596047</v>
      </c>
      <c r="H102" s="138" t="n">
        <f>IF(NOT(ISNUMBER(F102)),"",F102*$D$45)</f>
        <v>7142.857142596603</v>
      </c>
      <c r="I102" s="138" t="n">
        <f>IF(OR($D$55="",NOT(ISNUMBER(H102))),"",H102*$D$55)</f>
        <v>1107460.9999596048</v>
      </c>
      <c r="J102" s="138" t="n">
        <f>IF(E102="","",MAX(0,E102-$G$44))</f>
        <v>267.8571428473724</v>
      </c>
      <c r="K102" s="138" t="n">
        <f>IF(J102="","",J102*(1+$G$42))</f>
        <v>268.5267857044908</v>
      </c>
      <c r="L102" s="141" t="n">
        <f>IF(K102="","",$J$41+K102)</f>
        <v>358.7053571297727</v>
      </c>
    </row>
    <row r="103" ht="20" customHeight="1">
      <c r="A103"/>
      <c r="B103"/>
      <c r="C103" s="126" t="n">
        <v>0.9550000000000001</v>
      </c>
      <c r="D103" s="138" t="n">
        <f>IF(C103&lt;$D$54,$G$48-MAX(0,(C103-$G$43)*$D$45)/(1-$J$7),"")</f>
        <v>44999999.99999994</v>
      </c>
      <c r="E103" s="138" t="n">
        <f>IF(D103="","",$G$50/D103)</f>
        <v>396.82539681092203</v>
      </c>
      <c r="F103" s="129" t="n">
        <f>IF(OR(D103="",E103=""),"",E103/D103)</f>
        <v>0.000008818342151353835</v>
      </c>
      <c r="G103" s="129" t="n">
        <f>IF(OR($D$55="",NOT(ISNUMBER(F103))),"",F103*$D$55)</f>
        <v>0.0013672358024192659</v>
      </c>
      <c r="H103" s="138" t="n">
        <f>IF(NOT(ISNUMBER(F103)),"",F103*$D$45)</f>
        <v>8818.342151353836</v>
      </c>
      <c r="I103" s="138" t="n">
        <f>IF(OR($D$55="",NOT(ISNUMBER(H103))),"",H103*$D$55)</f>
        <v>1367235.802419266</v>
      </c>
      <c r="J103" s="138" t="n">
        <f>IF(E103="","",MAX(0,E103-$G$44))</f>
        <v>307.5396825284647</v>
      </c>
      <c r="K103" s="138" t="n">
        <f>IF(J103="","",J103*(1+$G$42))</f>
        <v>308.30853173478584</v>
      </c>
      <c r="L103" s="141" t="n">
        <f>IF(K103="","",$J$41+K103)</f>
        <v>398.48710316006776</v>
      </c>
    </row>
    <row r="104" ht="20" customHeight="1">
      <c r="A104"/>
      <c r="B104"/>
      <c r="C104" s="126" t="n">
        <v>0.9600000000000001</v>
      </c>
      <c r="D104" s="138" t="n">
        <f>IF(C104&lt;$D$54,$G$48-MAX(0,(C104-$G$43)*$D$45)/(1-$J$7),"")</f>
        <v>39999999.99999994</v>
      </c>
      <c r="E104" s="138" t="n">
        <f>IF(D104="","",$G$50/D104)</f>
        <v>446.42857141228734</v>
      </c>
      <c r="F104" s="129" t="n">
        <f>IF(OR(D104="",E104=""),"",E104/D104)</f>
        <v>0.0000111607142853072</v>
      </c>
      <c r="G104" s="129" t="n">
        <f>IF(OR($D$55="",NOT(ISNUMBER(F104))),"",F104*$D$55)</f>
        <v>0.0017304078124368836</v>
      </c>
      <c r="H104" s="138" t="n">
        <f>IF(NOT(ISNUMBER(F104)),"",F104*$D$45)</f>
        <v>11160.7142853072</v>
      </c>
      <c r="I104" s="138" t="n">
        <f>IF(OR($D$55="",NOT(ISNUMBER(H104))),"",H104*$D$55)</f>
        <v>1730407.8124368838</v>
      </c>
      <c r="J104" s="138" t="n">
        <f>IF(E104="","",MAX(0,E104-$G$44))</f>
        <v>357.14285712982996</v>
      </c>
      <c r="K104" s="138" t="n">
        <f>IF(J104="","",J104*(1+$G$42))</f>
        <v>358.0357142726545</v>
      </c>
      <c r="L104" s="141" t="n">
        <f>IF(K104="","",$J$41+K104)</f>
        <v>448.2142856979364</v>
      </c>
    </row>
    <row r="105" ht="20" customHeight="1">
      <c r="A105"/>
      <c r="B105"/>
      <c r="C105" s="126" t="n">
        <v>0.9650000000000001</v>
      </c>
      <c r="D105" s="138" t="n">
        <f>IF(C105&lt;$D$54,$G$48-MAX(0,(C105-$G$43)*$D$45)/(1-$J$7),"")</f>
        <v>34999999.99999994</v>
      </c>
      <c r="E105" s="138" t="n">
        <f>IF(D105="","",$G$50/D105)</f>
        <v>510.20408161404276</v>
      </c>
      <c r="F105" s="129" t="n">
        <f>IF(OR(D105="",E105=""),"",E105/D105)</f>
        <v>0.00001457725947468696</v>
      </c>
      <c r="G105" s="129" t="n">
        <f>IF(OR($D$55="",NOT(ISNUMBER(F105))),"",F105*$D$55)</f>
        <v>0.0022601244897134816</v>
      </c>
      <c r="H105" s="138" t="n">
        <f>IF(NOT(ISNUMBER(F105)),"",F105*$D$45)</f>
        <v>14577.25947468696</v>
      </c>
      <c r="I105" s="138" t="n">
        <f>IF(OR($D$55="",NOT(ISNUMBER(H105))),"",H105*$D$55)</f>
        <v>2260124.4897134816</v>
      </c>
      <c r="J105" s="138" t="n">
        <f>IF(E105="","",MAX(0,E105-$G$44))</f>
        <v>420.9183673315854</v>
      </c>
      <c r="K105" s="138" t="n">
        <f>IF(J105="","",J105*(1+$G$42))</f>
        <v>421.9706632499143</v>
      </c>
      <c r="L105" s="141" t="n">
        <f>IF(K105="","",$J$41+K105)</f>
        <v>512.1492346751962</v>
      </c>
    </row>
    <row r="106" ht="20" customHeight="1">
      <c r="A106"/>
      <c r="B106"/>
      <c r="C106" s="126" t="n">
        <v>0.9700000000000001</v>
      </c>
      <c r="D106" s="138" t="n">
        <f>IF(C106&lt;$D$54,$G$48-MAX(0,(C106-$G$43)*$D$45)/(1-$J$7),"")</f>
        <v>29999999.99999994</v>
      </c>
      <c r="E106" s="138" t="n">
        <f>IF(D106="","",$G$50/D106)</f>
        <v>595.2380952163834</v>
      </c>
      <c r="F106" s="129" t="n">
        <f>IF(OR(D106="",E106=""),"",E106/D106)</f>
        <v>0.000019841269840546153</v>
      </c>
      <c r="G106" s="129" t="n">
        <f>IF(OR($D$55="",NOT(ISNUMBER(F106))),"",F106*$D$55)</f>
        <v>0.0030762805554433517</v>
      </c>
      <c r="H106" s="138" t="n">
        <f>IF(NOT(ISNUMBER(F106)),"",F106*$D$45)</f>
        <v>19841.269840546152</v>
      </c>
      <c r="I106" s="138" t="n">
        <f>IF(OR($D$55="",NOT(ISNUMBER(H106))),"",H106*$D$55)</f>
        <v>3076280.5554433516</v>
      </c>
      <c r="J106" s="138" t="n">
        <f>IF(E106="","",MAX(0,E106-$G$44))</f>
        <v>505.95238093392607</v>
      </c>
      <c r="K106" s="138" t="n">
        <f>IF(J106="","",J106*(1+$G$42))</f>
        <v>507.21726188626087</v>
      </c>
      <c r="L106" s="141" t="n">
        <f>IF(K106="","",$J$41+K106)</f>
        <v>597.3958333115428</v>
      </c>
    </row>
    <row r="107" ht="20" customHeight="1">
      <c r="A107"/>
      <c r="B107"/>
      <c r="C107" s="126" t="n">
        <v>0.9750000000000001</v>
      </c>
      <c r="D107" s="138" t="n">
        <f>IF(C107&lt;$D$54,$G$48-MAX(0,(C107-$G$43)*$D$45)/(1-$J$7),"")</f>
        <v>24999999.99999994</v>
      </c>
      <c r="E107" s="138" t="n">
        <f>IF(D107="","",$G$50/D107)</f>
        <v>714.2857142596604</v>
      </c>
      <c r="F107" s="129" t="n">
        <f>IF(OR(D107="",E107=""),"",E107/D107)</f>
        <v>0.000028571428570386483</v>
      </c>
      <c r="G107" s="129" t="n">
        <f>IF(OR($D$55="",NOT(ISNUMBER(F107))),"",F107*$D$55)</f>
        <v>0.00442984399983843</v>
      </c>
      <c r="H107" s="138" t="n">
        <f>IF(NOT(ISNUMBER(F107)),"",F107*$D$45)</f>
        <v>28571.428570386484</v>
      </c>
      <c r="I107" s="138" t="n">
        <f>IF(OR($D$55="",NOT(ISNUMBER(H107))),"",H107*$D$55)</f>
        <v>4429843.99983843</v>
      </c>
      <c r="J107" s="138" t="n">
        <f>IF(E107="","",MAX(0,E107-$G$44))</f>
        <v>624.9999999772031</v>
      </c>
      <c r="K107" s="138" t="n">
        <f>IF(J107="","",J107*(1+$G$42))</f>
        <v>626.562499977146</v>
      </c>
      <c r="L107" s="141" t="n">
        <f>IF(K107="","",$J$41+K107)</f>
        <v>716.7410714024279</v>
      </c>
    </row>
    <row r="108" ht="20" customHeight="1">
      <c r="A108"/>
      <c r="B108"/>
      <c r="C108" s="126" t="n">
        <v>0.98</v>
      </c>
      <c r="D108" s="138" t="n">
        <f>IF(C108&lt;$D$54,$G$48-MAX(0,(C108-$G$43)*$D$45)/(1-$J$7),"")</f>
        <v>20000000.00000003</v>
      </c>
      <c r="E108" s="138" t="n">
        <f>IF(D108="","",$G$50/D108)</f>
        <v>892.857142824572</v>
      </c>
      <c r="F108" s="129" t="n">
        <f>IF(OR(D108="",E108=""),"",E108/D108)</f>
        <v>0.00004464285714122853</v>
      </c>
      <c r="G108" s="129" t="n">
        <f>IF(OR($D$55="",NOT(ISNUMBER(F108))),"",F108*$D$55)</f>
        <v>0.006921631249747493</v>
      </c>
      <c r="H108" s="138" t="n">
        <f>IF(NOT(ISNUMBER(F108)),"",F108*$D$45)</f>
        <v>44642.85714122853</v>
      </c>
      <c r="I108" s="138" t="n">
        <f>IF(OR($D$55="",NOT(ISNUMBER(H108))),"",H108*$D$55)</f>
        <v>6921631.249747493</v>
      </c>
      <c r="J108" s="138" t="n">
        <f>IF(E108="","",MAX(0,E108-$G$44))</f>
        <v>803.5714285421146</v>
      </c>
      <c r="K108" s="138" t="n">
        <f>IF(J108="","",J108*(1+$G$42))</f>
        <v>805.5803571134699</v>
      </c>
      <c r="L108" s="141" t="n">
        <f>IF(K108="","",$J$41+K108)</f>
        <v>895.7589285387518</v>
      </c>
    </row>
    <row r="109" ht="20" customHeight="1">
      <c r="A109"/>
      <c r="B109"/>
      <c r="C109" s="126" t="n">
        <v>0.9850000000000001</v>
      </c>
      <c r="D109" s="138" t="n">
        <f>IF(C109&lt;$D$54,$G$48-MAX(0,(C109-$G$43)*$D$45)/(1-$J$7),"")</f>
        <v>14999999.99999991</v>
      </c>
      <c r="E109" s="138" t="n">
        <f>IF(D109="","",$G$50/D109)</f>
        <v>1190.4761904327715</v>
      </c>
      <c r="F109" s="129" t="n">
        <f>IF(OR(D109="",E109=""),"",E109/D109)</f>
        <v>0.00007936507936218524</v>
      </c>
      <c r="G109" s="129" t="n">
        <f>IF(OR($D$55="",NOT(ISNUMBER(F109))),"",F109*$D$55)</f>
        <v>0.012305122221773504</v>
      </c>
      <c r="H109" s="138" t="n">
        <f>IF(NOT(ISNUMBER(F109)),"",F109*$D$45)</f>
        <v>79365.07936218524</v>
      </c>
      <c r="I109" s="138" t="n">
        <f>IF(OR($D$55="",NOT(ISNUMBER(H109))),"",H109*$D$55)</f>
        <v>12305122.221773503</v>
      </c>
      <c r="J109" s="138" t="n">
        <f>IF(E109="","",MAX(0,E109-$G$44))</f>
        <v>1101.1904761503142</v>
      </c>
      <c r="K109" s="138" t="n">
        <f>IF(J109="","",J109*(1+$G$42))</f>
        <v>1103.9434523406899</v>
      </c>
      <c r="L109" s="141" t="n">
        <f>IF(K109="","",$J$41+K109)</f>
        <v>1194.1220237659718</v>
      </c>
    </row>
    <row r="110" ht="20" customHeight="1">
      <c r="A110"/>
      <c r="B110"/>
      <c r="C110" s="126" t="n">
        <v>0.99</v>
      </c>
      <c r="D110" s="138" t="n">
        <f>IF(C110&lt;$D$54,$G$48-MAX(0,(C110-$G$43)*$D$45)/(1-$J$7),"")</f>
        <v>10000000.00000003</v>
      </c>
      <c r="E110" s="138" t="n">
        <f>IF(D110="","",$G$50/D110)</f>
        <v>1785.7142856491414</v>
      </c>
      <c r="F110" s="129" t="n">
        <f>IF(OR(D110="",E110=""),"",E110/D110)</f>
        <v>0.0001785714285649136</v>
      </c>
      <c r="G110" s="129" t="n">
        <f>IF(OR($D$55="",NOT(ISNUMBER(F110))),"",F110*$D$55)</f>
        <v>0.02768652499898989</v>
      </c>
      <c r="H110" s="138" t="n">
        <f>IF(NOT(ISNUMBER(F110)),"",F110*$D$45)</f>
        <v>178571.4285649136</v>
      </c>
      <c r="I110" s="138" t="n">
        <f>IF(OR($D$55="",NOT(ISNUMBER(H110))),"",H110*$D$55)</f>
        <v>27686524.99898989</v>
      </c>
      <c r="J110" s="138" t="n">
        <f>IF(E110="","",MAX(0,E110-$G$44))</f>
        <v>1696.428571366684</v>
      </c>
      <c r="K110" s="138" t="n">
        <f>IF(J110="","",J110*(1+$G$42))</f>
        <v>1700.6696427951008</v>
      </c>
      <c r="L110" s="141" t="n">
        <f>IF(K110="","",$J$41+K110)</f>
        <v>1790.8482142203827</v>
      </c>
    </row>
    <row r="111" ht="20" customHeight="1">
      <c r="A111"/>
      <c r="B111"/>
      <c r="C111" s="126" t="n">
        <v>0.9950000000000001</v>
      </c>
      <c r="D111" s="138" t="n">
        <f>IF(C111&lt;$D$54,$G$48-MAX(0,(C111-$G$43)*$D$45)/(1-$J$7),"")</f>
        <v>4999999.999999911</v>
      </c>
      <c r="E111" s="138" t="n">
        <f>IF(D111="","",$G$50/D111)</f>
        <v>3571.4285712983574</v>
      </c>
      <c r="F111" s="129" t="n">
        <f>IF(OR(D111="",E111=""),"",E111/D111)</f>
        <v>0.0007142857142596842</v>
      </c>
      <c r="G111" s="129" t="n">
        <f>IF(OR($D$55="",NOT(ISNUMBER(F111))),"",F111*$D$55)</f>
        <v>0.11074609999596419</v>
      </c>
      <c r="H111" s="138" t="n">
        <f>IF(NOT(ISNUMBER(F111)),"",F111*$D$45)</f>
        <v>714285.7142596842</v>
      </c>
      <c r="I111" s="138" t="n">
        <f>IF(OR($D$55="",NOT(ISNUMBER(H111))),"",H111*$D$55)</f>
        <v>110746099.99596418</v>
      </c>
      <c r="J111" s="138" t="n">
        <f>IF(E111="","",MAX(0,E111-$G$44))</f>
        <v>3482.1428570159</v>
      </c>
      <c r="K111" s="138" t="n">
        <f>IF(J111="","",J111*(1+$G$42))</f>
        <v>3490.8482141584395</v>
      </c>
      <c r="L111" s="141" t="n">
        <f>IF(K111="","",$J$41+K111)</f>
        <v>3581.0267855837214</v>
      </c>
    </row>
    <row r="112" ht="20" customHeight="1">
      <c r="A112"/>
      <c r="B112"/>
      <c r="C112" s="127" t="n">
        <v>1</v>
      </c>
      <c r="D112" s="139" t="str">
        <f>IF(C112&lt;$D$54,$G$48-MAX(0,(C112-$G$43)*$D$45)/(1-$J$7),"")</f>
      </c>
      <c r="E112" s="139" t="str">
        <f>IF(D112="","",$G$50/D112)</f>
      </c>
      <c r="F112" s="130" t="str">
        <f>IF(OR(D112="",E112=""),"",E112/D112)</f>
      </c>
      <c r="G112" s="130" t="str">
        <f>IF(OR($D$55="",NOT(ISNUMBER(F112))),"",F112*$D$55)</f>
      </c>
      <c r="H112" s="139" t="str">
        <f>IF(NOT(ISNUMBER(F112)),"",F112*$D$45)</f>
      </c>
      <c r="I112" s="139" t="str">
        <f>IF(OR($D$55="",NOT(ISNUMBER(H112))),"",H112*$D$55)</f>
      </c>
      <c r="J112" s="139" t="str">
        <f>IF(E112="","",MAX(0,E112-$G$44))</f>
      </c>
      <c r="K112" s="139" t="str">
        <f>IF(J112="","",J112*(1+$G$42))</f>
      </c>
      <c r="L112" s="142" t="str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 t="n">
        <f>$D$45*(1-C117)</f>
        <v>199999999.99999997</v>
      </c>
      <c r="E117" s="137" t="n">
        <f>$G$50/D117</f>
        <v>89.28571428245735</v>
      </c>
      <c r="F117" s="128" t="n">
        <f>IF(OR(D117="",E117=""),"",E117/D117)</f>
        <v>4.464285714122868e-7</v>
      </c>
      <c r="G117" s="128" t="n">
        <f>IF(OR($D$55="",NOT(ISNUMBER(F117))),"",F117*$D$55)</f>
        <v>0.00006921631249747516</v>
      </c>
      <c r="H117" s="137" t="n">
        <f>IF(NOT(ISNUMBER(F117)),"",F117*$D$45)</f>
        <v>446.4285714122868</v>
      </c>
      <c r="I117" s="137" t="n">
        <f>IF(OR($D$55="",NOT(ISNUMBER(H117))),"",H117*$D$55)</f>
        <v>69216.31249747516</v>
      </c>
      <c r="J117" s="125" t="n">
        <f>IF($H$117&gt;0,1-H117/$H$117,0)</f>
        <v>0</v>
      </c>
      <c r="K117" s="122"/>
      <c r="L117" s="122"/>
    </row>
    <row r="118" ht="20" customHeight="1">
      <c r="A118"/>
      <c r="B118"/>
      <c r="C118" s="126" t="n">
        <v>0.7</v>
      </c>
      <c r="D118" s="138" t="n">
        <f>$D$45*(1-C118)</f>
        <v>300000000.00000006</v>
      </c>
      <c r="E118" s="138" t="n">
        <f>$G$50/D118</f>
        <v>59.523809521638206</v>
      </c>
      <c r="F118" s="129" t="n">
        <f>IF(OR(D118="",E118=""),"",E118/D118)</f>
        <v>1.9841269840546065e-7</v>
      </c>
      <c r="G118" s="129" t="n">
        <f>IF(OR($D$55="",NOT(ISNUMBER(F118))),"",F118*$D$55)</f>
        <v>0.00003076280555443338</v>
      </c>
      <c r="H118" s="138" t="n">
        <f>IF(NOT(ISNUMBER(F118)),"",F118*$D$45)</f>
        <v>198.41269840546065</v>
      </c>
      <c r="I118" s="138" t="n">
        <f>IF(OR($D$55="",NOT(ISNUMBER(H118))),"",H118*$D$55)</f>
        <v>30762.80555443338</v>
      </c>
      <c r="J118" s="126" t="n">
        <f>IF($H$117&gt;0,1-H118/$H$117,0)</f>
        <v>0.5555555555555558</v>
      </c>
      <c r="K118" s="123"/>
      <c r="L118" s="123"/>
    </row>
    <row r="119" ht="20" customHeight="1">
      <c r="A119"/>
      <c r="B119"/>
      <c r="C119" s="126" t="n">
        <v>0.6</v>
      </c>
      <c r="D119" s="138" t="n">
        <f>$D$45*(1-C119)</f>
        <v>400000000</v>
      </c>
      <c r="E119" s="138" t="n">
        <f>$G$50/D119</f>
        <v>44.64285714122867</v>
      </c>
      <c r="F119" s="129" t="n">
        <f>IF(OR(D119="",E119=""),"",E119/D119)</f>
        <v>1.1160714285307167e-7</v>
      </c>
      <c r="G119" s="129" t="n">
        <f>IF(OR($D$55="",NOT(ISNUMBER(F119))),"",F119*$D$55)</f>
        <v>0.000017304078124368786</v>
      </c>
      <c r="H119" s="138" t="n">
        <f>IF(NOT(ISNUMBER(F119)),"",F119*$D$45)</f>
        <v>111.60714285307166</v>
      </c>
      <c r="I119" s="138" t="n">
        <f>IF(OR($D$55="",NOT(ISNUMBER(H119))),"",H119*$D$55)</f>
        <v>17304.078124368785</v>
      </c>
      <c r="J119" s="126" t="n">
        <f>IF($H$117&gt;0,1-H119/$H$117,0)</f>
        <v>0.75</v>
      </c>
      <c r="K119" s="123"/>
      <c r="L119" s="123"/>
    </row>
    <row r="120" ht="20" customHeight="1">
      <c r="A120"/>
      <c r="B120"/>
      <c r="C120" s="126" t="n">
        <v>0.5</v>
      </c>
      <c r="D120" s="138" t="n">
        <f>$D$45*(1-C120)</f>
        <v>500000000</v>
      </c>
      <c r="E120" s="138" t="n">
        <f>$G$50/D120</f>
        <v>35.714285712982935</v>
      </c>
      <c r="F120" s="129" t="n">
        <f>IF(OR(D120="",E120=""),"",E120/D120)</f>
        <v>7.142857142596587e-8</v>
      </c>
      <c r="G120" s="129" t="n">
        <f>IF(OR($D$55="",NOT(ISNUMBER(F120))),"",F120*$D$55)</f>
        <v>0.000011074609999596023</v>
      </c>
      <c r="H120" s="138" t="n">
        <f>IF(NOT(ISNUMBER(F120)),"",F120*$D$45)</f>
        <v>71.42857142596587</v>
      </c>
      <c r="I120" s="138" t="n">
        <f>IF(OR($D$55="",NOT(ISNUMBER(H120))),"",H120*$D$55)</f>
        <v>11074.609999596023</v>
      </c>
      <c r="J120" s="126" t="n">
        <f>IF($H$117&gt;0,1-H120/$H$117,0)</f>
        <v>0.8400000000000001</v>
      </c>
      <c r="K120" s="123"/>
      <c r="L120" s="123"/>
    </row>
    <row r="121" ht="20" customHeight="1">
      <c r="A121"/>
      <c r="B121"/>
      <c r="C121" s="126" t="n">
        <v>0.4</v>
      </c>
      <c r="D121" s="138" t="n">
        <f>$D$45*(1-C121)</f>
        <v>600000000</v>
      </c>
      <c r="E121" s="138" t="n">
        <f>$G$50/D121</f>
        <v>29.76190476081911</v>
      </c>
      <c r="F121" s="129" t="n">
        <f>IF(OR(D121="",E121=""),"",E121/D121)</f>
        <v>4.960317460136518e-8</v>
      </c>
      <c r="G121" s="129" t="n">
        <f>IF(OR($D$55="",NOT(ISNUMBER(F121))),"",F121*$D$55)</f>
        <v>0.000007690701388608349</v>
      </c>
      <c r="H121" s="138" t="n">
        <f>IF(NOT(ISNUMBER(F121)),"",F121*$D$45)</f>
        <v>49.60317460136518</v>
      </c>
      <c r="I121" s="138" t="n">
        <f>IF(OR($D$55="",NOT(ISNUMBER(H121))),"",H121*$D$55)</f>
        <v>7690.701388608349</v>
      </c>
      <c r="J121" s="126" t="n">
        <f>IF($H$117&gt;0,1-H121/$H$117,0)</f>
        <v>0.888888888888889</v>
      </c>
      <c r="K121" s="123"/>
      <c r="L121" s="123"/>
    </row>
    <row r="122" ht="20" customHeight="1">
      <c r="A122"/>
      <c r="B122"/>
      <c r="C122" s="126" t="n">
        <v>0.3</v>
      </c>
      <c r="D122" s="138" t="n">
        <f>$D$45*(1-C122)</f>
        <v>700000000</v>
      </c>
      <c r="E122" s="138" t="n">
        <f>$G$50/D122</f>
        <v>25.510204080702096</v>
      </c>
      <c r="F122" s="129" t="n">
        <f>IF(OR(D122="",E122=""),"",E122/D122)</f>
        <v>3.6443148686717276e-8</v>
      </c>
      <c r="G122" s="129" t="n">
        <f>IF(OR($D$55="",NOT(ISNUMBER(F122))),"",F122*$D$55)</f>
        <v>0.000005650311224283685</v>
      </c>
      <c r="H122" s="138" t="n">
        <f>IF(NOT(ISNUMBER(F122)),"",F122*$D$45)</f>
        <v>36.44314868671728</v>
      </c>
      <c r="I122" s="138" t="n">
        <f>IF(OR($D$55="",NOT(ISNUMBER(H122))),"",H122*$D$55)</f>
        <v>5650.311224283685</v>
      </c>
      <c r="J122" s="126" t="n">
        <f>IF($H$117&gt;0,1-H122/$H$117,0)</f>
        <v>0.9183673469387755</v>
      </c>
      <c r="K122" s="123"/>
      <c r="L122" s="123"/>
    </row>
    <row r="123" ht="20" customHeight="1">
      <c r="A123"/>
      <c r="B123"/>
      <c r="C123" s="126" t="n">
        <v>0.2</v>
      </c>
      <c r="D123" s="138" t="n">
        <f>$D$45*(1-C123)</f>
        <v>800000000</v>
      </c>
      <c r="E123" s="138" t="n">
        <f>$G$50/D123</f>
        <v>22.321428570614334</v>
      </c>
      <c r="F123" s="129" t="n">
        <f>IF(OR(D123="",E123=""),"",E123/D123)</f>
        <v>2.7901785713267918e-8</v>
      </c>
      <c r="G123" s="129" t="n">
        <f>IF(OR($D$55="",NOT(ISNUMBER(F123))),"",F123*$D$55)</f>
        <v>0.0000043260195310921965</v>
      </c>
      <c r="H123" s="138" t="n">
        <f>IF(NOT(ISNUMBER(F123)),"",F123*$D$45)</f>
        <v>27.901785713267916</v>
      </c>
      <c r="I123" s="138" t="n">
        <f>IF(OR($D$55="",NOT(ISNUMBER(H123))),"",H123*$D$55)</f>
        <v>4326.019531092196</v>
      </c>
      <c r="J123" s="126" t="n">
        <f>IF($H$117&gt;0,1-H123/$H$117,0)</f>
        <v>0.9375</v>
      </c>
      <c r="K123" s="123"/>
      <c r="L123" s="123"/>
    </row>
    <row r="124" ht="20" customHeight="1">
      <c r="A124"/>
      <c r="B124"/>
      <c r="C124" s="126" t="n">
        <v>0.1</v>
      </c>
      <c r="D124" s="138" t="n">
        <f>$D$45*(1-C124)</f>
        <v>900000000</v>
      </c>
      <c r="E124" s="138" t="n">
        <f>$G$50/D124</f>
        <v>19.841269840546072</v>
      </c>
      <c r="F124" s="129" t="n">
        <f>IF(OR(D124="",E124=""),"",E124/D124)</f>
        <v>2.2045855378384524e-8</v>
      </c>
      <c r="G124" s="129" t="n">
        <f>IF(OR($D$55="",NOT(ISNUMBER(F124))),"",F124*$D$55)</f>
        <v>0.000003418089506048155</v>
      </c>
      <c r="H124" s="138" t="n">
        <f>IF(NOT(ISNUMBER(F124)),"",F124*$D$45)</f>
        <v>22.045855378384523</v>
      </c>
      <c r="I124" s="138" t="n">
        <f>IF(OR($D$55="",NOT(ISNUMBER(H124))),"",H124*$D$55)</f>
        <v>3418.089506048155</v>
      </c>
      <c r="J124" s="126" t="n">
        <f>IF($H$117&gt;0,1-H124/$H$117,0)</f>
        <v>0.9506172839506173</v>
      </c>
      <c r="K124" s="123"/>
      <c r="L124" s="123"/>
    </row>
    <row r="125" ht="20" customHeight="1">
      <c r="A125"/>
      <c r="B125"/>
      <c r="C125" s="127" t="n">
        <v>0</v>
      </c>
      <c r="D125" s="139" t="n">
        <f>$D$45*(1-C125)</f>
        <v>1000000000</v>
      </c>
      <c r="E125" s="139" t="n">
        <f>$G$50/D125</f>
        <v>17.857142856491468</v>
      </c>
      <c r="F125" s="130" t="n">
        <f>IF(OR(D125="",E125=""),"",E125/D125)</f>
        <v>1.7857142856491468e-8</v>
      </c>
      <c r="G125" s="130" t="n">
        <f>IF(OR($D$55="",NOT(ISNUMBER(F125))),"",F125*$D$55)</f>
        <v>0.0000027686524998990056</v>
      </c>
      <c r="H125" s="139" t="n">
        <f>IF(NOT(ISNUMBER(F125)),"",F125*$D$45)</f>
        <v>17.857142856491468</v>
      </c>
      <c r="I125" s="139" t="n">
        <f>IF(OR($D$55="",NOT(ISNUMBER(H125))),"",H125*$D$55)</f>
        <v>2768.6524998990058</v>
      </c>
      <c r="J125" s="127" t="n">
        <f>IF($H$117&gt;0,1-H125/$H$117,0)</f>
        <v>0.96</v>
      </c>
      <c r="K125" s="124" t="str">
        <v>沉没成本 / Quote</v>
      </c>
      <c r="L125" s="124" t="n">
        <f>E125</f>
        <v>17.857142856491468</v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6" hidden="0" customWidth="1"/>
    <x:col min="5" max="5" width="11" hidden="0" customWidth="1"/>
    <x:col min="6" max="6" width="25" hidden="0" customWidth="1"/>
    <x:col min="7" max="7" width="44" hidden="0" customWidth="1"/>
    <x:col min="8" max="8" width="10" hidden="0" customWidth="1"/>
    <x:col min="9" max="9" width="17" hidden="0" customWidth="1"/>
    <x:col min="10" max="10" width="15" hidden="0" customWidth="1"/>
    <x:col min="11" max="11" width="20" hidden="0" customWidth="1"/>
    <x:col min="12" max="12" width="17" hidden="0" customWidth="1"/>
    <x:col min="13" max="13" width="22" hidden="0" customWidth="1"/>
    <x:col min="14" max="14" width="18" hidden="0" customWidth="1"/>
    <x:col min="15" max="15" width="16" hidden="0" customWidth="1"/>
    <x:col min="16" max="16" width="46" hidden="0" customWidth="1"/>
    <x:col min="17" max="17" width="22" hidden="0" customWidth="1"/>
    <x:col min="18" max="18" width="46" hidden="0" customWidth="1"/>
    <x:col min="19" max="19" width="30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30" customHeight="1">
      <x:c r="A2" s="2"/>
      <x:c r="B2" s="2"/>
      <x:c r="C2" s="4" t="str">
        <x:v>Flap BSC RWA Quote 参数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</x:row>
    <x:row r="3" ht="32" customHeight="1">
      <x:c r="A3" s="2"/>
      <x:c r="B3" s="2"/>
      <x:c r="C3" s="6" t="str">
        <x:v>2026-09-10 官方接口快照：23 个 RWA Quote。现有 Launch 参数固定；新 Launch 应重新读取官方接口。</x:v>
      </x:c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2"/>
      <x:c r="Q3" s="2"/>
      <x:c r="R3" s="35" t="str">
        <x:v>价格时间为 UTC；已下载文件不会自动联网更新</x:v>
      </x:c>
      <x:c r="S3" s="35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34" customHeight="1">
      <x:c r="A5" s="2"/>
      <x:c r="B5" s="2"/>
      <x:c r="C5" s="35" t="str">
        <x:v>Flap Portal</x:v>
      </x:c>
      <x:c r="D5" s="35"/>
      <x:c r="E5" s="35" t="str">
        <x:v>​0xe2cE6ab80874Fa9Fa2aAE65D277Dd6B8e65C9De0 · 核验区块 121074671 · Portal 买/卖基础费 1.00% / 1.00% · 标准 Pancake V3 LP 费 0.25%</x:v>
      </x:c>
      <x:c r="F5" s="35"/>
      <x:c r="G5" s="35"/>
      <x:c r="H5" s="35"/>
      <x:c r="I5" s="35"/>
      <x:c r="J5" s="35"/>
      <x:c r="K5" s="35"/>
      <x:c r="L5" s="35"/>
      <x:c r="M5" s="35"/>
      <x:c r="N5" s="35"/>
      <x:c r="O5" s="35"/>
      <x:c r="P5" s="2" t="str">
        <x:v>每日价格快照</x:v>
      </x:c>
      <x:c r="Q5" s="2" t="str">
        <x:v>网站下载最新发布版</x:v>
      </x:c>
      <x:c r="R5" s="2" t="str">
        <x:v>切换 Quote 自动引用此页</x:v>
      </x:c>
      <x:c r="S5" s="2" t="str">
        <x:v>场景价格覆盖请用控筹模型</x:v>
      </x:c>
    </x:row>
    <x:row r="6" ht="34" customHeight="1">
      <x:c r="A6" s="2"/>
      <x:c r="B6" s="2"/>
      <x:c r="C6" s="35" t="str">
        <x:v>Quote API</x:v>
      </x:c>
      <x:c r="D6" s="35"/>
      <x:c r="E6" s="35" t="str">
        <x:v>​https://flap.sh/api/launch/quote-tokens</x:v>
      </x:c>
      <x:c r="F6" s="35"/>
      <x:c r="G6" s="35"/>
      <x:c r="H6" s="35"/>
      <x:c r="I6" s="35"/>
      <x:c r="J6" s="35"/>
      <x:c r="K6" s="35"/>
      <x:c r="L6" s="35"/>
      <x:c r="M6" s="35"/>
      <x:c r="N6" s="35"/>
      <x:c r="O6" s="35"/>
      <x:c r="P6" s="35" t="str">
        <x:v>原生币 BNB / USDT（用于 Gas 折算）</x:v>
      </x:c>
      <x:c r="Q6" s="35"/>
      <x:c r="R6" s="35"/>
      <x:c r="S6" s="35"/>
    </x:row>
    <x:row r="7" ht="34" customHeight="1">
      <x:c r="A7" s="2"/>
      <x:c r="B7" s="2"/>
      <x:c r="C7" s="35" t="str">
        <x:v>联合曲线文档</x:v>
      </x:c>
      <x:c r="D7" s="35"/>
      <x:c r="E7" s="35" t="str">
        <x:v>​https://docs.flap.sh/flap/developers/basic-and-mechanism/bonding-curve</x:v>
      </x:c>
      <x:c r="F7" s="35"/>
      <x:c r="G7" s="35"/>
      <x:c r="H7" s="35"/>
      <x:c r="I7" s="35"/>
      <x:c r="J7" s="35"/>
      <x:c r="K7" s="35"/>
      <x:c r="L7" s="35"/>
      <x:c r="M7" s="35"/>
      <x:c r="N7" s="35"/>
      <x:c r="O7" s="35"/>
      <x:c r="P7" s="44" t="n">
        <x:v>754.5107710045597</x:v>
      </x:c>
      <x:c r="Q7" s="45" t="n">
        <x:v>46283.376137210646</x:v>
      </x:c>
      <x:c r="R7" s="35" t="str">
        <x:v>https://api.coingecko.com/api/v3/simple/price?ids=tether,ethereum,binancecoin,solana,hyperliquid,aster-2&amp;vs_currencies=usd</x:v>
      </x:c>
      <x:c r="S7" s="35" t="str">
        <x:v>随每日行情更新；仅用于原生币 Gas 折算</x:v>
      </x:c>
    </x:row>
    <x:row r="8" ht="34" customHeight="1">
      <x:c r="A8" s="2"/>
      <x:c r="B8" s="2"/>
      <x:c r="C8" s="35" t="str">
        <x:v>PreBond Tax 文档</x:v>
      </x:c>
      <x:c r="D8" s="35"/>
      <x:c r="E8" s="35" t="str">
        <x:v>​https://docs.flap.sh/flap/developers/basic-and-mechanism/flap-tax-token/prebond-tax</x:v>
      </x:c>
      <x:c r="F8" s="35"/>
      <x:c r="G8" s="35"/>
      <x:c r="H8" s="35"/>
      <x:c r="I8" s="35"/>
      <x:c r="J8" s="35"/>
      <x:c r="K8" s="35"/>
      <x:c r="L8" s="35"/>
      <x:c r="M8" s="35"/>
      <x:c r="N8" s="35"/>
      <x:c r="O8" s="35"/>
      <x:c r="P8" s="2"/>
      <x:c r="Q8" s="2"/>
      <x:c r="R8" s="2"/>
      <x:c r="S8" s="2"/>
    </x:row>
    <x:row r="9" ht="34" customHeight="1">
      <x:c r="A9" s="2"/>
      <x:c r="B9" s="2"/>
      <x:c r="C9" s="35" t="str">
        <x:v>Portal 接口</x:v>
      </x:c>
      <x:c r="D9" s="35"/>
      <x:c r="E9" s="35" t="str">
        <x:v>​https://github.com/flap-sh/FlapVaultExample/blob/main/src/flap/IPortal.sol</x:v>
      </x:c>
      <x:c r="F9" s="35"/>
      <x:c r="G9" s="35"/>
      <x:c r="H9" s="35"/>
      <x:c r="I9" s="35"/>
      <x:c r="J9" s="35"/>
      <x:c r="K9" s="35"/>
      <x:c r="L9" s="35"/>
      <x:c r="M9" s="35"/>
      <x:c r="N9" s="35"/>
      <x:c r="O9" s="35"/>
      <x:c r="P9" s="2"/>
      <x:c r="Q9" s="2"/>
      <x:c r="R9" s="2"/>
      <x:c r="S9" s="2"/>
    </x:row>
    <x:row r="10" ht="34" customHeight="1">
      <x:c r="A10" s="2"/>
      <x:c r="B10" s="2"/>
      <x:c r="C10" s="35" t="str">
        <x:v>发射机制</x:v>
      </x:c>
      <x:c r="D10" s="35"/>
      <x:c r="E10" s="35" t="str">
        <x:v>​10 亿总量；80% 联合曲线毕业；剩余 2 亿 TOKEN 与真实 Quote 储备进入 DEX。</x:v>
      </x:c>
      <x:c r="F10" s="35"/>
      <x:c r="G10" s="35"/>
      <x:c r="H10" s="35"/>
      <x:c r="I10" s="35"/>
      <x:c r="J10" s="35"/>
      <x:c r="K10" s="35"/>
      <x:c r="L10" s="35"/>
      <x:c r="M10" s="35"/>
      <x:c r="N10" s="35"/>
      <x:c r="O10" s="35"/>
      <x:c r="P10" s="2"/>
      <x:c r="Q10" s="2"/>
      <x:c r="R10" s="2"/>
      <x:c r="S10" s="2"/>
    </x:row>
    <x:row r="11" ht="34" customHeight="1">
      <x:c r="A11" s="2"/>
      <x:c r="B11" s="2"/>
      <x:c r="C11" s="35" t="str">
        <x:v>税率口径</x:v>
      </x:c>
      <x:c r="D11" s="35"/>
      <x:c r="E11" s="35" t="str">
        <x:v>​Tax V3 买税/卖税逐币设置。内盘税作为额外 Quote 费；DEX 买税从 TOKEN 输出扣除。</x:v>
      </x:c>
      <x:c r="F11" s="35"/>
      <x:c r="G11" s="35"/>
      <x:c r="H11" s="35"/>
      <x:c r="I11" s="35"/>
      <x:c r="J11" s="35"/>
      <x:c r="K11" s="35"/>
      <x:c r="L11" s="35"/>
      <x:c r="M11" s="35"/>
      <x:c r="N11" s="35"/>
      <x:c r="O11" s="35"/>
      <x:c r="P11" s="2"/>
      <x:c r="Q11" s="2"/>
      <x:c r="R11" s="2"/>
      <x:c r="S11" s="2"/>
    </x:row>
    <x:row r="12" ht="42" customHeight="1">
      <x:c r="A12" s="2"/>
      <x:c r="B12" s="2"/>
      <x:c r="C12" s="148" t="str">
        <x:v>外盘扣费依据</x:v>
      </x:c>
      <x:c r="D12" s="148"/>
      <x:c r="E12" s="148" t="str">
        <x:v>PancakeSwap 交易手续费从输入金额扣除；卖出腿输入为 TOKEN。</x:v>
      </x:c>
      <x:c r="F12" s="148"/>
      <x:c r="G12" s="148"/>
      <x:c r="H12" s="148"/>
      <x:c r="I12" s="148"/>
      <x:c r="J12" s="148"/>
      <x:c r="K12" s="148"/>
      <x:c r="L12" s="148"/>
      <x:c r="M12" s="148"/>
      <x:c r="N12" s="148"/>
      <x:c r="O12" s="148"/>
      <x:c r="P12" s="148" t="str">
        <x:v>https://docs.pancakeswap.finance/trade/pancakeswap-exchange/trade</x:v>
      </x:c>
      <x:c r="Q12" s="148"/>
      <x:c r="R12" s="148"/>
      <x:c r="S12" s="2"/>
    </x:row>
    <x:row r="13" ht="44" customHeight="1">
      <x:c r="A13" s="2"/>
      <x:c r="B13" s="2"/>
      <x:c r="C13" s="10" t="str">
        <x:v>序号</x:v>
      </x:c>
      <x:c r="D13" s="10" t="str">
        <x:v>类别</x:v>
      </x:c>
      <x:c r="E13" s="10" t="str">
        <x:v>Symbol</x:v>
      </x:c>
      <x:c r="F13" s="10" t="str">
        <x:v>名称</x:v>
      </x:c>
      <x:c r="G13" s="10" t="str">
        <x:v>Quote 合约</x:v>
      </x:c>
      <x:c r="H13" s="10" t="str">
        <x:v>Decimals</x:v>
      </x:c>
      <x:c r="I13" s="10" t="str">
        <x:v>r</x:v>
      </x:c>
      <x:c r="J13" s="10" t="str">
        <x:v>h</x:v>
      </x:c>
      <x:c r="K13" s="10" t="str">
        <x:v>k</x:v>
      </x:c>
      <x:c r="L13" s="10" t="str">
        <x:v>毕业真实 Quote</x:v>
      </x:c>
      <x:c r="M13" s="10" t="str">
        <x:v>DEX 初始 TOKEN</x:v>
      </x:c>
      <x:c r="N13" s="10" t="str">
        <x:v>Outer K</x:v>
      </x:c>
      <x:c r="O13" s="10" t="str">
        <x:v>数据日期</x:v>
      </x:c>
      <x:c r="P13" s="10" t="str">
        <x:v>Quote / USDT 价格</x:v>
      </x:c>
      <x:c r="Q13" s="10" t="str">
        <x:v>价格时间 / UTC</x:v>
      </x:c>
      <x:c r="R13" s="10" t="str">
        <x:v>价格来源</x:v>
      </x:c>
      <x:c r="S13" s="10" t="str">
        <x:v>说明</x:v>
      </x:c>
    </x:row>
    <x:row r="14" ht="44" customHeight="1">
      <x:c r="A14" s="2"/>
      <x:c r="B14" s="2"/>
      <x:c r="C14" s="11" t="n">
        <x:v>1</x:v>
      </x:c>
      <x:c r="D14" s="11" t="str">
        <x:v>股票 / ETF RWA</x:v>
      </x:c>
      <x:c r="E14" s="14" t="str">
        <x:v>SPCXB</x:v>
      </x:c>
      <x:c r="F14" s="14" t="str">
        <x:v>SpaceX</x:v>
      </x:c>
      <x:c r="G14" s="17" t="str">
        <x:v>​0xbe9D156892E55e7154BcD3cB0FEA677F9D3103E1</x:v>
      </x:c>
      <x:c r="H14" s="20" t="n">
        <x:v>18</x:v>
      </x:c>
      <x:c r="I14" s="23" t="n">
        <x:v>34.26749453</x:v>
      </x:c>
      <x:c r="J14" s="36" t="n">
        <x:v>107036751</x:v>
      </x:c>
      <x:c r="K14" s="39" t="n">
        <x:v>37935375809.401474</x:v>
      </x:c>
      <x:c r="L14" s="23" t="n">
        <x:v>89.28571428245735</x:v>
      </x:c>
      <x:c r="M14" s="36" t="n">
        <x:v>200000000</x:v>
      </x:c>
      <x:c r="N14" s="39" t="n">
        <x:v>17857142856.491467</x:v>
      </x:c>
      <x:c r="O14" s="11" t="str">
        <x:v>2026-09-10</x:v>
      </x:c>
      <x:c r="P14" s="26">
        <x:v>155.04454</x:v>
      </x:c>
      <x:c r="Q14" s="29">
        <x:v>46283.2286428125</x:v>
      </x:c>
      <x:c r="R14" s="32" t="inlineStr">
        <x:is>
          <x:t xml:space="preserve">https://dexscreener.com/bsc/0x977daffc095b33872e2741c19568925015c35b4d</x:t>
        </x:is>
      </x:c>
      <x:c r="S14" s="32" t="inlineStr">
        <x:is>
          <x:t xml:space="preserve">每日 Quote 代币池价；本地可手动更新</x:t>
        </x:is>
      </x:c>
    </x:row>
    <x:row r="15" ht="44" customHeight="1">
      <x:c r="A15" s="2"/>
      <x:c r="B15" s="2"/>
      <x:c r="C15" s="12" t="n">
        <x:v>2</x:v>
      </x:c>
      <x:c r="D15" s="12" t="str">
        <x:v>股票 / ETF RWA</x:v>
      </x:c>
      <x:c r="E15" s="15" t="str">
        <x:v>SKHYB</x:v>
      </x:c>
      <x:c r="F15" s="15" t="str">
        <x:v>SK Hynix</x:v>
      </x:c>
      <x:c r="G15" s="18" t="str">
        <x:v>​0xCA750eF65f295BBECd685Abf54e82CAf297BDB61</x:v>
      </x:c>
      <x:c r="H15" s="21" t="n">
        <x:v>18</x:v>
      </x:c>
      <x:c r="I15" s="24" t="n">
        <x:v>24.38502698</x:v>
      </x:c>
      <x:c r="J15" s="37" t="n">
        <x:v>107036751</x:v>
      </x:c>
      <x:c r="K15" s="40" t="n">
        <x:v>26995121040.98654</x:v>
      </x:c>
      <x:c r="L15" s="24" t="n">
        <x:v>63.536438294320014</x:v>
      </x:c>
      <x:c r="M15" s="37" t="n">
        <x:v>200000000</x:v>
      </x:c>
      <x:c r="N15" s="40" t="n">
        <x:v>12707287658.864</x:v>
      </x:c>
      <x:c r="O15" s="12" t="str">
        <x:v>2026-09-10</x:v>
      </x:c>
      <x:c r="P15" s="27">
        <x:v>185.7996</x:v>
      </x:c>
      <x:c r="Q15" s="30">
        <x:v>46283.228647384254</x:v>
      </x:c>
      <x:c r="R15" s="33" t="inlineStr">
        <x:is>
          <x:t xml:space="preserve">https://dexscreener.com/bsc/0xd7d30f434b12f7ed9b0ae11ff1c754745a10ad52</x:t>
        </x:is>
      </x:c>
      <x:c r="S15" s="33" t="inlineStr">
        <x:is>
          <x:t xml:space="preserve">每日 Quote 代币池价；本地可手动更新</x:t>
        </x:is>
      </x:c>
    </x:row>
    <x:row r="16" ht="44" customHeight="1">
      <x:c r="A16" s="2"/>
      <x:c r="B16" s="2"/>
      <x:c r="C16" s="12" t="n">
        <x:v>3</x:v>
      </x:c>
      <x:c r="D16" s="12" t="str">
        <x:v>股票 / ETF RWA</x:v>
      </x:c>
      <x:c r="E16" s="15" t="str">
        <x:v>SPYB</x:v>
      </x:c>
      <x:c r="F16" s="15" t="str">
        <x:v>SPY</x:v>
      </x:c>
      <x:c r="G16" s="18" t="str">
        <x:v>​0x7138b48df7D98D7e3cc221BfE7192D0a178182D8</x:v>
      </x:c>
      <x:c r="H16" s="21" t="n">
        <x:v>18</x:v>
      </x:c>
      <x:c r="I16" s="24" t="n">
        <x:v>5.13783051</x:v>
      </x:c>
      <x:c r="J16" s="37" t="n">
        <x:v>107036751</x:v>
      </x:c>
      <x:c r="K16" s="40" t="n">
        <x:v>5687767194.979073</x:v>
      </x:c>
      <x:c r="L16" s="24" t="n">
        <x:v>13.386880868863805</x:v>
      </x:c>
      <x:c r="M16" s="37" t="n">
        <x:v>200000000</x:v>
      </x:c>
      <x:c r="N16" s="40" t="n">
        <x:v>2677376173.772761</x:v>
      </x:c>
      <x:c r="O16" s="12" t="str">
        <x:v>2026-09-10</x:v>
      </x:c>
      <x:c r="P16" s="27">
        <x:v>763.7056</x:v>
      </x:c>
      <x:c r="Q16" s="30">
        <x:v>46283.22865424769</x:v>
      </x:c>
      <x:c r="R16" s="33" t="inlineStr">
        <x:is>
          <x:t xml:space="preserve">https://dexscreener.com/bsc/0x7aa6d92fc369a8c1edc631a3aac44efb0808ddbf</x:t>
        </x:is>
      </x:c>
      <x:c r="S16" s="33" t="inlineStr">
        <x:is>
          <x:t xml:space="preserve">每日 Quote 代币池价；本地可手动更新</x:t>
        </x:is>
      </x:c>
    </x:row>
    <x:row r="17" ht="44" customHeight="1">
      <x:c r="A17" s="2"/>
      <x:c r="B17" s="2"/>
      <x:c r="C17" s="12" t="n">
        <x:v>4</x:v>
      </x:c>
      <x:c r="D17" s="12" t="str">
        <x:v>黄金 RWA</x:v>
      </x:c>
      <x:c r="E17" s="15" t="str">
        <x:v>XAUT</x:v>
      </x:c>
      <x:c r="F17" s="15" t="str">
        <x:v>Tether Gold</x:v>
      </x:c>
      <x:c r="G17" s="18" t="str">
        <x:v>​0x21cAef8A43163Eea865baeE23b9C2E327696A3bf</x:v>
      </x:c>
      <x:c r="H17" s="21" t="n">
        <x:v>6</x:v>
      </x:c>
      <x:c r="I17" s="24" t="n">
        <x:v>0.94232929</x:v>
      </x:c>
      <x:c r="J17" s="37" t="n">
        <x:v>107036751</x:v>
      </x:c>
      <x:c r="K17" s="40" t="n">
        <x:v>1043193155.5737368</x:v>
      </x:c>
      <x:c r="L17" s="24" t="n">
        <x:v>2.4552872890450823</x:v>
      </x:c>
      <x:c r="M17" s="37" t="n">
        <x:v>200000000</x:v>
      </x:c>
      <x:c r="N17" s="40" t="n">
        <x:v>491057457.8090164</x:v>
      </x:c>
      <x:c r="O17" s="12" t="str">
        <x:v>2026-09-10</x:v>
      </x:c>
      <x:c r="P17" s="27">
        <x:v>4364.9684</x:v>
      </x:c>
      <x:c r="Q17" s="30">
        <x:v>46283.22865996528</x:v>
      </x:c>
      <x:c r="R17" s="33" t="inlineStr">
        <x:is>
          <x:t xml:space="preserve">https://dexscreener.com/bsc/0x83a0a8a723262651ae9c54bbba929f167443bc59</x:t>
        </x:is>
      </x:c>
      <x:c r="S17" s="33" t="inlineStr">
        <x:is>
          <x:t xml:space="preserve">每日 Quote 代币池价；本地可手动更新</x:t>
        </x:is>
      </x:c>
    </x:row>
    <x:row r="18" ht="44" customHeight="1">
      <x:c r="A18" s="2"/>
      <x:c r="B18" s="2"/>
      <x:c r="C18" s="12" t="n">
        <x:v>5</x:v>
      </x:c>
      <x:c r="D18" s="12" t="str">
        <x:v>股票 / ETF RWA</x:v>
      </x:c>
      <x:c r="E18" s="15" t="str">
        <x:v>QQQB</x:v>
      </x:c>
      <x:c r="F18" s="15" t="str">
        <x:v>Invesco QQQ Trust</x:v>
      </x:c>
      <x:c r="G18" s="18" t="str">
        <x:v>​0x205812CdBed920aFf76C6580abD681a46D11efc7</x:v>
      </x:c>
      <x:c r="H18" s="21" t="n">
        <x:v>18</x:v>
      </x:c>
      <x:c r="I18" s="24" t="n">
        <x:v>5.68592593</x:v>
      </x:c>
      <x:c r="J18" s="37" t="n">
        <x:v>107036751</x:v>
      </x:c>
      <x:c r="K18" s="40" t="n">
        <x:v>6294528967.973853</x:v>
      </x:c>
      <x:c r="L18" s="24" t="n">
        <x:v>14.814971592765453</x:v>
      </x:c>
      <x:c r="M18" s="37" t="n">
        <x:v>200000000</x:v>
      </x:c>
      <x:c r="N18" s="40" t="n">
        <x:v>2962994318.55309</x:v>
      </x:c>
      <x:c r="O18" s="12" t="str">
        <x:v>2026-09-10</x:v>
      </x:c>
      <x:c r="P18" s="27">
        <x:v>719.04616</x:v>
      </x:c>
      <x:c r="Q18" s="30">
        <x:v>46283.22866714121</x:v>
      </x:c>
      <x:c r="R18" s="33" t="inlineStr">
        <x:is>
          <x:t xml:space="preserve">https://dexscreener.com/bsc/0xe531fcb1f5a195de7608b9f4f9518544c2cdb693</x:t>
        </x:is>
      </x:c>
      <x:c r="S18" s="33" t="inlineStr">
        <x:is>
          <x:t xml:space="preserve">每日 Quote 代币池价；本地可手动更新</x:t>
        </x:is>
      </x:c>
    </x:row>
    <x:row r="19" ht="44" customHeight="1">
      <x:c r="A19" s="2"/>
      <x:c r="B19" s="2"/>
      <x:c r="C19" s="12" t="n">
        <x:v>6</x:v>
      </x:c>
      <x:c r="D19" s="12" t="str">
        <x:v>股票 / ETF RWA</x:v>
      </x:c>
      <x:c r="E19" s="15" t="str">
        <x:v>NVDAB</x:v>
      </x:c>
      <x:c r="F19" s="15" t="str">
        <x:v>NVIDIA Corp</x:v>
      </x:c>
      <x:c r="G19" s="18" t="str">
        <x:v>​0x02Fca66C1D1aFB4E2A7884261eB00F63598a7436</x:v>
      </x:c>
      <x:c r="H19" s="21" t="n">
        <x:v>18</x:v>
      </x:c>
      <x:c r="I19" s="24" t="n">
        <x:v>17.36633207</x:v>
      </x:c>
      <x:c r="J19" s="37" t="n">
        <x:v>107036751</x:v>
      </x:c>
      <x:c r="K19" s="40" t="n">
        <x:v>19225167831.559906</x:v>
      </x:c>
      <x:c r="L19" s="24" t="n">
        <x:v>45.24886877792685</x:v>
      </x:c>
      <x:c r="M19" s="37" t="n">
        <x:v>200000000</x:v>
      </x:c>
      <x:c r="N19" s="40" t="n">
        <x:v>9049773755.58537</x:v>
      </x:c>
      <x:c r="O19" s="12" t="str">
        <x:v>2026-09-10</x:v>
      </x:c>
      <x:c r="P19" s="27">
        <x:v>220.3822</x:v>
      </x:c>
      <x:c r="Q19" s="30">
        <x:v>46283.22867091435</x:v>
      </x:c>
      <x:c r="R19" s="33" t="inlineStr">
        <x:is>
          <x:t xml:space="preserve">https://dexscreener.com/bsc/0x8fb4243b553ac29ba088acf00b9b7da24bd6690c</x:t>
        </x:is>
      </x:c>
      <x:c r="S19" s="33" t="inlineStr">
        <x:is>
          <x:t xml:space="preserve">每日 Quote 代币池价；本地可手动更新</x:t>
        </x:is>
      </x:c>
    </x:row>
    <x:row r="20" ht="44" customHeight="1">
      <x:c r="A20" s="2"/>
      <x:c r="B20" s="2"/>
      <x:c r="C20" s="12" t="n">
        <x:v>7</x:v>
      </x:c>
      <x:c r="D20" s="12" t="str">
        <x:v>股票 / ETF RWA</x:v>
      </x:c>
      <x:c r="E20" s="15" t="str">
        <x:v>AAPLB</x:v>
      </x:c>
      <x:c r="F20" s="15" t="str">
        <x:v>Apple</x:v>
      </x:c>
      <x:c r="G20" s="18" t="str">
        <x:v>​0x431a3BEE82E2ca41e49895CbECE5bB0F76A89b7A</x:v>
      </x:c>
      <x:c r="H20" s="21" t="n">
        <x:v>18</x:v>
      </x:c>
      <x:c r="I20" s="24" t="n">
        <x:v>11.63030303</x:v>
      </x:c>
      <x:c r="J20" s="37" t="n">
        <x:v>107036751</x:v>
      </x:c>
      <x:c r="K20" s="40" t="n">
        <x:v>12875172879.476656</x:v>
      </x:c>
      <x:c r="L20" s="24" t="n">
        <x:v>30.303350962699575</x:v>
      </x:c>
      <x:c r="M20" s="37" t="n">
        <x:v>200000000</x:v>
      </x:c>
      <x:c r="N20" s="40" t="n">
        <x:v>6060670192.539914</x:v>
      </x:c>
      <x:c r="O20" s="12" t="str">
        <x:v>2026-09-10</x:v>
      </x:c>
      <x:c r="P20" s="27">
        <x:v>336.9197</x:v>
      </x:c>
      <x:c r="Q20" s="30">
        <x:v>46283.22867744213</x:v>
      </x:c>
      <x:c r="R20" s="33" t="inlineStr">
        <x:is>
          <x:t xml:space="preserve">https://dexscreener.com/bsc/0xe9b9998b2ec5430d2246c7f1f8d9f298c97d7365</x:t>
        </x:is>
      </x:c>
      <x:c r="S20" s="33" t="inlineStr">
        <x:is>
          <x:t xml:space="preserve">每日 Quote 代币池价；本地可手动更新</x:t>
        </x:is>
      </x:c>
    </x:row>
    <x:row r="21" ht="44" customHeight="1">
      <x:c r="A21" s="2"/>
      <x:c r="B21" s="2"/>
      <x:c r="C21" s="12" t="n">
        <x:v>8</x:v>
      </x:c>
      <x:c r="D21" s="12" t="str">
        <x:v>股票 / ETF RWA</x:v>
      </x:c>
      <x:c r="E21" s="15" t="str">
        <x:v>TSLAB</x:v>
      </x:c>
      <x:c r="F21" s="15" t="str">
        <x:v>Tesla</x:v>
      </x:c>
      <x:c r="G21" s="18" t="str">
        <x:v>​0x5b1910eAaD6450E50f816082Aa078C41F10C292f</x:v>
      </x:c>
      <x:c r="H21" s="21" t="n">
        <x:v>18</x:v>
      </x:c>
      <x:c r="I21" s="24" t="n">
        <x:v>12.79</x:v>
      </x:c>
      <x:c r="J21" s="37" t="n">
        <x:v>107036751</x:v>
      </x:c>
      <x:c r="K21" s="40" t="n">
        <x:v>14159000045.29</x:v>
      </x:c>
      <x:c r="L21" s="24" t="n">
        <x:v>33.32500088890011</x:v>
      </x:c>
      <x:c r="M21" s="37" t="n">
        <x:v>200000000</x:v>
      </x:c>
      <x:c r="N21" s="40" t="n">
        <x:v>6665000177.780021</x:v>
      </x:c>
      <x:c r="O21" s="12" t="str">
        <x:v>2026-09-10</x:v>
      </x:c>
      <x:c r="P21" s="27">
        <x:v>367.3318</x:v>
      </x:c>
      <x:c r="Q21" s="30">
        <x:v>46283.228682500005</x:v>
      </x:c>
      <x:c r="R21" s="33" t="inlineStr">
        <x:is>
          <x:t xml:space="preserve">https://dexscreener.com/bsc/0xb0f5e5400e8f0f7c242f2b7740c004f020579c41</x:t>
        </x:is>
      </x:c>
      <x:c r="S21" s="33" t="inlineStr">
        <x:is>
          <x:t xml:space="preserve">每日 Quote 代币池价；本地可手动更新</x:t>
        </x:is>
      </x:c>
    </x:row>
    <x:row r="22" ht="44" customHeight="1">
      <x:c r="A22" s="2"/>
      <x:c r="B22" s="2"/>
      <x:c r="C22" s="12" t="n">
        <x:v>9</x:v>
      </x:c>
      <x:c r="D22" s="12" t="str">
        <x:v>股票 / ETF RWA</x:v>
      </x:c>
      <x:c r="E22" s="15" t="str">
        <x:v>MSFTB</x:v>
      </x:c>
      <x:c r="F22" s="15" t="str">
        <x:v>Microsoft</x:v>
      </x:c>
      <x:c r="G22" s="18" t="str">
        <x:v>​0x80106cb3EAD06659A5ad19DF39D9b4733863B9b0</x:v>
      </x:c>
      <x:c r="H22" s="21" t="n">
        <x:v>18</x:v>
      </x:c>
      <x:c r="I22" s="24" t="n">
        <x:v>8.52666667</x:v>
      </x:c>
      <x:c r="J22" s="37" t="n">
        <x:v>107036751</x:v>
      </x:c>
      <x:c r="K22" s="40" t="n">
        <x:v>9439333367.21679</x:v>
      </x:c>
      <x:c r="L22" s="24" t="n">
        <x:v>22.216667267951905</x:v>
      </x:c>
      <x:c r="M22" s="37" t="n">
        <x:v>200000000</x:v>
      </x:c>
      <x:c r="N22" s="40" t="n">
        <x:v>4443333453.590381</x:v>
      </x:c>
      <x:c r="O22" s="12" t="str">
        <x:v>2026-09-10</x:v>
      </x:c>
      <x:c r="P22" s="27">
        <x:v>497.3293</x:v>
      </x:c>
      <x:c r="Q22" s="30">
        <x:v>46283.22868822917</x:v>
      </x:c>
      <x:c r="R22" s="33" t="inlineStr">
        <x:is>
          <x:t xml:space="preserve">https://dexscreener.com/bsc/0x5018b018ceb7645c927c5cf246786f89ebcbe7ea</x:t>
        </x:is>
      </x:c>
      <x:c r="S22" s="33" t="inlineStr">
        <x:is>
          <x:t xml:space="preserve">每日 Quote 代币池价；本地可手动更新</x:t>
        </x:is>
      </x:c>
    </x:row>
    <x:row r="23" ht="44" customHeight="1">
      <x:c r="A23" s="2"/>
      <x:c r="B23" s="2"/>
      <x:c r="C23" s="12" t="n">
        <x:v>10</x:v>
      </x:c>
      <x:c r="D23" s="12" t="str">
        <x:v>股票 / ETF RWA</x:v>
      </x:c>
      <x:c r="E23" s="15" t="str">
        <x:v>GOOGLB</x:v>
      </x:c>
      <x:c r="F23" s="15" t="str">
        <x:v>Alphabet</x:v>
      </x:c>
      <x:c r="G23" s="18" t="str">
        <x:v>​0x3F53De71c126BdaBAe20f9cD64848d317f6C3238</x:v>
      </x:c>
      <x:c r="H23" s="21" t="n">
        <x:v>18</x:v>
      </x:c>
      <x:c r="I23" s="24" t="n">
        <x:v>11.63030303</x:v>
      </x:c>
      <x:c r="J23" s="37" t="n">
        <x:v>107036751</x:v>
      </x:c>
      <x:c r="K23" s="40" t="n">
        <x:v>12875172879.476656</x:v>
      </x:c>
      <x:c r="L23" s="24" t="n">
        <x:v>30.303350962699575</x:v>
      </x:c>
      <x:c r="M23" s="37" t="n">
        <x:v>200000000</x:v>
      </x:c>
      <x:c r="N23" s="40" t="n">
        <x:v>6060670192.539914</x:v>
      </x:c>
      <x:c r="O23" s="12" t="str">
        <x:v>2026-09-10</x:v>
      </x:c>
      <x:c r="P23" s="27">
        <x:v>353.164</x:v>
      </x:c>
      <x:c r="Q23" s="30">
        <x:v>46283.228694097226</x:v>
      </x:c>
      <x:c r="R23" s="33" t="inlineStr">
        <x:is>
          <x:t xml:space="preserve">https://dexscreener.com/bsc/0x89001d846f7ca36ee089f73eefc25657e1798144</x:t>
        </x:is>
      </x:c>
      <x:c r="S23" s="33" t="inlineStr">
        <x:is>
          <x:t xml:space="preserve">每日 Quote 代币池价；本地可手动更新</x:t>
        </x:is>
      </x:c>
    </x:row>
    <x:row r="24" ht="44" customHeight="1">
      <x:c r="A24" s="2"/>
      <x:c r="B24" s="2"/>
      <x:c r="C24" s="12" t="n">
        <x:v>11</x:v>
      </x:c>
      <x:c r="D24" s="12" t="str">
        <x:v>股票 / ETF RWA</x:v>
      </x:c>
      <x:c r="E24" s="15" t="str">
        <x:v>HOODB</x:v>
      </x:c>
      <x:c r="F24" s="15" t="str">
        <x:v>Robinhood</x:v>
      </x:c>
      <x:c r="G24" s="18" t="str">
        <x:v>​0xA394dCEa3fd3847fD793afBFd163E2e3858B7c65</x:v>
      </x:c>
      <x:c r="H24" s="21" t="n">
        <x:v>18</x:v>
      </x:c>
      <x:c r="I24" s="24" t="n">
        <x:v>34.26749453</x:v>
      </x:c>
      <x:c r="J24" s="37" t="n">
        <x:v>107036751</x:v>
      </x:c>
      <x:c r="K24" s="40" t="n">
        <x:v>37935375809.401474</x:v>
      </x:c>
      <x:c r="L24" s="24" t="n">
        <x:v>89.28571428245735</x:v>
      </x:c>
      <x:c r="M24" s="37" t="n">
        <x:v>200000000</x:v>
      </x:c>
      <x:c r="N24" s="40" t="n">
        <x:v>17857142856.491467</x:v>
      </x:c>
      <x:c r="O24" s="12" t="str">
        <x:v>2026-09-10</x:v>
      </x:c>
      <x:c r="P24" s="27">
        <x:v>112.2414</x:v>
      </x:c>
      <x:c r="Q24" s="30">
        <x:v>46283.228699837964</x:v>
      </x:c>
      <x:c r="R24" s="33" t="inlineStr">
        <x:is>
          <x:t xml:space="preserve">https://dexscreener.com/bsc/0xfeef70ff6f58f0a900e28a77e5a8945afb343923</x:t>
        </x:is>
      </x:c>
      <x:c r="S24" s="33" t="inlineStr">
        <x:is>
          <x:t xml:space="preserve">每日 Quote 代币池价；本地可手动更新</x:t>
        </x:is>
      </x:c>
    </x:row>
    <x:row r="25" ht="44" customHeight="1">
      <x:c r="A25" s="2"/>
      <x:c r="B25" s="2"/>
      <x:c r="C25" s="12" t="n">
        <x:v>12</x:v>
      </x:c>
      <x:c r="D25" s="12" t="str">
        <x:v>股票 / ETF RWA</x:v>
      </x:c>
      <x:c r="E25" s="15" t="str">
        <x:v>BABAB</x:v>
      </x:c>
      <x:c r="F25" s="15" t="str">
        <x:v>Alibaba</x:v>
      </x:c>
      <x:c r="G25" s="18" t="str">
        <x:v>​0x4eF9d3062c7F6ebA4AAE4990c5036598C6eff4ec</x:v>
      </x:c>
      <x:c r="H25" s="21" t="n">
        <x:v>18</x:v>
      </x:c>
      <x:c r="I25" s="24" t="n">
        <x:v>30.696</x:v>
      </x:c>
      <x:c r="J25" s="37" t="n">
        <x:v>107036751</x:v>
      </x:c>
      <x:c r="K25" s="40" t="n">
        <x:v>33981600108.696</x:v>
      </x:c>
      <x:c r="L25" s="24" t="n">
        <x:v>79.98000213336024</x:v>
      </x:c>
      <x:c r="M25" s="37" t="n">
        <x:v>200000000</x:v>
      </x:c>
      <x:c r="N25" s="40" t="n">
        <x:v>15996000426.672047</x:v>
      </x:c>
      <x:c r="O25" s="12" t="str">
        <x:v>2026-09-10</x:v>
      </x:c>
      <x:c r="P25" s="27">
        <x:v>111.6958</x:v>
      </x:c>
      <x:c r="Q25" s="30">
        <x:v>46283.22870526621</x:v>
      </x:c>
      <x:c r="R25" s="33" t="inlineStr">
        <x:is>
          <x:t xml:space="preserve">https://dexscreener.com/bsc/0xfd95cb1391999006eb91797a7c62acfe88b20292</x:t>
        </x:is>
      </x:c>
      <x:c r="S25" s="33" t="inlineStr">
        <x:is>
          <x:t xml:space="preserve">每日 Quote 代币池价；本地可手动更新</x:t>
        </x:is>
      </x:c>
    </x:row>
    <x:row r="26" ht="44" customHeight="1">
      <x:c r="A26" s="2"/>
      <x:c r="B26" s="2"/>
      <x:c r="C26" s="12" t="n">
        <x:v>13</x:v>
      </x:c>
      <x:c r="D26" s="12" t="str">
        <x:v>股票 / ETF RWA</x:v>
      </x:c>
      <x:c r="E26" s="15" t="str">
        <x:v>GMEB</x:v>
      </x:c>
      <x:c r="F26" s="15" t="str">
        <x:v>GameStop</x:v>
      </x:c>
      <x:c r="G26" s="18" t="str">
        <x:v>​0x46cEeFDa28Dd7207059ed19B0acdc026955bb15C</x:v>
      </x:c>
      <x:c r="H26" s="21" t="n">
        <x:v>18</x:v>
      </x:c>
      <x:c r="I26" s="24" t="n">
        <x:v>177.68330498</x:v>
      </x:c>
      <x:c r="J26" s="37" t="n">
        <x:v>107036751</x:v>
      </x:c>
      <x:c r="K26" s="40" t="n">
        <x:v>196701948652.0013</x:v>
      </x:c>
      <x:c r="L26" s="24" t="n">
        <x:v>462.96296297116555</x:v>
      </x:c>
      <x:c r="M26" s="37" t="n">
        <x:v>200000000</x:v>
      </x:c>
      <x:c r="N26" s="40" t="n">
        <x:v>92592592594.2331</x:v>
      </x:c>
      <x:c r="O26" s="12" t="str">
        <x:v>2026-09-10</x:v>
      </x:c>
      <x:c r="P26" s="27">
        <x:v>22.8523</x:v>
      </x:c>
      <x:c r="Q26" s="30">
        <x:v>46283.22871233796</x:v>
      </x:c>
      <x:c r="R26" s="33" t="inlineStr">
        <x:is>
          <x:t xml:space="preserve">https://dexscreener.com/bsc/0x908d49048eb3a7bedfd238972403842805eaf2be</x:t>
        </x:is>
      </x:c>
      <x:c r="S26" s="33" t="inlineStr">
        <x:is>
          <x:t xml:space="preserve">每日 Quote 代币池价；本地可手动更新</x:t>
        </x:is>
      </x:c>
    </x:row>
    <x:row r="27" ht="44" customHeight="1">
      <x:c r="A27" s="2"/>
      <x:c r="B27" s="2"/>
      <x:c r="C27" s="12" t="n">
        <x:v>14</x:v>
      </x:c>
      <x:c r="D27" s="12" t="str">
        <x:v>股票 / ETF RWA</x:v>
      </x:c>
      <x:c r="E27" s="15" t="str">
        <x:v>NFLXB</x:v>
      </x:c>
      <x:c r="F27" s="15" t="str">
        <x:v>Netflix</x:v>
      </x:c>
      <x:c r="G27" s="18" t="str">
        <x:v>​0xD6829Ea836b6FA224d099D40E54B31262f874631</x:v>
      </x:c>
      <x:c r="H27" s="21" t="n">
        <x:v>18</x:v>
      </x:c>
      <x:c r="I27" s="24" t="n">
        <x:v>51.16</x:v>
      </x:c>
      <x:c r="J27" s="37" t="n">
        <x:v>107036751</x:v>
      </x:c>
      <x:c r="K27" s="40" t="n">
        <x:v>56636000181.16</x:v>
      </x:c>
      <x:c r="L27" s="24" t="n">
        <x:v>133.30000355560043</x:v>
      </x:c>
      <x:c r="M27" s="37" t="n">
        <x:v>200000000</x:v>
      </x:c>
      <x:c r="N27" s="40" t="n">
        <x:v>26660000711.120083</x:v>
      </x:c>
      <x:c r="O27" s="12" t="str">
        <x:v>2026-09-10</x:v>
      </x:c>
      <x:c r="P27" s="27">
        <x:v>75.6531</x:v>
      </x:c>
      <x:c r="Q27" s="30">
        <x:v>46283.22871717592</x:v>
      </x:c>
      <x:c r="R27" s="33" t="inlineStr">
        <x:is>
          <x:t xml:space="preserve">https://dexscreener.com/bsc/0xafab4441d8b354bba790229c0e235e7e6187b3d0</x:t>
        </x:is>
      </x:c>
      <x:c r="S27" s="33" t="inlineStr">
        <x:is>
          <x:t xml:space="preserve">每日 Quote 代币池价；本地可手动更新</x:t>
        </x:is>
      </x:c>
    </x:row>
    <x:row r="28" ht="44" customHeight="1">
      <x:c r="A28" s="2"/>
      <x:c r="B28" s="2"/>
      <x:c r="C28" s="12" t="n">
        <x:v>15</x:v>
      </x:c>
      <x:c r="D28" s="12" t="str">
        <x:v>股票 / ETF RWA</x:v>
      </x:c>
      <x:c r="E28" s="15" t="str">
        <x:v>MSTRB</x:v>
      </x:c>
      <x:c r="F28" s="15" t="str">
        <x:v>Strategy</x:v>
      </x:c>
      <x:c r="G28" s="18" t="str">
        <x:v>​0xE87afb3076AeB0f9B14E368DE8145ae6a2826A14</x:v>
      </x:c>
      <x:c r="H28" s="21" t="n">
        <x:v>18</x:v>
      </x:c>
      <x:c r="I28" s="24" t="n">
        <x:v>34.26749453</x:v>
      </x:c>
      <x:c r="J28" s="37" t="n">
        <x:v>107036751</x:v>
      </x:c>
      <x:c r="K28" s="40" t="n">
        <x:v>37935375809.401474</x:v>
      </x:c>
      <x:c r="L28" s="24" t="n">
        <x:v>89.28571428245735</x:v>
      </x:c>
      <x:c r="M28" s="37" t="n">
        <x:v>200000000</x:v>
      </x:c>
      <x:c r="N28" s="40" t="n">
        <x:v>17857142856.491467</x:v>
      </x:c>
      <x:c r="O28" s="12" t="str">
        <x:v>2026-09-10</x:v>
      </x:c>
      <x:c r="P28" s="27">
        <x:v>135.5947</x:v>
      </x:c>
      <x:c r="Q28" s="30">
        <x:v>46283.22872262732</x:v>
      </x:c>
      <x:c r="R28" s="33" t="inlineStr">
        <x:is>
          <x:t xml:space="preserve">https://dexscreener.com/bsc/0x692081209619735f25700557078ab084d3e5d007</x:t>
        </x:is>
      </x:c>
      <x:c r="S28" s="33" t="inlineStr">
        <x:is>
          <x:t xml:space="preserve">每日 Quote 代币池价；本地可手动更新</x:t>
        </x:is>
      </x:c>
    </x:row>
    <x:row r="29" ht="44" customHeight="1">
      <x:c r="A29" s="2"/>
      <x:c r="B29" s="2"/>
      <x:c r="C29" s="12" t="n">
        <x:v>16</x:v>
      </x:c>
      <x:c r="D29" s="12" t="str">
        <x:v>股票 / ETF RWA</x:v>
      </x:c>
      <x:c r="E29" s="15" t="str">
        <x:v>DJTB</x:v>
      </x:c>
      <x:c r="F29" s="15" t="str">
        <x:v>Trump Media &amp; Technology Group Corp</x:v>
      </x:c>
      <x:c r="G29" s="18" t="str">
        <x:v>​0xF2ec508422174Ee564de98187db9359D318AFB6b</x:v>
      </x:c>
      <x:c r="H29" s="21" t="n">
        <x:v>18</x:v>
      </x:c>
      <x:c r="I29" s="24" t="n">
        <x:v>383.7</x:v>
      </x:c>
      <x:c r="J29" s="37" t="n">
        <x:v>107036751</x:v>
      </x:c>
      <x:c r="K29" s="40" t="n">
        <x:v>424770001358.7</x:v>
      </x:c>
      <x:c r="L29" s="24" t="n">
        <x:v>999.7500266670031</x:v>
      </x:c>
      <x:c r="M29" s="37" t="n">
        <x:v>200000000</x:v>
      </x:c>
      <x:c r="N29" s="40" t="n">
        <x:v>199950005333.4006</x:v>
      </x:c>
      <x:c r="O29" s="12" t="str">
        <x:v>2026-09-10</x:v>
      </x:c>
      <x:c r="P29" s="27">
        <x:v>8.7377</x:v>
      </x:c>
      <x:c r="Q29" s="30">
        <x:v>46283.22872841435</x:v>
      </x:c>
      <x:c r="R29" s="33" t="inlineStr">
        <x:is>
          <x:t xml:space="preserve">https://dexscreener.com/bsc/0x9aadbd51515432dbb77c0a7f69c2b2c211f0c837</x:t>
        </x:is>
      </x:c>
      <x:c r="S29" s="33" t="inlineStr">
        <x:is>
          <x:t xml:space="preserve">每日 Quote 代币池价；本地可手动更新</x:t>
        </x:is>
      </x:c>
    </x:row>
    <x:row r="30" ht="44" customHeight="1">
      <x:c r="A30" s="2"/>
      <x:c r="B30" s="2"/>
      <x:c r="C30" s="12" t="n">
        <x:v>17</x:v>
      </x:c>
      <x:c r="D30" s="12" t="str">
        <x:v>股票 / ETF RWA</x:v>
      </x:c>
      <x:c r="E30" s="15" t="str">
        <x:v>SOXSB</x:v>
      </x:c>
      <x:c r="F30" s="15" t="str">
        <x:v>Direxion Semiconductor Bear 3X ETF</x:v>
      </x:c>
      <x:c r="G30" s="18" t="str">
        <x:v>​0xE28Cd11C99AF2df76bb8aDA4Cd0ef3904378280F</x:v>
      </x:c>
      <x:c r="H30" s="21" t="n">
        <x:v>18</x:v>
      </x:c>
      <x:c r="I30" s="24" t="n">
        <x:v>76.74</x:v>
      </x:c>
      <x:c r="J30" s="37" t="n">
        <x:v>107036751</x:v>
      </x:c>
      <x:c r="K30" s="40" t="n">
        <x:v>84954000271.74</x:v>
      </x:c>
      <x:c r="L30" s="24" t="n">
        <x:v>199.9500053334006</x:v>
      </x:c>
      <x:c r="M30" s="37" t="n">
        <x:v>200000000</x:v>
      </x:c>
      <x:c r="N30" s="40" t="n">
        <x:v>39990001066.680115</x:v>
      </x:c>
      <x:c r="O30" s="12" t="str">
        <x:v>2026-09-10</x:v>
      </x:c>
      <x:c r="P30" s="27">
        <x:v>44.6261</x:v>
      </x:c>
      <x:c r="Q30" s="30">
        <x:v>46283.22873591435</x:v>
      </x:c>
      <x:c r="R30" s="33" t="inlineStr">
        <x:is>
          <x:t xml:space="preserve">https://dexscreener.com/bsc/0xd5c0572126a707196aaba2b6952d67fc2a140651</x:t>
        </x:is>
      </x:c>
      <x:c r="S30" s="33" t="inlineStr">
        <x:is>
          <x:t xml:space="preserve">每日 Quote 代币池价；本地可手动更新</x:t>
        </x:is>
      </x:c>
    </x:row>
    <x:row r="31" ht="44" customHeight="1">
      <x:c r="A31" s="2"/>
      <x:c r="B31" s="2"/>
      <x:c r="C31" s="12" t="n">
        <x:v>18</x:v>
      </x:c>
      <x:c r="D31" s="12" t="str">
        <x:v>股票 / ETF RWA</x:v>
      </x:c>
      <x:c r="E31" s="15" t="str">
        <x:v>SOXLB</x:v>
      </x:c>
      <x:c r="F31" s="15" t="str">
        <x:v>Semicon Bull 3X ETF</x:v>
      </x:c>
      <x:c r="G31" s="18" t="str">
        <x:v>​0xd97d097a89113fa59b76c572E5b2Eb647E8eefaf</x:v>
      </x:c>
      <x:c r="H31" s="21" t="n">
        <x:v>18</x:v>
      </x:c>
      <x:c r="I31" s="24" t="n">
        <x:v>34.88181818</x:v>
      </x:c>
      <x:c r="J31" s="37" t="n">
        <x:v>107036751</x:v>
      </x:c>
      <x:c r="K31" s="40" t="n">
        <x:v>38615454668.972725</x:v>
      </x:c>
      <x:c r="L31" s="24" t="n">
        <x:v>90.88636606245481</x:v>
      </x:c>
      <x:c r="M31" s="37" t="n">
        <x:v>200000000</x:v>
      </x:c>
      <x:c r="N31" s="40" t="n">
        <x:v>18177273212.49096</x:v>
      </x:c>
      <x:c r="O31" s="12" t="str">
        <x:v>2026-09-10</x:v>
      </x:c>
      <x:c r="P31" s="27">
        <x:v>115.8148</x:v>
      </x:c>
      <x:c r="Q31" s="30">
        <x:v>46283.22874158565</x:v>
      </x:c>
      <x:c r="R31" s="33" t="inlineStr">
        <x:is>
          <x:t xml:space="preserve">https://dexscreener.com/bsc/0x3d7d950377eca7b4af7233716ff17def00ab2045</x:t>
        </x:is>
      </x:c>
      <x:c r="S31" s="33" t="inlineStr">
        <x:is>
          <x:t xml:space="preserve">每日 Quote 代币池价；本地可手动更新</x:t>
        </x:is>
      </x:c>
    </x:row>
    <x:row r="32" ht="44" customHeight="1">
      <x:c r="A32" s="2"/>
      <x:c r="B32" s="2"/>
      <x:c r="C32" s="12" t="n">
        <x:v>19</x:v>
      </x:c>
      <x:c r="D32" s="12" t="str">
        <x:v>股票 / ETF RWA</x:v>
      </x:c>
      <x:c r="E32" s="15" t="str">
        <x:v>MRNAB</x:v>
      </x:c>
      <x:c r="F32" s="15" t="str">
        <x:v>Moderna</x:v>
      </x:c>
      <x:c r="G32" s="18" t="str">
        <x:v>​0x5fd86da9B05abE396fe9d02a4A213A7c00556503</x:v>
      </x:c>
      <x:c r="H32" s="21" t="n">
        <x:v>18</x:v>
      </x:c>
      <x:c r="I32" s="24" t="n">
        <x:v>24.38502698</x:v>
      </x:c>
      <x:c r="J32" s="37" t="n">
        <x:v>107036751</x:v>
      </x:c>
      <x:c r="K32" s="40" t="n">
        <x:v>26995121040.98654</x:v>
      </x:c>
      <x:c r="L32" s="24" t="n">
        <x:v>63.536438294320014</x:v>
      </x:c>
      <x:c r="M32" s="37" t="n">
        <x:v>200000000</x:v>
      </x:c>
      <x:c r="N32" s="40" t="n">
        <x:v>12707287658.864</x:v>
      </x:c>
      <x:c r="O32" s="12" t="str">
        <x:v>2026-09-10</x:v>
      </x:c>
      <x:c r="P32" s="27">
        <x:v>160.38</x:v>
      </x:c>
      <x:c r="Q32" s="30">
        <x:v>46283.22874582176</x:v>
      </x:c>
      <x:c r="R32" s="33" t="inlineStr">
        <x:is>
          <x:t xml:space="preserve">https://dexscreener.com/bsc/0xcc992887e9cee37a698541e2f6d1675453fbcfcc</x:t>
        </x:is>
      </x:c>
      <x:c r="S32" s="33" t="inlineStr">
        <x:is>
          <x:t xml:space="preserve">每日 Quote 代币池价；本地可手动更新</x:t>
        </x:is>
      </x:c>
    </x:row>
    <x:row r="33" ht="44" customHeight="1">
      <x:c r="A33" s="2"/>
      <x:c r="B33" s="2"/>
      <x:c r="C33" s="12" t="n">
        <x:v>20</x:v>
      </x:c>
      <x:c r="D33" s="12" t="str">
        <x:v>股票 / ETF RWA</x:v>
      </x:c>
      <x:c r="E33" s="15" t="str">
        <x:v>FLNCB</x:v>
      </x:c>
      <x:c r="F33" s="15" t="str">
        <x:v>Fluence Energy</x:v>
      </x:c>
      <x:c r="G33" s="18" t="str">
        <x:v>​0x4af1D41cd9dD950dcA43984b43aaA2A8702714Ac</x:v>
      </x:c>
      <x:c r="H33" s="21" t="n">
        <x:v>18</x:v>
      </x:c>
      <x:c r="I33" s="24" t="n">
        <x:v>383.7</x:v>
      </x:c>
      <x:c r="J33" s="37" t="n">
        <x:v>107036751</x:v>
      </x:c>
      <x:c r="K33" s="40" t="n">
        <x:v>424770001358.7</x:v>
      </x:c>
      <x:c r="L33" s="24" t="n">
        <x:v>999.7500266670031</x:v>
      </x:c>
      <x:c r="M33" s="37" t="n">
        <x:v>200000000</x:v>
      </x:c>
      <x:c r="N33" s="40" t="n">
        <x:v>199950005333.4006</x:v>
      </x:c>
      <x:c r="O33" s="12" t="str">
        <x:v>2026-09-10</x:v>
      </x:c>
      <x:c r="P33" s="27">
        <x:v>7.803</x:v>
      </x:c>
      <x:c r="Q33" s="30">
        <x:v>46283.22875224537</x:v>
      </x:c>
      <x:c r="R33" s="33" t="inlineStr">
        <x:is>
          <x:t xml:space="preserve">https://dexscreener.com/bsc/0x1f7083a138f980b60eb1582f01ca3b1d6c46ad10</x:t>
        </x:is>
      </x:c>
      <x:c r="S33" s="33" t="inlineStr">
        <x:is>
          <x:t xml:space="preserve">每日 Quote 代币池价；本地可手动更新</x:t>
        </x:is>
      </x:c>
    </x:row>
    <x:row r="34" ht="44" customHeight="1">
      <x:c r="A34" s="2"/>
      <x:c r="B34" s="2"/>
      <x:c r="C34" s="12" t="n">
        <x:v>21</x:v>
      </x:c>
      <x:c r="D34" s="12" t="str">
        <x:v>股票 / ETF RWA</x:v>
      </x:c>
      <x:c r="E34" s="15" t="str">
        <x:v>FXIon</x:v>
      </x:c>
      <x:c r="F34" s="15" t="str">
        <x:v>iShares China Large-Cap ETF</x:v>
      </x:c>
      <x:c r="G34" s="18" t="str">
        <x:v>​0x9b8E987e6fEc8Cf1380C4dcA7071e2C7853AEEA1</x:v>
      </x:c>
      <x:c r="H34" s="21" t="n">
        <x:v>18</x:v>
      </x:c>
      <x:c r="I34" s="24" t="n">
        <x:v>109.62857143</x:v>
      </x:c>
      <x:c r="J34" s="37" t="n">
        <x:v>107036751</x:v>
      </x:c>
      <x:c r="K34" s="40" t="n">
        <x:v>121362857531.05714</x:v>
      </x:c>
      <x:c r="L34" s="24" t="n">
        <x:v>285.64286476057237</x:v>
      </x:c>
      <x:c r="M34" s="37" t="n">
        <x:v>200000000</x:v>
      </x:c>
      <x:c r="N34" s="40" t="n">
        <x:v>57128572952.11446</x:v>
      </x:c>
      <x:c r="O34" s="12" t="str">
        <x:v>2026-09-10</x:v>
      </x:c>
      <x:c r="P34" s="27">
        <x:v>34.5738</x:v>
      </x:c>
      <x:c r="Q34" s="30">
        <x:v>46283.228758564816</x:v>
      </x:c>
      <x:c r="R34" s="33" t="inlineStr">
        <x:is>
          <x:t xml:space="preserve">https://dexscreener.com/bsc/0x8768c8969e177575e37435b8295afa2dfb231c86</x:t>
        </x:is>
      </x:c>
      <x:c r="S34" s="33" t="inlineStr">
        <x:is>
          <x:t xml:space="preserve">每日 Quote 代币池价；本地可手动更新</x:t>
        </x:is>
      </x:c>
    </x:row>
    <x:row r="35" ht="44" customHeight="1">
      <x:c r="A35" s="2"/>
      <x:c r="B35" s="2"/>
      <x:c r="C35" s="12" t="n">
        <x:v>22</x:v>
      </x:c>
      <x:c r="D35" s="12" t="str">
        <x:v>股票 / ETF RWA</x:v>
      </x:c>
      <x:c r="E35" s="15" t="str">
        <x:v>BMNRB</x:v>
      </x:c>
      <x:c r="F35" s="15" t="str">
        <x:v>BitMine Immersion Technologies</x:v>
      </x:c>
      <x:c r="G35" s="18" t="str">
        <x:v>​0x3548Da95a9eFFE481e8604664d75e95821e557F5</x:v>
      </x:c>
      <x:c r="H35" s="21" t="n">
        <x:v>18</x:v>
      </x:c>
      <x:c r="I35" s="24" t="n">
        <x:v>153.48</x:v>
      </x:c>
      <x:c r="J35" s="37" t="n">
        <x:v>107036751</x:v>
      </x:c>
      <x:c r="K35" s="40" t="n">
        <x:v>169908000543.48</x:v>
      </x:c>
      <x:c r="L35" s="24" t="n">
        <x:v>399.9000106668012</x:v>
      </x:c>
      <x:c r="M35" s="37" t="n">
        <x:v>200000000</x:v>
      </x:c>
      <x:c r="N35" s="40" t="n">
        <x:v>79980002133.36023</x:v>
      </x:c>
      <x:c r="O35" s="12" t="str">
        <x:v>2026-09-10</x:v>
      </x:c>
      <x:c r="P35" s="27">
        <x:v>24.3992</x:v>
      </x:c>
      <x:c r="Q35" s="30">
        <x:v>46283.22876398148</x:v>
      </x:c>
      <x:c r="R35" s="33" t="inlineStr">
        <x:is>
          <x:t xml:space="preserve">https://dexscreener.com/bsc/0x52a427db0b2d9154a5f4ad09d22f3792f754b6fc</x:t>
        </x:is>
      </x:c>
      <x:c r="S35" s="33" t="inlineStr">
        <x:is>
          <x:t xml:space="preserve">每日 Quote 代币池价；本地可手动更新</x:t>
        </x:is>
      </x:c>
    </x:row>
    <x:row r="36" ht="44" customHeight="1">
      <x:c r="A36" s="2"/>
      <x:c r="B36" s="2"/>
      <x:c r="C36" s="13" t="n">
        <x:v>23</x:v>
      </x:c>
      <x:c r="D36" s="13" t="str">
        <x:v>股票 / ETF RWA</x:v>
      </x:c>
      <x:c r="E36" s="16" t="str">
        <x:v>BILIon</x:v>
      </x:c>
      <x:c r="F36" s="16" t="str">
        <x:v>Bilibili</x:v>
      </x:c>
      <x:c r="G36" s="19" t="str">
        <x:v>​0x91fc7371d6dE682A1e8CFcB4EB7dA693312A03a4</x:v>
      </x:c>
      <x:c r="H36" s="22" t="n">
        <x:v>18</x:v>
      </x:c>
      <x:c r="I36" s="25" t="n">
        <x:v>239.8125</x:v>
      </x:c>
      <x:c r="J36" s="38" t="n">
        <x:v>107036751</x:v>
      </x:c>
      <x:c r="K36" s="41" t="n">
        <x:v>265481250849.1875</x:v>
      </x:c>
      <x:c r="L36" s="25" t="n">
        <x:v>624.843766666877</x:v>
      </x:c>
      <x:c r="M36" s="38" t="n">
        <x:v>200000000</x:v>
      </x:c>
      <x:c r="N36" s="41" t="n">
        <x:v>124968753333.37537</x:v>
      </x:c>
      <x:c r="O36" s="13" t="str">
        <x:v>2026-09-10</x:v>
      </x:c>
      <x:c r="P36" s="28"/>
      <x:c r="Q36" s="31">
        <x:v>46283.22876984954</x:v>
      </x:c>
      <x:c r="R36" s="34"/>
      <x:c r="S36" s="34" t="inlineStr">
        <x:is>
          <x:t xml:space="preserve">暂无合格池价；可手动输入</x:t>
        </x:is>
      </x:c>
    </x:row>
  </x:sheetData>
  <x:mergeCells>
    <x:mergeCell ref="C3:O3"/>
    <x:mergeCell ref="C5:D5"/>
    <x:mergeCell ref="E5:O5"/>
    <x:mergeCell ref="C6:D6"/>
    <x:mergeCell ref="E6:O6"/>
    <x:mergeCell ref="C7:D7"/>
    <x:mergeCell ref="E7:O7"/>
    <x:mergeCell ref="C8:D8"/>
    <x:mergeCell ref="E8:O8"/>
    <x:mergeCell ref="C9:D9"/>
    <x:mergeCell ref="E9:O9"/>
    <x:mergeCell ref="C10:D10"/>
    <x:mergeCell ref="E10:O10"/>
    <x:mergeCell ref="C11:D11"/>
    <x:mergeCell ref="E11:O11"/>
    <x:mergeCell ref="P6:S6"/>
    <x:mergeCell ref="R3:S3"/>
  </x:mergeCells>
  <x:pageMargins left="0.7" right="0.7" top="0.75" bottom="0.75" header="0.3" footer="0.3"/>
</x:worksheet>
</file>