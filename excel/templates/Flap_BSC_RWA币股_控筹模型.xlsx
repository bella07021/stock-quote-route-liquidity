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8b598ccc9349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b0b511ce09834359"/>
    <x:sheet xmlns:r="http://schemas.openxmlformats.org/officeDocument/2006/relationships" name="Quote参数" sheetId="2" r:id="R1a974b74ae194c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223cf273fc4d6f" /><Relationship Type="http://schemas.openxmlformats.org/officeDocument/2006/relationships/theme" Target="/xl/theme/theme1.xml" Id="R935b6a40ede04301" /><Relationship Type="http://schemas.openxmlformats.org/officeDocument/2006/relationships/sharedStrings" Target="/xl/sharedStrings.xml" Id="R9e6318690ebe47b4" /><Relationship Type="http://schemas.openxmlformats.org/officeDocument/2006/relationships/worksheet" Target="/xl/worksheets/sheet1.xml" Id="Rb0b511ce09834359" /><Relationship Type="http://schemas.openxmlformats.org/officeDocument/2006/relationships/worksheet" Target="/xl/worksheets/sheet2.xml" Id="R1a974b74ae194c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 t="n">
        <f>IF(AND(ISNUMBER($D$55),$D$55&gt;0),ROUNDUP($G$56/$D$55,0),"")</f>
        <v>65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IF(ISNUMBER($D$26),(IF(LEFT($D$51,2)&lt;&gt;"可达","",IF($D$22="","",SUM($D$22,$D$23,$D$24,$D$25))))+$D$26,"")</f>
        <v>560.8436557080356</v>
      </c>
      <c r="E18" s="58" t="str">
        <f>$D$7</f>
        <v>SPCXB</v>
      </c>
      <c r="F18" s="101" t="str">
        <v>原生币 Gas 储备</v>
      </c>
      <c r="G18" s="68" t="n">
        <f>$D$53*MAX(0,$G$11)</f>
        <v>2.2</v>
      </c>
      <c r="H18" s="58" t="str">
        <v>BNB</v>
      </c>
      <c r="I18" s="101" t="str">
        <v>总折算 / USDT</v>
      </c>
      <c r="J18" s="114" t="n">
        <f>IF(AND(ISNUMBER($D$19),ISNUMBER($G$19)),SUM(D19,G19),"")</f>
        <v>88615.67030738079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IF(ISNUMBER($D$18),IF($D$18=0,0,IF($D$55&gt;0,$D$18*$D$55,"")),"")</f>
        <v>86955.74661117076</v>
      </c>
      <c r="E19" s="100" t="str">
        <v>USDT</v>
      </c>
      <c r="F19" s="101" t="str">
        <v>Gas 折算 / USDT</v>
      </c>
      <c r="G19" s="115" t="n">
        <f>IF($G$18=0,0,IF($J$19="","",$G$18*$J$19))</f>
        <v>1659.9236962100315</v>
      </c>
      <c r="H19" s="100" t="str">
        <v>USDT</v>
      </c>
      <c r="I19" s="101" t="str">
        <v>原生币价格 / USDT</v>
      </c>
      <c r="J19" s="116" t="n">
        <f>IF($D$7="BNB",$D$55,IF('Quote参数'!$P$7&gt;0,'Quote参数'!$P$7,""))</f>
        <v>754.5107710045597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"&amp;TEXT($D$52,"0%")&amp;" 理论资金"</f>
        <v>预算 95% 理论资金</v>
      </c>
      <c r="D22" s="115" t="n">
        <f>IF(LEFT($D$51,2)&lt;&gt;"可达","",IF($J$45="","",$J$41+$J$45))</f>
        <v>358.7053571297718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IF(LEFT($D$51,2)&lt;&gt;"可达","",$J$41*MAX(0,$G$7-1))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5" t="n">
        <f>IF(LEFT($D$51,2)&lt;&gt;"可达","",IF($J$46="","",$J$46*$J$47))</f>
        <v>35.71428571298285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65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恢复目标控筹预留</v>
      </c>
      <c r="D26" s="115" t="n">
        <f>IF(LEFT($D$51,2)&lt;&gt;"可达","",MAX(0,($G$50/$J$55-$G$50/$J$56)*(1+$G$42)))</f>
        <v>11.245441439998995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0.93765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 t="n">
        <f>$D$8</f>
        <v>0.94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 t="n">
        <f>$G$42+$J$8</f>
        <v>0.0025</v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 Pancake LP 费从输入币收取：卖出腿扣 TOKEN，买入腿扣 Quote；Tax V3 买税扣输出 TOKEN、卖税扣输入 TOKEN。洗后控筹只按实际扣 TOKEN 的一侧 LP 费及买卖税折减，补回按曲线差额估算。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50000000.00000006</v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357.1428571298289</v>
      </c>
      <c r="K43" s="101"/>
      <c r="L43" s="101"/>
    </row>
    <row r="44" ht="30" hidden="1" customHeight="1" outlineLevel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267.8571428473715</v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268.5267857044899</v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7142.857142596569</v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IF($D$52&lt;$D$54,MAX(0,($D$52-$G$43)*1000000000),"")</f>
        <v>149999999.9999999</v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149999999.9999999</v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 t="str">
        <f>IF($J$51&lt;&gt;"参数有效",$J$51,IF(OR($D$8&lt;80%,$D$8&gt;=100%),"目标控筹率无效",IF(OR($J$7&lt;0,$J$7&gt;10%,$J$8&lt;0,$J$8&gt;10%),"税率无效",IF($D$52&gt;=$D$54,"目标+1%不可达","可达"))))</f>
        <v>可达</v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 t="n">
        <f>$D$8+1%</f>
        <v>0.95</v>
      </c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 t="n">
        <f>MAX(0,$G$8)*MAX(0,$G$7)+MAX(0,$G$9)+MAX(0,$G$10)</f>
        <v>220</v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 t="n">
        <f>$G$43+(1-$J$7)*$G$48/1000000000</f>
        <v>1</v>
      </c>
      <c r="E54" s="101"/>
      <c r="F54" s="101" t="str">
        <v>价格采用方式</v>
      </c>
      <c r="G54" s="102" t="str">
        <f>IF($D$9&lt;&gt;"","手动覆盖","每日行情")</f>
        <v>每日行情</v>
      </c>
      <c r="H54" s="101"/>
      <c r="I54" s="101" t="str">
        <v>洗后持仓保留比例</v>
      </c>
      <c r="J54" s="106" t="n">
        <f>(1-$J$7)*(1-$J$8)*(1-$G$42)</f>
        <v>0.9975</v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 t="n">
        <f>IF($D$9&lt;&gt;"",IF(AND(ISNUMBER($D$9),$D$9&gt;0),$D$9,""),IF(VLOOKUP($D$7,'Quote参数'!$E$14:$P$36,12,FALSE)&gt;0,VLOOKUP($D$7,'Quote参数'!$E$14:$P$36,12,FALSE),""))</f>
        <v>155.04454</v>
      </c>
      <c r="E55" s="101"/>
      <c r="F55" s="101" t="str">
        <v>价格状态</v>
      </c>
      <c r="G55" s="102" t="str">
        <f>IF($D$9&lt;&gt;"",IF($D$55="","手动价格无效","手动价格"),IF($D$55="","缺少价格","每日行情"))</f>
        <v>每日行情</v>
      </c>
      <c r="H55" s="101"/>
      <c r="I55" s="101" t="str">
        <v>目标外盘 Pool TOKEN</v>
      </c>
      <c r="J55" s="102" t="n">
        <f>$G$48-($D$8-$G$43)*$D$45/(1-$J$7)</f>
        <v>60000000.00000006</v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 t="n">
        <f>IF(VLOOKUP($D$7,'Quote参数'!$E$14:$Q$36,13,FALSE)=0,"",VLOOKUP($D$7,'Quote参数'!$E$14:$Q$36,13,FALSE))</f>
        <v>46283.2286428125</v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 t="n">
        <f>$G$48-($D$27-$G$43)*$D$45/(1-$J$7)</f>
        <v>62350000.00000003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IF(OR($D$55="",NOT(ISNUMBER(F59))),"",F59*$D$55)</f>
        <v>0.000004799287757662136</v>
      </c>
      <c r="H59" s="137" t="n">
        <f>IF(NOT(ISNUMBER(F59)),"",F59*$D$45)</f>
        <v>30.954251969544593</v>
      </c>
      <c r="I59" s="137" t="n">
        <f>IF(OR($D$55="",NOT(ISNUMBER(H59))),"",H59*$D$55)</f>
        <v>4799.287757662136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IF(OR($D$55="",NOT(ISNUMBER(F60))),"",F60*$D$55)</f>
        <v>0.000005799762739317745</v>
      </c>
      <c r="H60" s="138" t="n">
        <f>IF(NOT(ISNUMBER(F60)),"",F60*$D$45)</f>
        <v>37.40707502062146</v>
      </c>
      <c r="I60" s="138" t="n">
        <f>IF(OR($D$55="",NOT(ISNUMBER(H60))),"",H60*$D$55)</f>
        <v>5799.762739317745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IF(OR($D$55="",NOT(ISNUMBER(F61))),"",F61*$D$55)</f>
        <v>0.000007149095517764382</v>
      </c>
      <c r="H61" s="138" t="n">
        <f>IF(NOT(ISNUMBER(F61)),"",F61*$D$45)</f>
        <v>46.10994697242729</v>
      </c>
      <c r="I61" s="138" t="n">
        <f>IF(OR($D$55="",NOT(ISNUMBER(H61))),"",H61*$D$55)</f>
        <v>7149.095517764382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IF(OR($D$55="",NOT(ISNUMBER(F62))),"",F62*$D$55)</f>
        <v>0.00000903055086873681</v>
      </c>
      <c r="H62" s="138" t="n">
        <f>IF(NOT(ISNUMBER(F62)),"",F62*$D$45)</f>
        <v>58.244881559433246</v>
      </c>
      <c r="I62" s="138" t="n">
        <f>IF(OR($D$55="",NOT(ISNUMBER(H62))),"",H62*$D$55)</f>
        <v>9030.550868736811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IF(OR($D$55="",NOT(ISNUMBER(F63))),"",F63*$D$55)</f>
        <v>0.000011765676158378303</v>
      </c>
      <c r="H63" s="138" t="n">
        <f>IF(NOT(ISNUMBER(F63)),"",F63*$D$45)</f>
        <v>75.88578197193078</v>
      </c>
      <c r="I63" s="138" t="n">
        <f>IF(OR($D$55="",NOT(ISNUMBER(H63))),"",H63*$D$55)</f>
        <v>11765.676158378303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IF(OR($D$55="",NOT(ISNUMBER(F64))),"",F64*$D$55)</f>
        <v>0.000015961396940734793</v>
      </c>
      <c r="H64" s="138" t="n">
        <f>IF(NOT(ISNUMBER(F64)),"",F64*$D$45)</f>
        <v>102.94717208832245</v>
      </c>
      <c r="I64" s="138" t="n">
        <f>IF(OR($D$55="",NOT(ISNUMBER(H64))),"",H64*$D$55)</f>
        <v>15961.396940734794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IF(OR($D$55="",NOT(ISNUMBER(F65))),"",F65*$D$55)</f>
        <v>0.000022878207240811758</v>
      </c>
      <c r="H65" s="138" t="n">
        <f>IF(NOT(ISNUMBER(F65)),"",F65*$D$45)</f>
        <v>147.5589352634524</v>
      </c>
      <c r="I65" s="138" t="n">
        <f>IF(OR($D$55="",NOT(ISNUMBER(H65))),"",H65*$D$55)</f>
        <v>22878.20724081176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IF(OR($D$55="",NOT(ISNUMBER(F66))),"",F66*$D$55)</f>
        <v>0.00003550043065528577</v>
      </c>
      <c r="H66" s="138" t="n">
        <f>IF(NOT(ISNUMBER(F66)),"",F66*$D$45)</f>
        <v>228.9692410663785</v>
      </c>
      <c r="I66" s="138" t="n">
        <f>IF(OR($D$55="",NOT(ISNUMBER(H66))),"",H66*$D$55)</f>
        <v>35500.43065528577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IF(OR($D$55="",NOT(ISNUMBER(F67))),"",F67*$D$55)</f>
        <v>0.00006239074105448503</v>
      </c>
      <c r="H67" s="139" t="n">
        <f>IF(NOT(ISNUMBER(F67)),"",F67*$D$45)</f>
        <v>402.4052769254888</v>
      </c>
      <c r="I67" s="139" t="n">
        <f>IF(OR($D$55="",NOT(ISNUMBER(H67))),"",H67*$D$55)</f>
        <v>62390.74105448503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IF(OR($D$55="",NOT(ISNUMBER(F72))),"",F72*$D$55)</f>
        <v>0.00006921631249747516</v>
      </c>
      <c r="H72" s="137" t="n">
        <f>IF(NOT(ISNUMBER(F72)),"",F72*$D$45)</f>
        <v>446.4285714122868</v>
      </c>
      <c r="I72" s="137" t="n">
        <f>IF(OR($D$55="",NOT(ISNUMBER(H72))),"",H72*$D$55)</f>
        <v>69216.31249747516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IF(C73&lt;$D$54,$G$48-MAX(0,(C73-$G$43)*$D$45)/(1-$J$7),"")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IF(OR($D$55="",NOT(ISNUMBER(F73))),"",F73*$D$55)</f>
        <v>0.0000728113740933335</v>
      </c>
      <c r="H73" s="138" t="n">
        <f>IF(NOT(ISNUMBER(F73)),"",F73*$D$45)</f>
        <v>469.6158542141084</v>
      </c>
      <c r="I73" s="138" t="n">
        <f>IF(OR($D$55="",NOT(ISNUMBER(H73))),"",H73*$D$55)</f>
        <v>72811.3740933335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IF(C74&lt;$D$54,$G$48-MAX(0,(C74-$G$43)*$D$45)/(1-$J$7),"")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IF(OR($D$55="",NOT(ISNUMBER(F74))),"",F74*$D$55)</f>
        <v>0.00007669397506645448</v>
      </c>
      <c r="H74" s="138" t="n">
        <f>IF(NOT(ISNUMBER(F74)),"",F74*$D$45)</f>
        <v>494.65769685571945</v>
      </c>
      <c r="I74" s="138" t="n">
        <f>IF(OR($D$55="",NOT(ISNUMBER(H74))),"",H74*$D$55)</f>
        <v>76693.97506645447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IF(C75&lt;$D$54,$G$48-MAX(0,(C75-$G$43)*$D$45)/(1-$J$7),"")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IF(OR($D$55="",NOT(ISNUMBER(F75))),"",F75*$D$55)</f>
        <v>0.00008089561723590962</v>
      </c>
      <c r="H75" s="138" t="n">
        <f>IF(NOT(ISNUMBER(F75)),"",F75*$D$45)</f>
        <v>521.7572784950029</v>
      </c>
      <c r="I75" s="138" t="n">
        <f>IF(OR($D$55="",NOT(ISNUMBER(H75))),"",H75*$D$55)</f>
        <v>80895.61723590962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IF(C76&lt;$D$54,$G$48-MAX(0,(C76-$G$43)*$D$45)/(1-$J$7),"")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IF(OR($D$55="",NOT(ISNUMBER(F76))),"",F76*$D$55)</f>
        <v>0.00008545223765120394</v>
      </c>
      <c r="H76" s="138" t="n">
        <f>IF(NOT(ISNUMBER(F76)),"",F76*$D$45)</f>
        <v>551.1463844596135</v>
      </c>
      <c r="I76" s="138" t="n">
        <f>IF(OR($D$55="",NOT(ISNUMBER(H76))),"",H76*$D$55)</f>
        <v>85452.23765120393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IF(C77&lt;$D$54,$G$48-MAX(0,(C77-$G$43)*$D$45)/(1-$J$7),"")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IF(OR($D$55="",NOT(ISNUMBER(F77))),"",F77*$D$55)</f>
        <v>0.00009040497958853903</v>
      </c>
      <c r="H77" s="138" t="n">
        <f>IF(NOT(ISNUMBER(F77)),"",F77*$D$45)</f>
        <v>583.0903789874768</v>
      </c>
      <c r="I77" s="138" t="n">
        <f>IF(OR($D$55="",NOT(ISNUMBER(H77))),"",H77*$D$55)</f>
        <v>90404.97958853902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IF(C78&lt;$D$54,$G$48-MAX(0,(C78-$G$43)*$D$45)/(1-$J$7),"")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IF(OR($D$55="",NOT(ISNUMBER(F78))),"",F78*$D$55)</f>
        <v>0.0000958011245639795</v>
      </c>
      <c r="H78" s="138" t="n">
        <f>IF(NOT(ISNUMBER(F78)),"",F78*$D$45)</f>
        <v>617.8942164875945</v>
      </c>
      <c r="I78" s="138" t="n">
        <f>IF(OR($D$55="",NOT(ISNUMBER(H78))),"",H78*$D$55)</f>
        <v>95801.12456397951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IF(C79&lt;$D$54,$G$48-MAX(0,(C79-$G$43)*$D$45)/(1-$J$7),"")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IF(OR($D$55="",NOT(ISNUMBER(F79))),"",F79*$D$55)</f>
        <v>0.0001016952249733336</v>
      </c>
      <c r="H79" s="138" t="n">
        <f>IF(NOT(ISNUMBER(F79)),"",F79*$D$45)</f>
        <v>655.9097467949119</v>
      </c>
      <c r="I79" s="138" t="n">
        <f>IF(OR($D$55="",NOT(ISNUMBER(H79))),"",H79*$D$55)</f>
        <v>101695.2249733336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IF(C80&lt;$D$54,$G$48-MAX(0,(C80-$G$43)*$D$45)/(1-$J$7),"")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IF(OR($D$55="",NOT(ISNUMBER(F80))),"",F80*$D$55)</f>
        <v>0.00010815048827730498</v>
      </c>
      <c r="H80" s="138" t="n">
        <f>IF(NOT(ISNUMBER(F80)),"",F80*$D$45)</f>
        <v>697.5446428316984</v>
      </c>
      <c r="I80" s="138" t="n">
        <f>IF(OR($D$55="",NOT(ISNUMBER(H80))),"",H80*$D$55)</f>
        <v>108150.48827730499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IF(C81&lt;$D$54,$G$48-MAX(0,(C81-$G$43)*$D$45)/(1-$J$7),"")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IF(OR($D$55="",NOT(ISNUMBER(F81))),"",F81*$D$55)</f>
        <v>0.00011524047866385047</v>
      </c>
      <c r="H81" s="138" t="n">
        <f>IF(NOT(ISNUMBER(F81)),"",F81*$D$45)</f>
        <v>743.2733759205611</v>
      </c>
      <c r="I81" s="138" t="n">
        <f>IF(OR($D$55="",NOT(ISNUMBER(H81))),"",H81*$D$55)</f>
        <v>115240.47866385047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IF(C82&lt;$D$54,$G$48-MAX(0,(C82-$G$43)*$D$45)/(1-$J$7),"")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IF(OR($D$55="",NOT(ISNUMBER(F82))),"",F82*$D$55)</f>
        <v>0.0001230512222177337</v>
      </c>
      <c r="H82" s="138" t="n">
        <f>IF(NOT(ISNUMBER(F82)),"",F82*$D$45)</f>
        <v>793.6507936218436</v>
      </c>
      <c r="I82" s="138" t="n">
        <f>IF(OR($D$55="",NOT(ISNUMBER(H82))),"",H82*$D$55)</f>
        <v>123051.22221773368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IF(C83&lt;$D$54,$G$48-MAX(0,(C83-$G$43)*$D$45)/(1-$J$7),"")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IF(OR($D$55="",NOT(ISNUMBER(F83))),"",F83*$D$55)</f>
        <v>0.00013168382877046415</v>
      </c>
      <c r="H83" s="138" t="n">
        <f>IF(NOT(ISNUMBER(F83)),"",F83*$D$45)</f>
        <v>849.329030035267</v>
      </c>
      <c r="I83" s="138" t="n">
        <f>IF(OR($D$55="",NOT(ISNUMBER(H83))),"",H83*$D$55)</f>
        <v>131683.82877046417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IF(C84&lt;$D$54,$G$48-MAX(0,(C84-$G$43)*$D$45)/(1-$J$7),"")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IF(OR($D$55="",NOT(ISNUMBER(F84))),"",F84*$D$55)</f>
        <v>0.0001412577806070923</v>
      </c>
      <c r="H84" s="138" t="n">
        <f>IF(NOT(ISNUMBER(F84)),"",F84*$D$45)</f>
        <v>911.0787171679332</v>
      </c>
      <c r="I84" s="138" t="n">
        <f>IF(OR($D$55="",NOT(ISNUMBER(H84))),"",H84*$D$55)</f>
        <v>141257.7806070923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IF(C85&lt;$D$54,$G$48-MAX(0,(C85-$G$43)*$D$45)/(1-$J$7),"")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IF(OR($D$55="",NOT(ISNUMBER(F85))),"",F85*$D$55)</f>
        <v>0.00015191508915769574</v>
      </c>
      <c r="H85" s="138" t="n">
        <f>IF(NOT(ISNUMBER(F85)),"",F85*$D$45)</f>
        <v>979.8157945948675</v>
      </c>
      <c r="I85" s="138" t="n">
        <f>IF(OR($D$55="",NOT(ISNUMBER(H85))),"",H85*$D$55)</f>
        <v>151915.08915769574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IF(C86&lt;$D$54,$G$48-MAX(0,(C86-$G$43)*$D$45)/(1-$J$7),"")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IF(OR($D$55="",NOT(ISNUMBER(F86))),"",F86*$D$55)</f>
        <v>0.0001638255917100006</v>
      </c>
      <c r="H86" s="138" t="n">
        <f>IF(NOT(ISNUMBER(F86)),"",F86*$D$45)</f>
        <v>1056.6356719817452</v>
      </c>
      <c r="I86" s="138" t="n">
        <f>IF(OR($D$55="",NOT(ISNUMBER(H86))),"",H86*$D$55)</f>
        <v>163825.5917100006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IF(C87&lt;$D$54,$G$48-MAX(0,(C87-$G$43)*$D$45)/(1-$J$7),"")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IF(OR($D$55="",NOT(ISNUMBER(F87))),"",F87*$D$55)</f>
        <v>0.0001771937599935363</v>
      </c>
      <c r="H87" s="138" t="n">
        <f>IF(NOT(ISNUMBER(F87)),"",F87*$D$45)</f>
        <v>1142.8571428154535</v>
      </c>
      <c r="I87" s="138" t="n">
        <f>IF(OR($D$55="",NOT(ISNUMBER(H87))),"",H87*$D$55)</f>
        <v>177193.7599935363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IF(C88&lt;$D$54,$G$48-MAX(0,(C88-$G$43)*$D$45)/(1-$J$7),"")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IF(OR($D$55="",NOT(ISNUMBER(F88))),"",F88*$D$55)</f>
        <v>0.00019226753471520867</v>
      </c>
      <c r="H88" s="138" t="n">
        <f>IF(NOT(ISNUMBER(F88)),"",F88*$D$45)</f>
        <v>1240.0793650341293</v>
      </c>
      <c r="I88" s="138" t="n">
        <f>IF(OR($D$55="",NOT(ISNUMBER(H88))),"",H88*$D$55)</f>
        <v>192267.53471520866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IF(C89&lt;$D$54,$G$48-MAX(0,(C89-$G$43)*$D$45)/(1-$J$7),"")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IF(OR($D$55="",NOT(ISNUMBER(F89))),"",F89*$D$55)</f>
        <v>0.00020934990547440493</v>
      </c>
      <c r="H89" s="138" t="n">
        <f>IF(NOT(ISNUMBER(F89)),"",F89*$D$45)</f>
        <v>1350.2565486950068</v>
      </c>
      <c r="I89" s="138" t="n">
        <f>IF(OR($D$55="",NOT(ISNUMBER(H89))),"",H89*$D$55)</f>
        <v>209349.90547440495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IF(C90&lt;$D$54,$G$48-MAX(0,(C90-$G$43)*$D$45)/(1-$J$7),"")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IF(OR($D$55="",NOT(ISNUMBER(F90))),"",F90*$D$55)</f>
        <v>0.00022881425619000046</v>
      </c>
      <c r="H90" s="138" t="n">
        <f>IF(NOT(ISNUMBER(F90)),"",F90*$D$45)</f>
        <v>1475.7969302885508</v>
      </c>
      <c r="I90" s="138" t="n">
        <f>IF(OR($D$55="",NOT(ISNUMBER(H90))),"",H90*$D$55)</f>
        <v>228814.25619000045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IF(C91&lt;$D$54,$G$48-MAX(0,(C91-$G$43)*$D$45)/(1-$J$7),"")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IF(OR($D$55="",NOT(ISNUMBER(F91))),"",F91*$D$55)</f>
        <v>0.0002511249433014971</v>
      </c>
      <c r="H91" s="138" t="n">
        <f>IF(NOT(ISNUMBER(F91)),"",F91*$D$45)</f>
        <v>1619.6954971874347</v>
      </c>
      <c r="I91" s="138" t="n">
        <f>IF(OR($D$55="",NOT(ISNUMBER(H91))),"",H91*$D$55)</f>
        <v>251124.94330149714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IF(C92&lt;$D$54,$G$48-MAX(0,(C92-$G$43)*$D$45)/(1-$J$7),"")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IF(OR($D$55="",NOT(ISNUMBER(F92))),"",F92*$D$55)</f>
        <v>0.00027686524998990063</v>
      </c>
      <c r="H92" s="138" t="n">
        <f>IF(NOT(ISNUMBER(F92)),"",F92*$D$45)</f>
        <v>1785.714285649147</v>
      </c>
      <c r="I92" s="138" t="n">
        <f>IF(OR($D$55="",NOT(ISNUMBER(H92))),"",H92*$D$55)</f>
        <v>276865.2499899006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IF(C93&lt;$D$54,$G$48-MAX(0,(C93-$G$43)*$D$45)/(1-$J$7),"")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IF(OR($D$55="",NOT(ISNUMBER(F93))),"",F93*$D$55)</f>
        <v>0.0003067759002658179</v>
      </c>
      <c r="H93" s="138" t="n">
        <f>IF(NOT(ISNUMBER(F93)),"",F93*$D$45)</f>
        <v>1978.6307874228778</v>
      </c>
      <c r="I93" s="138" t="n">
        <f>IF(OR($D$55="",NOT(ISNUMBER(H93))),"",H93*$D$55)</f>
        <v>306775.9002658179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IF(C94&lt;$D$54,$G$48-MAX(0,(C94-$G$43)*$D$45)/(1-$J$7),"")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IF(OR($D$55="",NOT(ISNUMBER(F94))),"",F94*$D$55)</f>
        <v>0.0003418089506048156</v>
      </c>
      <c r="H94" s="138" t="n">
        <f>IF(NOT(ISNUMBER(F94)),"",F94*$D$45)</f>
        <v>2204.5855378384535</v>
      </c>
      <c r="I94" s="138" t="n">
        <f>IF(OR($D$55="",NOT(ISNUMBER(H94))),"",H94*$D$55)</f>
        <v>341808.9506048157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IF(C95&lt;$D$54,$G$48-MAX(0,(C95-$G$43)*$D$45)/(1-$J$7),"")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IF(OR($D$55="",NOT(ISNUMBER(F95))),"",F95*$D$55)</f>
        <v>0.00038320449825591786</v>
      </c>
      <c r="H95" s="138" t="n">
        <f>IF(NOT(ISNUMBER(F95)),"",F95*$D$45)</f>
        <v>2471.576865950377</v>
      </c>
      <c r="I95" s="138" t="n">
        <f>IF(OR($D$55="",NOT(ISNUMBER(H95))),"",H95*$D$55)</f>
        <v>383204.49825591786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IF(C96&lt;$D$54,$G$48-MAX(0,(C96-$G$43)*$D$45)/(1-$J$7),"")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IF(OR($D$55="",NOT(ISNUMBER(F96))),"",F96*$D$55)</f>
        <v>0.0004326019531092199</v>
      </c>
      <c r="H96" s="138" t="n">
        <f>IF(NOT(ISNUMBER(F96)),"",F96*$D$45)</f>
        <v>2790.1785713267936</v>
      </c>
      <c r="I96" s="138" t="n">
        <f>IF(OR($D$55="",NOT(ISNUMBER(H96))),"",H96*$D$55)</f>
        <v>432601.95310921996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IF(C97&lt;$D$54,$G$48-MAX(0,(C97-$G$43)*$D$45)/(1-$J$7),"")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IF(OR($D$55="",NOT(ISNUMBER(F97))),"",F97*$D$55)</f>
        <v>0.0004922048888709347</v>
      </c>
      <c r="H97" s="138" t="n">
        <f>IF(NOT(ISNUMBER(F97)),"",F97*$D$45)</f>
        <v>3174.6031744873744</v>
      </c>
      <c r="I97" s="138" t="n">
        <f>IF(OR($D$55="",NOT(ISNUMBER(H97))),"",H97*$D$55)</f>
        <v>492204.8888709347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IF(C98&lt;$D$54,$G$48-MAX(0,(C98-$G$43)*$D$45)/(1-$J$7),"")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IF(OR($D$55="",NOT(ISNUMBER(F98))),"",F98*$D$55)</f>
        <v>0.000565031122428369</v>
      </c>
      <c r="H98" s="138" t="n">
        <f>IF(NOT(ISNUMBER(F98)),"",F98*$D$45)</f>
        <v>3644.3148686717313</v>
      </c>
      <c r="I98" s="138" t="n">
        <f>IF(OR($D$55="",NOT(ISNUMBER(H98))),"",H98*$D$55)</f>
        <v>565031.122428369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IF(C99&lt;$D$54,$G$48-MAX(0,(C99-$G$43)*$D$45)/(1-$J$7),"")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IF(OR($D$55="",NOT(ISNUMBER(F99))),"",F99*$D$55)</f>
        <v>0.0006553023668400019</v>
      </c>
      <c r="H99" s="138" t="n">
        <f>IF(NOT(ISNUMBER(F99)),"",F99*$D$45)</f>
        <v>4226.542687926978</v>
      </c>
      <c r="I99" s="138" t="n">
        <f>IF(OR($D$55="",NOT(ISNUMBER(H99))),"",H99*$D$55)</f>
        <v>655302.3668400019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IF(C100&lt;$D$54,$G$48-MAX(0,(C100-$G$43)*$D$45)/(1-$J$7),"")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IF(OR($D$55="",NOT(ISNUMBER(F100))),"",F100*$D$55)</f>
        <v>0.0007690701388608357</v>
      </c>
      <c r="H100" s="138" t="n">
        <f>IF(NOT(ISNUMBER(F100)),"",F100*$D$45)</f>
        <v>4960.317460136523</v>
      </c>
      <c r="I100" s="138" t="n">
        <f>IF(OR($D$55="",NOT(ISNUMBER(H100))),"",H100*$D$55)</f>
        <v>769070.1388608356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IF(C101&lt;$D$54,$G$48-MAX(0,(C101-$G$43)*$D$45)/(1-$J$7),"")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IF(OR($D$55="",NOT(ISNUMBER(F101))),"",F101*$D$55)</f>
        <v>0.0009152570247600038</v>
      </c>
      <c r="H101" s="138" t="n">
        <f>IF(NOT(ISNUMBER(F101)),"",F101*$D$45)</f>
        <v>5903.187721154216</v>
      </c>
      <c r="I101" s="138" t="n">
        <f>IF(OR($D$55="",NOT(ISNUMBER(H101))),"",H101*$D$55)</f>
        <v>915257.0247600038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IF(C102&lt;$D$54,$G$48-MAX(0,(C102-$G$43)*$D$45)/(1-$J$7),"")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IF(OR($D$55="",NOT(ISNUMBER(F102))),"",F102*$D$55)</f>
        <v>0.0011074609999596047</v>
      </c>
      <c r="H102" s="138" t="n">
        <f>IF(NOT(ISNUMBER(F102)),"",F102*$D$45)</f>
        <v>7142.857142596603</v>
      </c>
      <c r="I102" s="138" t="n">
        <f>IF(OR($D$55="",NOT(ISNUMBER(H102))),"",H102*$D$55)</f>
        <v>1107460.9999596048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IF(C103&lt;$D$54,$G$48-MAX(0,(C103-$G$43)*$D$45)/(1-$J$7),"")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IF(OR($D$55="",NOT(ISNUMBER(F103))),"",F103*$D$55)</f>
        <v>0.0013672358024192659</v>
      </c>
      <c r="H103" s="138" t="n">
        <f>IF(NOT(ISNUMBER(F103)),"",F103*$D$45)</f>
        <v>8818.342151353836</v>
      </c>
      <c r="I103" s="138" t="n">
        <f>IF(OR($D$55="",NOT(ISNUMBER(H103))),"",H103*$D$55)</f>
        <v>1367235.802419266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IF(C104&lt;$D$54,$G$48-MAX(0,(C104-$G$43)*$D$45)/(1-$J$7),"")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IF(OR($D$55="",NOT(ISNUMBER(F104))),"",F104*$D$55)</f>
        <v>0.0017304078124368836</v>
      </c>
      <c r="H104" s="138" t="n">
        <f>IF(NOT(ISNUMBER(F104)),"",F104*$D$45)</f>
        <v>11160.7142853072</v>
      </c>
      <c r="I104" s="138" t="n">
        <f>IF(OR($D$55="",NOT(ISNUMBER(H104))),"",H104*$D$55)</f>
        <v>1730407.8124368838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IF(C105&lt;$D$54,$G$48-MAX(0,(C105-$G$43)*$D$45)/(1-$J$7),"")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IF(OR($D$55="",NOT(ISNUMBER(F105))),"",F105*$D$55)</f>
        <v>0.0022601244897134816</v>
      </c>
      <c r="H105" s="138" t="n">
        <f>IF(NOT(ISNUMBER(F105)),"",F105*$D$45)</f>
        <v>14577.25947468696</v>
      </c>
      <c r="I105" s="138" t="n">
        <f>IF(OR($D$55="",NOT(ISNUMBER(H105))),"",H105*$D$55)</f>
        <v>2260124.4897134816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IF(C106&lt;$D$54,$G$48-MAX(0,(C106-$G$43)*$D$45)/(1-$J$7),"")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IF(OR($D$55="",NOT(ISNUMBER(F106))),"",F106*$D$55)</f>
        <v>0.0030762805554433517</v>
      </c>
      <c r="H106" s="138" t="n">
        <f>IF(NOT(ISNUMBER(F106)),"",F106*$D$45)</f>
        <v>19841.269840546152</v>
      </c>
      <c r="I106" s="138" t="n">
        <f>IF(OR($D$55="",NOT(ISNUMBER(H106))),"",H106*$D$55)</f>
        <v>3076280.5554433516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IF(C107&lt;$D$54,$G$48-MAX(0,(C107-$G$43)*$D$45)/(1-$J$7),"")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IF(OR($D$55="",NOT(ISNUMBER(F107))),"",F107*$D$55)</f>
        <v>0.00442984399983843</v>
      </c>
      <c r="H107" s="138" t="n">
        <f>IF(NOT(ISNUMBER(F107)),"",F107*$D$45)</f>
        <v>28571.428570386484</v>
      </c>
      <c r="I107" s="138" t="n">
        <f>IF(OR($D$55="",NOT(ISNUMBER(H107))),"",H107*$D$55)</f>
        <v>4429843.99983843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IF(C108&lt;$D$54,$G$48-MAX(0,(C108-$G$43)*$D$45)/(1-$J$7),"")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IF(OR($D$55="",NOT(ISNUMBER(F108))),"",F108*$D$55)</f>
        <v>0.006921631249747493</v>
      </c>
      <c r="H108" s="138" t="n">
        <f>IF(NOT(ISNUMBER(F108)),"",F108*$D$45)</f>
        <v>44642.85714122853</v>
      </c>
      <c r="I108" s="138" t="n">
        <f>IF(OR($D$55="",NOT(ISNUMBER(H108))),"",H108*$D$55)</f>
        <v>6921631.249747493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IF(C109&lt;$D$54,$G$48-MAX(0,(C109-$G$43)*$D$45)/(1-$J$7),"")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IF(OR($D$55="",NOT(ISNUMBER(F109))),"",F109*$D$55)</f>
        <v>0.012305122221773504</v>
      </c>
      <c r="H109" s="138" t="n">
        <f>IF(NOT(ISNUMBER(F109)),"",F109*$D$45)</f>
        <v>79365.07936218524</v>
      </c>
      <c r="I109" s="138" t="n">
        <f>IF(OR($D$55="",NOT(ISNUMBER(H109))),"",H109*$D$55)</f>
        <v>12305122.221773503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IF(C110&lt;$D$54,$G$48-MAX(0,(C110-$G$43)*$D$45)/(1-$J$7),"")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IF(OR($D$55="",NOT(ISNUMBER(F110))),"",F110*$D$55)</f>
        <v>0.02768652499898989</v>
      </c>
      <c r="H110" s="138" t="n">
        <f>IF(NOT(ISNUMBER(F110)),"",F110*$D$45)</f>
        <v>178571.4285649136</v>
      </c>
      <c r="I110" s="138" t="n">
        <f>IF(OR($D$55="",NOT(ISNUMBER(H110))),"",H110*$D$55)</f>
        <v>27686524.99898989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IF(C111&lt;$D$54,$G$48-MAX(0,(C111-$G$43)*$D$45)/(1-$J$7),"")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IF(OR($D$55="",NOT(ISNUMBER(F111))),"",F111*$D$55)</f>
        <v>0.11074609999596419</v>
      </c>
      <c r="H111" s="138" t="n">
        <f>IF(NOT(ISNUMBER(F111)),"",F111*$D$45)</f>
        <v>714285.7142596842</v>
      </c>
      <c r="I111" s="138" t="n">
        <f>IF(OR($D$55="",NOT(ISNUMBER(H111))),"",H111*$D$55)</f>
        <v>110746099.99596418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IF(C112&lt;$D$54,$G$48-MAX(0,(C112-$G$43)*$D$45)/(1-$J$7),"")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IF(OR($D$55="",NOT(ISNUMBER(F112))),"",F112*$D$55)</f>
      </c>
      <c r="H112" s="139" t="str">
        <f>IF(NOT(ISNUMBER(F112)),"",F112*$D$45)</f>
      </c>
      <c r="I112" s="139" t="str">
        <f>IF(OR($D$55="",NOT(ISNUMBER(H112))),"",H112*$D$55)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IF(OR($D$55="",NOT(ISNUMBER(F117))),"",F117*$D$55)</f>
        <v>0.00006921631249747516</v>
      </c>
      <c r="H117" s="137" t="n">
        <f>IF(NOT(ISNUMBER(F117)),"",F117*$D$45)</f>
        <v>446.4285714122868</v>
      </c>
      <c r="I117" s="137" t="n">
        <f>IF(OR($D$55="",NOT(ISNUMBER(H117))),"",H117*$D$55)</f>
        <v>69216.31249747516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IF(OR($D$55="",NOT(ISNUMBER(F118))),"",F118*$D$55)</f>
        <v>0.00003076280555443338</v>
      </c>
      <c r="H118" s="138" t="n">
        <f>IF(NOT(ISNUMBER(F118)),"",F118*$D$45)</f>
        <v>198.41269840546065</v>
      </c>
      <c r="I118" s="138" t="n">
        <f>IF(OR($D$55="",NOT(ISNUMBER(H118))),"",H118*$D$55)</f>
        <v>30762.80555443338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IF(OR($D$55="",NOT(ISNUMBER(F119))),"",F119*$D$55)</f>
        <v>0.000017304078124368786</v>
      </c>
      <c r="H119" s="138" t="n">
        <f>IF(NOT(ISNUMBER(F119)),"",F119*$D$45)</f>
        <v>111.60714285307166</v>
      </c>
      <c r="I119" s="138" t="n">
        <f>IF(OR($D$55="",NOT(ISNUMBER(H119))),"",H119*$D$55)</f>
        <v>17304.078124368785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IF(OR($D$55="",NOT(ISNUMBER(F120))),"",F120*$D$55)</f>
        <v>0.000011074609999596023</v>
      </c>
      <c r="H120" s="138" t="n">
        <f>IF(NOT(ISNUMBER(F120)),"",F120*$D$45)</f>
        <v>71.42857142596587</v>
      </c>
      <c r="I120" s="138" t="n">
        <f>IF(OR($D$55="",NOT(ISNUMBER(H120))),"",H120*$D$55)</f>
        <v>11074.609999596023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IF(OR($D$55="",NOT(ISNUMBER(F121))),"",F121*$D$55)</f>
        <v>0.000007690701388608349</v>
      </c>
      <c r="H121" s="138" t="n">
        <f>IF(NOT(ISNUMBER(F121)),"",F121*$D$45)</f>
        <v>49.60317460136518</v>
      </c>
      <c r="I121" s="138" t="n">
        <f>IF(OR($D$55="",NOT(ISNUMBER(H121))),"",H121*$D$55)</f>
        <v>7690.701388608349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IF(OR($D$55="",NOT(ISNUMBER(F122))),"",F122*$D$55)</f>
        <v>0.000005650311224283685</v>
      </c>
      <c r="H122" s="138" t="n">
        <f>IF(NOT(ISNUMBER(F122)),"",F122*$D$45)</f>
        <v>36.44314868671728</v>
      </c>
      <c r="I122" s="138" t="n">
        <f>IF(OR($D$55="",NOT(ISNUMBER(H122))),"",H122*$D$55)</f>
        <v>5650.311224283685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IF(OR($D$55="",NOT(ISNUMBER(F123))),"",F123*$D$55)</f>
        <v>0.0000043260195310921965</v>
      </c>
      <c r="H123" s="138" t="n">
        <f>IF(NOT(ISNUMBER(F123)),"",F123*$D$45)</f>
        <v>27.901785713267916</v>
      </c>
      <c r="I123" s="138" t="n">
        <f>IF(OR($D$55="",NOT(ISNUMBER(H123))),"",H123*$D$55)</f>
        <v>4326.019531092196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IF(OR($D$55="",NOT(ISNUMBER(F124))),"",F124*$D$55)</f>
        <v>0.000003418089506048155</v>
      </c>
      <c r="H124" s="138" t="n">
        <f>IF(NOT(ISNUMBER(F124)),"",F124*$D$45)</f>
        <v>22.045855378384523</v>
      </c>
      <c r="I124" s="138" t="n">
        <f>IF(OR($D$55="",NOT(ISNUMBER(H124))),"",H124*$D$55)</f>
        <v>3418.089506048155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IF(OR($D$55="",NOT(ISNUMBER(F125))),"",F125*$D$55)</f>
        <v>0.0000027686524998990056</v>
      </c>
      <c r="H125" s="139" t="n">
        <f>IF(NOT(ISNUMBER(F125)),"",F125*$D$45)</f>
        <v>17.857142856491468</v>
      </c>
      <c r="I125" s="139" t="n">
        <f>IF(OR($D$55="",NOT(ISNUMBER(H125))),"",H125*$D$55)</f>
        <v>2768.6524998990058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46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 t="n">
        <x:v>754.5107710045597</x:v>
      </x:c>
      <x:c r="Q7" s="45" t="n">
        <x:v>46283.376137210646</x:v>
      </x:c>
      <x:c r="R7" s="35" t="str">
        <x:v>https://api.coingecko.com/api/v3/simple/price?ids=tether,ethereum,binancecoin,solana,hyperliquid,aster-2&amp;vs_currencies=usd</x:v>
      </x:c>
      <x:c r="S7" s="35" t="str">
        <x:v>随每日行情更新；仅用于原生币 Gas 折算</x:v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42" customHeight="1">
      <x:c r="A12" s="2"/>
      <x:c r="B12" s="2"/>
      <x:c r="C12" s="148" t="str">
        <x:v>外盘扣费依据</x:v>
      </x:c>
      <x:c r="D12" s="148"/>
      <x:c r="E12" s="148" t="str">
        <x:v>PancakeSwap 交易手续费从输入金额扣除；卖出腿输入为 TOKEN。</x:v>
      </x:c>
      <x:c r="F12" s="148"/>
      <x:c r="G12" s="148"/>
      <x:c r="H12" s="148"/>
      <x:c r="I12" s="148"/>
      <x:c r="J12" s="148"/>
      <x:c r="K12" s="148"/>
      <x:c r="L12" s="148"/>
      <x:c r="M12" s="148"/>
      <x:c r="N12" s="148"/>
      <x:c r="O12" s="148"/>
      <x:c r="P12" s="148" t="str">
        <x:v>https://docs.pancakeswap.finance/trade/pancakeswap-exchange/trade</x:v>
      </x:c>
      <x:c r="Q12" s="148"/>
      <x:c r="R12" s="148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