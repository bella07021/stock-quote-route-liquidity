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633aaee2ed44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07960734c4244702"/>
    <x:sheet xmlns:r="http://schemas.openxmlformats.org/officeDocument/2006/relationships" name="单币测算" sheetId="2" r:id="R790cfe9196f04fe7"/>
    <x:sheet xmlns:r="http://schemas.openxmlformats.org/officeDocument/2006/relationships" name="全RWA预算" sheetId="3" r:id="Rd4c0c5c45eae4e9c"/>
    <x:sheet xmlns:r="http://schemas.openxmlformats.org/officeDocument/2006/relationships" name="选中Quote曲线" sheetId="4" r:id="R86f2a228e9f9400c"/>
    <x:sheet xmlns:r="http://schemas.openxmlformats.org/officeDocument/2006/relationships" name="Quote参数" sheetId="5" r:id="R1cc01e53c52e41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.00000000"/>
    <x:numFmt numFmtId="201" formatCode="0.00%"/>
    <x:numFmt numFmtId="202" formatCode="#,##0.000000"/>
    <x:numFmt numFmtId="203" formatCode="@"/>
    <x:numFmt numFmtId="204" formatCode="0.0000%"/>
    <x:numFmt numFmtId="205" formatCode="#,##0"/>
    <x:numFmt numFmtId="206" formatCode="0"/>
    <x:numFmt numFmtId="207" formatCode="0.0%"/>
    <x:numFmt numFmtId="208" formatCode="0.0000000000"/>
    <x:numFmt numFmtId="209" formatCode="General"/>
    <x:numFmt numFmtId="210" formatCode="0.000000"/>
    <x:numFmt numFmtId="211" formatCode="yyyy-mm-dd hh:mm:ss"/>
  </x:numFmts>
  <x:fonts count="28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sz val="9"/>
      <x:color rgb="FF008000"/>
      <x:name val="Arial"/>
    </x:font>
    <x:font>
      <x:b/>
      <x:sz val="9"/>
      <x:color rgb="FF172033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008000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1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5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E6EAF0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475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0" fontId="6" fillId="0" borderId="6" xfId="0" applyNumberFormat="1" applyFont="1" applyFill="1" applyBorder="1" applyAlignment="1">
      <x:alignment vertical="center"/>
    </x:xf>
    <x:xf numFmtId="200" fontId="6" fillId="0" borderId="7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/>
    </x:xf>
    <x:xf numFmtId="200" fontId="3" fillId="0" borderId="7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8" xfId="0" applyNumberFormat="1" applyFont="1" applyFill="1" applyBorder="1"/>
    <x:xf numFmtId="0" fontId="7" fillId="3" borderId="9" xfId="0" applyNumberFormat="1" applyFont="1" applyFill="1" applyBorder="1"/>
    <x:xf numFmtId="0" fontId="7" fillId="3" borderId="10" xfId="0" applyNumberFormat="1" applyFont="1" applyFill="1" applyBorder="1"/>
    <x:xf numFmtId="0" fontId="7" fillId="3" borderId="8" xfId="0" applyNumberFormat="1" applyFont="1" applyFill="1" applyBorder="1" applyAlignment="1">
      <x:alignment vertical="center"/>
    </x:xf>
    <x:xf numFmtId="0" fontId="7" fillId="3" borderId="9" xfId="0" applyNumberFormat="1" applyFont="1" applyFill="1" applyBorder="1" applyAlignment="1">
      <x:alignment vertical="center"/>
    </x:xf>
    <x:xf numFmtId="0" fontId="7" fillId="3" borderId="1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11" xfId="0" applyNumberFormat="1" applyFont="1" applyFill="1" applyBorder="1"/>
    <x:xf numFmtId="0" fontId="9" fillId="4" borderId="12" xfId="0" applyNumberFormat="1" applyFont="1" applyFill="1" applyBorder="1"/>
    <x:xf numFmtId="0" fontId="9" fillId="4" borderId="13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201" fontId="9" fillId="4" borderId="12" xfId="0" applyNumberFormat="1" applyFont="1" applyFill="1" applyBorder="1"/>
    <x:xf numFmtId="202" fontId="9" fillId="4" borderId="12" xfId="0" applyNumberFormat="1" applyFont="1" applyFill="1" applyBorder="1"/>
    <x:xf numFmtId="202" fontId="9" fillId="4" borderId="13" xfId="0" applyNumberFormat="1" applyFont="1" applyFill="1" applyBorder="1"/>
    <x:xf numFmtId="203" fontId="3" fillId="0" borderId="0" xfId="0" applyNumberFormat="1" applyFont="1" applyFill="1" applyBorder="1"/>
    <x:xf numFmtId="200" fontId="3" fillId="0" borderId="0" xfId="0" applyNumberFormat="1" applyFont="1" applyFill="1" applyBorder="1"/>
    <x:xf numFmtId="204" fontId="3" fillId="0" borderId="0" xfId="0" applyNumberFormat="1" applyFont="1" applyFill="1" applyBorder="1"/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0" fontId="11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 wrapText="1"/>
    </x:xf>
    <x:xf numFmtId="0" fontId="11" fillId="0" borderId="6" xfId="0" applyNumberFormat="1" applyFont="1" applyFill="1" applyBorder="1" applyAlignment="1">
      <x:alignment vertical="center" wrapText="1"/>
    </x:xf>
    <x:xf numFmtId="0" fontId="11" fillId="0" borderId="7" xfId="0" applyNumberFormat="1" applyFont="1" applyFill="1" applyBorder="1" applyAlignment="1">
      <x:alignment vertical="center" wrapText="1"/>
    </x:xf>
    <x:xf numFmtId="201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2" fontId="6" fillId="0" borderId="7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202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1" fillId="5" borderId="6" xfId="0" applyNumberFormat="1" applyFont="1" applyFill="1" applyBorder="1" applyAlignment="1">
      <x:alignment vertical="center" wrapText="1"/>
    </x:xf>
    <x:xf numFmtId="0" fontId="12" fillId="5" borderId="6" xfId="0" applyNumberFormat="1" applyFont="1" applyFill="1" applyBorder="1" applyAlignment="1">
      <x:alignment vertical="center"/>
    </x:xf>
    <x:xf numFmtId="202" fontId="12" fillId="5" borderId="6" xfId="0" applyNumberFormat="1" applyFont="1" applyFill="1" applyBorder="1" applyAlignment="1">
      <x:alignment vertical="center"/>
    </x:xf>
    <x:xf numFmtId="0" fontId="13" fillId="5" borderId="6" xfId="0" applyNumberFormat="1" applyFont="1" applyFill="1" applyBorder="1" applyAlignment="1">
      <x:alignment vertical="center" wrapText="1"/>
    </x:xf>
    <x:xf numFmtId="0" fontId="12" fillId="5" borderId="14" xfId="0" applyNumberFormat="1" applyFont="1" applyFill="1" applyBorder="1" applyAlignment="1">
      <x:alignment vertical="center"/>
    </x:xf>
    <x:xf numFmtId="202" fontId="12" fillId="5" borderId="14" xfId="0" applyNumberFormat="1" applyFont="1" applyFill="1" applyBorder="1" applyAlignment="1">
      <x:alignment vertical="center"/>
    </x:xf>
    <x:xf numFmtId="0" fontId="13" fillId="5" borderId="14" xfId="0" applyNumberFormat="1" applyFont="1" applyFill="1" applyBorder="1" applyAlignment="1">
      <x:alignment vertical="center" wrapText="1"/>
    </x:xf>
    <x:xf numFmtId="0" fontId="14" fillId="0" borderId="5" xfId="0" applyNumberFormat="1" applyFont="1" applyFill="1" applyBorder="1" applyAlignment="1">
      <x:alignment vertical="center"/>
    </x:xf>
    <x:xf numFmtId="0" fontId="14" fillId="0" borderId="6" xfId="0" applyNumberFormat="1" applyFont="1" applyFill="1" applyBorder="1" applyAlignment="1">
      <x:alignment vertical="center"/>
    </x:xf>
    <x:xf numFmtId="0" fontId="14" fillId="0" borderId="7" xfId="0" applyNumberFormat="1" applyFont="1" applyFill="1" applyBorder="1" applyAlignment="1">
      <x:alignment vertical="center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201" fontId="3" fillId="6" borderId="0" xfId="0" applyNumberFormat="1" applyFont="1" applyFill="1" applyBorder="1"/>
    <x:xf numFmtId="206" fontId="3" fillId="6" borderId="0" xfId="0" applyNumberFormat="1" applyFont="1" applyFill="1" applyBorder="1"/>
    <x:xf numFmtId="202" fontId="3" fillId="0" borderId="5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3" fillId="0" borderId="6" xfId="0" applyNumberFormat="1" applyFont="1" applyFill="1" applyBorder="1" applyAlignment="1">
      <x:alignment vertical="center"/>
    </x:xf>
    <x:xf numFmtId="202" fontId="3" fillId="0" borderId="7" xfId="0" applyNumberFormat="1" applyFont="1" applyFill="1" applyBorder="1" applyAlignment="1">
      <x:alignment vertical="center"/>
    </x:xf>
    <x:xf numFmtId="204" fontId="6" fillId="0" borderId="5" xfId="0" applyNumberFormat="1" applyFont="1" applyFill="1" applyBorder="1" applyAlignment="1">
      <x:alignment vertical="center"/>
    </x:xf>
    <x:xf numFmtId="204" fontId="6" fillId="0" borderId="6" xfId="0" applyNumberFormat="1" applyFont="1" applyFill="1" applyBorder="1" applyAlignment="1">
      <x:alignment vertical="center"/>
    </x:xf>
    <x:xf numFmtId="204" fontId="6" fillId="0" borderId="7" xfId="0" applyNumberFormat="1" applyFont="1" applyFill="1" applyBorder="1" applyAlignment="1">
      <x:alignment vertical="center"/>
    </x:xf>
    <x:xf numFmtId="201" fontId="6" fillId="0" borderId="7" xfId="0" applyNumberFormat="1" applyFont="1" applyFill="1" applyBorder="1" applyAlignment="1">
      <x:alignment vertical="center"/>
    </x:xf>
    <x:xf numFmtId="202" fontId="6" fillId="5" borderId="5" xfId="0" applyNumberFormat="1" applyFont="1" applyFill="1" applyBorder="1" applyAlignment="1">
      <x:alignment vertical="center"/>
    </x:xf>
    <x:xf numFmtId="202" fontId="6" fillId="5" borderId="7" xfId="0" applyNumberFormat="1" applyFont="1" applyFill="1" applyBorder="1" applyAlignment="1">
      <x:alignment vertical="center"/>
    </x:xf>
    <x:xf numFmtId="202" fontId="15" fillId="5" borderId="5" xfId="0" applyNumberFormat="1" applyFont="1" applyFill="1" applyBorder="1" applyAlignment="1">
      <x:alignment vertical="center"/>
    </x:xf>
    <x:xf numFmtId="202" fontId="15" fillId="5" borderId="6" xfId="0" applyNumberFormat="1" applyFont="1" applyFill="1" applyBorder="1" applyAlignment="1">
      <x:alignment vertical="center"/>
    </x:xf>
    <x:xf numFmtId="202" fontId="15" fillId="5" borderId="7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/>
    <x:xf numFmtId="207" fontId="6" fillId="0" borderId="5" xfId="0" applyNumberFormat="1" applyFont="1" applyFill="1" applyBorder="1" applyAlignment="1">
      <x:alignment vertical="center"/>
    </x:xf>
    <x:xf numFmtId="207" fontId="6" fillId="0" borderId="6" xfId="0" applyNumberFormat="1" applyFont="1" applyFill="1" applyBorder="1" applyAlignment="1">
      <x:alignment vertical="center"/>
    </x:xf>
    <x:xf numFmtId="207" fontId="6" fillId="0" borderId="7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15" xfId="0" applyNumberFormat="1" applyFont="1" applyFill="1" applyBorder="1"/>
    <x:xf numFmtId="0" fontId="16" fillId="7" borderId="16" xfId="0" applyNumberFormat="1" applyFont="1" applyFill="1" applyBorder="1"/>
    <x:xf numFmtId="0" fontId="16" fillId="7" borderId="17" xfId="0" applyNumberFormat="1" applyFont="1" applyFill="1" applyBorder="1"/>
    <x:xf numFmtId="0" fontId="16" fillId="7" borderId="15" xfId="0" applyNumberFormat="1" applyFont="1" applyFill="1" applyBorder="1" applyAlignment="1">
      <x:alignment vertical="center"/>
    </x:xf>
    <x:xf numFmtId="0" fontId="16" fillId="7" borderId="16" xfId="0" applyNumberFormat="1" applyFont="1" applyFill="1" applyBorder="1" applyAlignment="1">
      <x:alignment vertical="center"/>
    </x:xf>
    <x:xf numFmtId="0" fontId="16" fillId="7" borderId="17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wrapText="1"/>
    </x:xf>
    <x:xf numFmtId="0" fontId="17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5" xfId="0" applyNumberFormat="1" applyFont="1" applyFill="1" applyBorder="1"/>
    <x:xf numFmtId="0" fontId="5" fillId="7" borderId="17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5" fillId="7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23" xfId="0" applyNumberFormat="1" applyFont="1" applyFill="1" applyBorder="1"/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0" borderId="23" xfId="0" applyNumberFormat="1" applyFont="1" applyFill="1" applyBorder="1" applyAlignment="1">
      <x:alignment vertical="center"/>
    </x:xf>
    <x:xf numFmtId="0" fontId="6" fillId="9" borderId="19" xfId="0" applyNumberFormat="1" applyFont="1" applyFill="1" applyBorder="1" applyAlignment="1">
      <x:alignment vertical="center"/>
    </x:xf>
    <x:xf numFmtId="0" fontId="6" fillId="9" borderId="21" xfId="0" applyNumberFormat="1" applyFont="1" applyFill="1" applyBorder="1" applyAlignment="1">
      <x:alignment vertical="center"/>
    </x:xf>
    <x:xf numFmtId="0" fontId="18" fillId="9" borderId="19" xfId="0" applyNumberFormat="1" applyFont="1" applyFill="1" applyBorder="1" applyAlignment="1">
      <x:alignment vertical="center"/>
    </x:xf>
    <x:xf numFmtId="0" fontId="18" fillId="9" borderId="21" xfId="0" applyNumberFormat="1" applyFont="1" applyFill="1" applyBorder="1" applyAlignment="1">
      <x:alignment vertical="center"/>
    </x:xf>
    <x:xf numFmtId="0" fontId="18" fillId="9" borderId="24" xfId="0" applyNumberFormat="1" applyFont="1" applyFill="1" applyBorder="1" applyAlignment="1">
      <x:alignment vertical="center"/>
    </x:xf>
    <x:xf numFmtId="0" fontId="18" fillId="9" borderId="25" xfId="0" applyNumberFormat="1" applyFont="1" applyFill="1" applyBorder="1" applyAlignment="1">
      <x:alignment vertical="center"/>
    </x:xf>
    <x:xf numFmtId="0" fontId="6" fillId="9" borderId="23" xfId="0" applyNumberFormat="1" applyFont="1" applyFill="1" applyBorder="1" applyAlignment="1">
      <x:alignment vertical="center"/>
    </x:xf>
    <x:xf numFmtId="0" fontId="18" fillId="9" borderId="23" xfId="0" applyNumberFormat="1" applyFont="1" applyFill="1" applyBorder="1" applyAlignment="1">
      <x:alignment vertical="center"/>
    </x:xf>
    <x:xf numFmtId="0" fontId="18" fillId="9" borderId="26" xfId="0" applyNumberFormat="1" applyFont="1" applyFill="1" applyBorder="1" applyAlignment="1">
      <x:alignment vertical="center"/>
    </x:xf>
    <x:xf numFmtId="0" fontId="6" fillId="10" borderId="21" xfId="0" applyNumberFormat="1" applyFont="1" applyFill="1" applyBorder="1" applyAlignment="1">
      <x:alignment vertical="center"/>
    </x:xf>
    <x:xf numFmtId="0" fontId="6" fillId="10" borderId="23" xfId="0" applyNumberFormat="1" applyFont="1" applyFill="1" applyBorder="1" applyAlignment="1">
      <x:alignment vertical="center"/>
    </x:xf>
    <x:xf numFmtId="0" fontId="19" fillId="10" borderId="21" xfId="0" applyNumberFormat="1" applyFont="1" applyFill="1" applyBorder="1" applyAlignment="1">
      <x:alignment vertical="center"/>
    </x:xf>
    <x:xf numFmtId="0" fontId="19" fillId="10" borderId="23" xfId="0" applyNumberFormat="1" applyFont="1" applyFill="1" applyBorder="1" applyAlignment="1">
      <x:alignment vertical="center"/>
    </x:xf>
    <x:xf numFmtId="0" fontId="19" fillId="10" borderId="24" xfId="0" applyNumberFormat="1" applyFont="1" applyFill="1" applyBorder="1" applyAlignment="1">
      <x:alignment vertical="center"/>
    </x:xf>
    <x:xf numFmtId="0" fontId="19" fillId="10" borderId="26" xfId="0" applyNumberFormat="1" applyFont="1" applyFill="1" applyBorder="1" applyAlignment="1">
      <x:alignment vertical="center"/>
    </x:xf>
    <x:xf numFmtId="0" fontId="19" fillId="10" borderId="25" xfId="0" applyNumberFormat="1" applyFont="1" applyFill="1" applyBorder="1" applyAlignment="1">
      <x:alignment vertical="center"/>
    </x:xf>
    <x:xf numFmtId="0" fontId="6" fillId="10" borderId="19" xfId="0" applyNumberFormat="1" applyFont="1" applyFill="1" applyBorder="1" applyAlignment="1">
      <x:alignment vertical="center"/>
    </x:xf>
    <x:xf numFmtId="0" fontId="19" fillId="10" borderId="19" xfId="0" applyNumberFormat="1" applyFont="1" applyFill="1" applyBorder="1" applyAlignment="1">
      <x:alignment vertical="center"/>
    </x:xf>
    <x:xf numFmtId="0" fontId="19" fillId="10" borderId="27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/>
    <x:xf numFmtId="0" fontId="5" fillId="7" borderId="16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  <x:xf numFmtId="0" fontId="15" fillId="11" borderId="28" xfId="0" applyNumberFormat="1" applyFont="1" applyFill="1" applyBorder="1"/>
    <x:xf numFmtId="0" fontId="15" fillId="11" borderId="29" xfId="0" applyNumberFormat="1" applyFont="1" applyFill="1" applyBorder="1"/>
    <x:xf numFmtId="0" fontId="15" fillId="11" borderId="30" xfId="0" applyNumberFormat="1" applyFont="1" applyFill="1" applyBorder="1"/>
    <x:xf numFmtId="0" fontId="15" fillId="11" borderId="28" xfId="0" applyNumberFormat="1" applyFont="1" applyFill="1" applyBorder="1" applyAlignment="1">
      <x:alignment wrapText="1"/>
    </x:xf>
    <x:xf numFmtId="0" fontId="15" fillId="11" borderId="29" xfId="0" applyNumberFormat="1" applyFont="1" applyFill="1" applyBorder="1" applyAlignment="1">
      <x:alignment wrapText="1"/>
    </x:xf>
    <x:xf numFmtId="0" fontId="15" fillId="11" borderId="30" xfId="0" applyNumberFormat="1" applyFont="1" applyFill="1" applyBorder="1" applyAlignment="1">
      <x:alignment wrapText="1"/>
    </x:xf>
    <x:xf numFmtId="0" fontId="15" fillId="11" borderId="28" xfId="0" applyNumberFormat="1" applyFont="1" applyFill="1" applyBorder="1" applyAlignment="1">
      <x:alignment horizontal="center" wrapText="1"/>
    </x:xf>
    <x:xf numFmtId="0" fontId="15" fillId="11" borderId="29" xfId="0" applyNumberFormat="1" applyFont="1" applyFill="1" applyBorder="1" applyAlignment="1">
      <x:alignment horizontal="center" wrapText="1"/>
    </x:xf>
    <x:xf numFmtId="0" fontId="15" fillId="11" borderId="30" xfId="0" applyNumberFormat="1" applyFont="1" applyFill="1" applyBorder="1" applyAlignment="1">
      <x:alignment horizontal="center" wrapText="1"/>
    </x:xf>
    <x:xf numFmtId="0" fontId="15" fillId="11" borderId="28" xfId="0" applyNumberFormat="1" applyFont="1" applyFill="1" applyBorder="1" applyAlignment="1">
      <x:alignment horizontal="center" vertical="center" wrapText="1"/>
    </x:xf>
    <x:xf numFmtId="0" fontId="15" fillId="11" borderId="29" xfId="0" applyNumberFormat="1" applyFont="1" applyFill="1" applyBorder="1" applyAlignment="1">
      <x:alignment horizontal="center" vertical="center" wrapText="1"/>
    </x:xf>
    <x:xf numFmtId="0" fontId="15" fillId="11" borderId="30" xfId="0" applyNumberFormat="1" applyFont="1" applyFill="1" applyBorder="1" applyAlignment="1">
      <x:alignment horizontal="center" vertical="center" wrapText="1"/>
    </x:xf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3" xfId="0" applyNumberFormat="1" applyFont="1" applyFill="1" applyBorder="1"/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0" borderId="33" xfId="0" applyNumberFormat="1" applyFont="1" applyFill="1" applyBorder="1" applyAlignment="1">
      <x:alignment vertical="center"/>
    </x:xf>
    <x:xf numFmtId="0" fontId="6" fillId="12" borderId="22" xfId="0" applyNumberFormat="1" applyFont="1" applyFill="1" applyBorder="1" applyAlignment="1">
      <x:alignment vertical="center"/>
    </x:xf>
    <x:xf numFmtId="0" fontId="6" fillId="12" borderId="33" xfId="0" applyNumberFormat="1" applyFont="1" applyFill="1" applyBorder="1" applyAlignment="1">
      <x:alignment vertical="center"/>
    </x:xf>
    <x:xf numFmtId="0" fontId="15" fillId="12" borderId="22" xfId="0" applyNumberFormat="1" applyFont="1" applyFill="1" applyBorder="1" applyAlignment="1">
      <x:alignment vertical="center"/>
    </x:xf>
    <x:xf numFmtId="0" fontId="15" fillId="12" borderId="33" xfId="0" applyNumberFormat="1" applyFont="1" applyFill="1" applyBorder="1" applyAlignment="1">
      <x:alignment vertical="center"/>
    </x:xf>
    <x:xf numFmtId="0" fontId="20" fillId="10" borderId="19" xfId="0" applyNumberFormat="1" applyFont="1" applyFill="1" applyBorder="1" applyAlignment="1">
      <x:alignment vertical="center"/>
    </x:xf>
    <x:xf numFmtId="0" fontId="20" fillId="10" borderId="21" xfId="0" applyNumberFormat="1" applyFont="1" applyFill="1" applyBorder="1" applyAlignment="1">
      <x:alignment vertical="center"/>
    </x:xf>
    <x:xf numFmtId="0" fontId="20" fillId="10" borderId="23" xfId="0" applyNumberFormat="1" applyFont="1" applyFill="1" applyBorder="1" applyAlignment="1">
      <x:alignment vertical="center"/>
    </x:xf>
    <x:xf numFmtId="0" fontId="6" fillId="12" borderId="18" xfId="0" applyNumberFormat="1" applyFont="1" applyFill="1" applyBorder="1" applyAlignment="1">
      <x:alignment vertical="center"/>
    </x:xf>
    <x:xf numFmtId="0" fontId="6" fillId="12" borderId="31" xfId="0" applyNumberFormat="1" applyFont="1" applyFill="1" applyBorder="1" applyAlignment="1">
      <x:alignment vertical="center"/>
    </x:xf>
    <x:xf numFmtId="0" fontId="15" fillId="12" borderId="18" xfId="0" applyNumberFormat="1" applyFont="1" applyFill="1" applyBorder="1" applyAlignment="1">
      <x:alignment vertical="center"/>
    </x:xf>
    <x:xf numFmtId="0" fontId="15" fillId="12" borderId="31" xfId="0" applyNumberFormat="1" applyFont="1" applyFill="1" applyBorder="1" applyAlignment="1">
      <x:alignment vertical="center"/>
    </x:xf>
    <x:xf numFmtId="207" fontId="6" fillId="0" borderId="18" xfId="0" applyNumberFormat="1" applyFont="1" applyFill="1" applyBorder="1" applyAlignment="1">
      <x:alignment vertical="center"/>
    </x:xf>
    <x:xf numFmtId="207" fontId="6" fillId="0" borderId="20" xfId="0" applyNumberFormat="1" applyFont="1" applyFill="1" applyBorder="1" applyAlignment="1">
      <x:alignment vertical="center"/>
    </x:xf>
    <x:xf numFmtId="207" fontId="15" fillId="12" borderId="22" xfId="0" applyNumberFormat="1" applyFont="1" applyFill="1" applyBorder="1" applyAlignment="1">
      <x:alignment vertical="center"/>
    </x:xf>
    <x:xf numFmtId="207" fontId="15" fillId="12" borderId="18" xfId="0" applyNumberFormat="1" applyFont="1" applyFill="1" applyBorder="1" applyAlignment="1">
      <x:alignment vertical="center"/>
    </x:xf>
    <x:xf numFmtId="207" fontId="6" fillId="0" borderId="22" xfId="0" applyNumberFormat="1" applyFont="1" applyFill="1" applyBorder="1" applyAlignment="1">
      <x:alignment vertical="center"/>
    </x:xf>
    <x:xf numFmtId="202" fontId="6" fillId="0" borderId="31" xfId="0" applyNumberFormat="1" applyFont="1" applyFill="1" applyBorder="1" applyAlignment="1">
      <x:alignment vertical="center"/>
    </x:xf>
    <x:xf numFmtId="202" fontId="6" fillId="0" borderId="32" xfId="0" applyNumberFormat="1" applyFont="1" applyFill="1" applyBorder="1" applyAlignment="1">
      <x:alignment vertical="center"/>
    </x:xf>
    <x:xf numFmtId="202" fontId="15" fillId="12" borderId="33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5" fillId="7" borderId="16" xfId="0" applyNumberFormat="1" applyFont="1" applyFill="1" applyBorder="1" applyAlignment="1">
      <x:alignment vertical="center"/>
    </x:xf>
    <x:xf numFmtId="202" fontId="15" fillId="11" borderId="29" xfId="0" applyNumberFormat="1" applyFont="1" applyFill="1" applyBorder="1" applyAlignment="1">
      <x:alignment horizontal="center" vertical="center" wrapText="1"/>
    </x:xf>
    <x:xf numFmtId="202" fontId="15" fillId="12" borderId="31" xfId="0" applyNumberFormat="1" applyFont="1" applyFill="1" applyBorder="1" applyAlignment="1">
      <x:alignment vertical="center"/>
    </x:xf>
    <x:xf numFmtId="202" fontId="6" fillId="0" borderId="33" xfId="0" applyNumberFormat="1" applyFont="1" applyFill="1" applyBorder="1" applyAlignment="1">
      <x:alignment vertical="center"/>
    </x:xf>
    <x:xf numFmtId="208" fontId="6" fillId="0" borderId="31" xfId="0" applyNumberFormat="1" applyFont="1" applyFill="1" applyBorder="1" applyAlignment="1">
      <x:alignment vertical="center"/>
    </x:xf>
    <x:xf numFmtId="208" fontId="6" fillId="0" borderId="32" xfId="0" applyNumberFormat="1" applyFont="1" applyFill="1" applyBorder="1" applyAlignment="1">
      <x:alignment vertical="center"/>
    </x:xf>
    <x:xf numFmtId="208" fontId="15" fillId="12" borderId="33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208" fontId="5" fillId="7" borderId="16" xfId="0" applyNumberFormat="1" applyFont="1" applyFill="1" applyBorder="1" applyAlignment="1">
      <x:alignment vertical="center"/>
    </x:xf>
    <x:xf numFmtId="208" fontId="15" fillId="11" borderId="29" xfId="0" applyNumberFormat="1" applyFont="1" applyFill="1" applyBorder="1" applyAlignment="1">
      <x:alignment horizontal="center" vertical="center" wrapText="1"/>
    </x:xf>
    <x:xf numFmtId="208" fontId="15" fillId="12" borderId="31" xfId="0" applyNumberFormat="1" applyFont="1" applyFill="1" applyBorder="1" applyAlignment="1">
      <x:alignment vertical="center"/>
    </x:xf>
    <x:xf numFmtId="208" fontId="6" fillId="0" borderId="33" xfId="0" applyNumberFormat="1" applyFont="1" applyFill="1" applyBorder="1" applyAlignment="1">
      <x:alignment vertical="center"/>
    </x:xf>
    <x:xf numFmtId="202" fontId="20" fillId="10" borderId="19" xfId="0" applyNumberFormat="1" applyFont="1" applyFill="1" applyBorder="1" applyAlignment="1">
      <x:alignment vertical="center"/>
    </x:xf>
    <x:xf numFmtId="202" fontId="20" fillId="10" borderId="21" xfId="0" applyNumberFormat="1" applyFont="1" applyFill="1" applyBorder="1" applyAlignment="1">
      <x:alignment vertical="center"/>
    </x:xf>
    <x:xf numFmtId="202" fontId="20" fillId="10" borderId="23" xfId="0" applyNumberFormat="1" applyFont="1" applyFill="1" applyBorder="1" applyAlignment="1">
      <x:alignment vertical="center"/>
    </x:xf>
    <x:xf numFmtId="202" fontId="5" fillId="7" borderId="17" xfId="0" applyNumberFormat="1" applyFont="1" applyFill="1" applyBorder="1" applyAlignment="1">
      <x:alignment vertical="center"/>
    </x:xf>
    <x:xf numFmtId="202" fontId="15" fillId="11" borderId="30" xfId="0" applyNumberFormat="1" applyFont="1" applyFill="1" applyBorder="1" applyAlignment="1">
      <x:alignment horizontal="center" vertical="center" wrapText="1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5" fillId="13" borderId="17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6" fillId="14" borderId="33" xfId="0" applyNumberFormat="1" applyFont="1" applyFill="1" applyBorder="1" applyAlignment="1">
      <x:alignment vertical="center"/>
    </x:xf>
    <x:xf numFmtId="0" fontId="6" fillId="14" borderId="23" xfId="0" applyNumberFormat="1" applyFont="1" applyFill="1" applyBorder="1" applyAlignment="1">
      <x:alignment vertical="center"/>
    </x:xf>
    <x:xf numFmtId="0" fontId="21" fillId="14" borderId="22" xfId="0" applyNumberFormat="1" applyFont="1" applyFill="1" applyBorder="1" applyAlignment="1">
      <x:alignment vertical="center"/>
    </x:xf>
    <x:xf numFmtId="0" fontId="21" fillId="14" borderId="33" xfId="0" applyNumberFormat="1" applyFont="1" applyFill="1" applyBorder="1" applyAlignment="1">
      <x:alignment vertical="center"/>
    </x:xf>
    <x:xf numFmtId="0" fontId="21" fillId="14" borderId="23" xfId="0" applyNumberFormat="1" applyFont="1" applyFill="1" applyBorder="1" applyAlignment="1">
      <x:alignment vertical="center"/>
    </x:xf>
    <x:xf numFmtId="0" fontId="21" fillId="14" borderId="34" xfId="0" applyNumberFormat="1" applyFont="1" applyFill="1" applyBorder="1" applyAlignment="1">
      <x:alignment vertical="center"/>
    </x:xf>
    <x:xf numFmtId="207" fontId="21" fillId="14" borderId="34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05" fontId="21" fillId="14" borderId="34" xfId="0" applyNumberFormat="1" applyFont="1" applyFill="1" applyBorder="1" applyAlignment="1">
      <x:alignment vertical="center"/>
    </x:xf>
    <x:xf numFmtId="202" fontId="21" fillId="14" borderId="34" xfId="0" applyNumberFormat="1" applyFont="1" applyFill="1" applyBorder="1" applyAlignment="1">
      <x:alignment vertical="center"/>
    </x:xf>
    <x:xf numFmtId="208" fontId="21" fillId="14" borderId="34" xfId="0" applyNumberFormat="1" applyFont="1" applyFill="1" applyBorder="1" applyAlignment="1">
      <x:alignment vertical="center"/>
    </x:xf>
    <x:xf numFmtId="207" fontId="6" fillId="0" borderId="31" xfId="0" applyNumberFormat="1" applyFont="1" applyFill="1" applyBorder="1" applyAlignment="1">
      <x:alignment vertical="center"/>
    </x:xf>
    <x:xf numFmtId="207" fontId="6" fillId="0" borderId="32" xfId="0" applyNumberFormat="1" applyFont="1" applyFill="1" applyBorder="1" applyAlignment="1">
      <x:alignment vertical="center"/>
    </x:xf>
    <x:xf numFmtId="204" fontId="19" fillId="10" borderId="26" xfId="0" applyNumberFormat="1" applyFont="1" applyFill="1" applyBorder="1" applyAlignment="1">
      <x:alignment vertical="center"/>
    </x:xf>
    <x:xf numFmtId="204" fontId="19" fillId="10" borderId="25" xfId="0" applyNumberFormat="1" applyFont="1" applyFill="1" applyBorder="1" applyAlignment="1">
      <x:alignment vertical="center"/>
    </x:xf>
    <x:xf numFmtId="204" fontId="18" fillId="9" borderId="24" xfId="0" applyNumberFormat="1" applyFont="1" applyFill="1" applyBorder="1" applyAlignment="1">
      <x:alignment vertical="center"/>
    </x:xf>
    <x:xf numFmtId="204" fontId="18" fillId="9" borderId="25" xfId="0" applyNumberFormat="1" applyFont="1" applyFill="1" applyBorder="1" applyAlignment="1">
      <x:alignment vertical="center"/>
    </x:xf>
    <x:xf numFmtId="204" fontId="19" fillId="10" borderId="24" xfId="0" applyNumberFormat="1" applyFont="1" applyFill="1" applyBorder="1" applyAlignment="1">
      <x:alignment vertical="center"/>
    </x:xf>
    <x:xf numFmtId="201" fontId="18" fillId="9" borderId="25" xfId="0" applyNumberFormat="1" applyFont="1" applyFill="1" applyBorder="1" applyAlignment="1">
      <x:alignment vertical="center"/>
    </x:xf>
    <x:xf numFmtId="201" fontId="19" fillId="10" borderId="24" xfId="0" applyNumberFormat="1" applyFont="1" applyFill="1" applyBorder="1" applyAlignment="1">
      <x:alignment vertical="center"/>
    </x:xf>
    <x:xf numFmtId="202" fontId="19" fillId="10" borderId="26" xfId="0" applyNumberFormat="1" applyFont="1" applyFill="1" applyBorder="1" applyAlignment="1">
      <x:alignment vertical="center"/>
    </x:xf>
    <x:xf numFmtId="205" fontId="19" fillId="10" borderId="26" xfId="0" applyNumberFormat="1" applyFont="1" applyFill="1" applyBorder="1" applyAlignment="1">
      <x:alignment vertical="center"/>
    </x:xf>
    <x:xf numFmtId="202" fontId="19" fillId="10" borderId="25" xfId="0" applyNumberFormat="1" applyFont="1" applyFill="1" applyBorder="1" applyAlignment="1">
      <x:alignment vertical="center"/>
    </x:xf>
    <x:xf numFmtId="203" fontId="19" fillId="10" borderId="26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4" borderId="11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9" fillId="4" borderId="12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9" fillId="4" borderId="12" xfId="0" applyNumberFormat="1" applyFont="1" applyFill="1" applyBorder="1" applyAlignment="1">
      <x:alignment vertical="center"/>
    </x:xf>
    <x:xf numFmtId="202" fontId="9" fillId="4" borderId="12" xfId="0" applyNumberFormat="1" applyFont="1" applyFill="1" applyBorder="1" applyAlignment="1">
      <x:alignment vertical="center"/>
    </x:xf>
    <x:xf numFmtId="204" fontId="3" fillId="0" borderId="0" xfId="0" applyNumberFormat="1" applyFont="1" applyFill="1" applyBorder="1" applyAlignment="1">
      <x:alignment vertical="center"/>
    </x:xf>
    <x:xf numFmtId="202" fontId="9" fillId="4" borderId="13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1" fontId="3" fillId="6" borderId="0" xfId="0" applyNumberFormat="1" applyFont="1" applyFill="1" applyBorder="1" applyAlignment="1">
      <x:alignment vertical="center"/>
    </x:xf>
    <x:xf numFmtId="206" fontId="3" fillId="6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5" fillId="11" borderId="29" xfId="0" applyNumberFormat="1" applyFont="1" applyFill="1" applyBorder="1" applyAlignment="1">
      <x:alignment horizontal="center" vertical="center" wrapText="0"/>
    </x:xf>
    <x:xf numFmtId="202" fontId="6" fillId="0" borderId="31" xfId="0" applyNumberFormat="1" applyFont="1" applyFill="1" applyBorder="1" applyAlignment="1">
      <x:alignment vertical="center" wrapText="0"/>
    </x:xf>
    <x:xf numFmtId="202" fontId="6" fillId="0" borderId="32" xfId="0" applyNumberFormat="1" applyFont="1" applyFill="1" applyBorder="1" applyAlignment="1">
      <x:alignment vertical="center" wrapText="0"/>
    </x:xf>
    <x:xf numFmtId="202" fontId="15" fillId="12" borderId="33" xfId="0" applyNumberFormat="1" applyFont="1" applyFill="1" applyBorder="1" applyAlignment="1">
      <x:alignment vertical="center" wrapText="0"/>
    </x:xf>
    <x:xf numFmtId="208" fontId="15" fillId="11" borderId="29" xfId="0" applyNumberFormat="1" applyFont="1" applyFill="1" applyBorder="1" applyAlignment="1">
      <x:alignment horizontal="center" vertical="center" wrapText="0"/>
    </x:xf>
    <x:xf numFmtId="208" fontId="6" fillId="0" borderId="31" xfId="0" applyNumberFormat="1" applyFont="1" applyFill="1" applyBorder="1" applyAlignment="1">
      <x:alignment vertical="center" wrapText="0"/>
    </x:xf>
    <x:xf numFmtId="208" fontId="6" fillId="0" borderId="32" xfId="0" applyNumberFormat="1" applyFont="1" applyFill="1" applyBorder="1" applyAlignment="1">
      <x:alignment vertical="center" wrapText="0"/>
    </x:xf>
    <x:xf numFmtId="208" fontId="15" fillId="12" borderId="33" xfId="0" applyNumberFormat="1" applyFont="1" applyFill="1" applyBorder="1" applyAlignment="1">
      <x:alignment vertical="center" wrapText="0"/>
    </x:xf>
    <x:xf numFmtId="202" fontId="15" fillId="11" borderId="29" xfId="0" applyNumberFormat="1" applyFont="1" applyFill="1" applyBorder="1" applyAlignment="1">
      <x:alignment horizontal="center" vertical="center" wrapText="0"/>
    </x:xf>
    <x:xf numFmtId="202" fontId="15" fillId="12" borderId="31" xfId="0" applyNumberFormat="1" applyFont="1" applyFill="1" applyBorder="1" applyAlignment="1">
      <x:alignment vertical="center" wrapText="0"/>
    </x:xf>
    <x:xf numFmtId="202" fontId="6" fillId="0" borderId="33" xfId="0" applyNumberFormat="1" applyFont="1" applyFill="1" applyBorder="1" applyAlignment="1">
      <x:alignment vertical="center" wrapText="0"/>
    </x:xf>
    <x:xf numFmtId="208" fontId="15" fillId="12" borderId="31" xfId="0" applyNumberFormat="1" applyFont="1" applyFill="1" applyBorder="1" applyAlignment="1">
      <x:alignment vertical="center" wrapText="0"/>
    </x:xf>
    <x:xf numFmtId="208" fontId="6" fillId="0" borderId="33" xfId="0" applyNumberFormat="1" applyFont="1" applyFill="1" applyBorder="1" applyAlignment="1">
      <x:alignment vertical="center" wrapText="0"/>
    </x:xf>
    <x:xf numFmtId="202" fontId="21" fillId="14" borderId="34" xfId="0" applyNumberFormat="1" applyFont="1" applyFill="1" applyBorder="1" applyAlignment="1">
      <x:alignment vertical="center" wrapText="0"/>
    </x:xf>
    <x:xf numFmtId="208" fontId="21" fillId="14" borderId="34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2" fontId="6" fillId="0" borderId="5" xfId="0" applyNumberFormat="1" applyFont="1" applyFill="1" applyBorder="1" applyAlignment="1">
      <x:alignment vertical="center" wrapText="0"/>
    </x:xf>
    <x:xf numFmtId="202" fontId="6" fillId="0" borderId="6" xfId="0" applyNumberFormat="1" applyFont="1" applyFill="1" applyBorder="1" applyAlignment="1">
      <x:alignment vertical="center" wrapText="0"/>
    </x:xf>
    <x:xf numFmtId="202" fontId="6" fillId="0" borderId="7" xfId="0" applyNumberFormat="1" applyFont="1" applyFill="1" applyBorder="1" applyAlignment="1">
      <x:alignment vertical="center" wrapText="0"/>
    </x:xf>
    <x:xf numFmtId="208" fontId="5" fillId="2" borderId="3" xfId="0" applyNumberFormat="1" applyFont="1" applyFill="1" applyBorder="1" applyAlignment="1">
      <x:alignment horizontal="center" vertical="center" wrapText="0"/>
    </x:xf>
    <x:xf numFmtId="208" fontId="6" fillId="0" borderId="5" xfId="0" applyNumberFormat="1" applyFont="1" applyFill="1" applyBorder="1" applyAlignment="1">
      <x:alignment vertical="center" wrapText="0"/>
    </x:xf>
    <x:xf numFmtId="208" fontId="6" fillId="0" borderId="6" xfId="0" applyNumberFormat="1" applyFont="1" applyFill="1" applyBorder="1" applyAlignment="1">
      <x:alignment vertical="center" wrapText="0"/>
    </x:xf>
    <x:xf numFmtId="208" fontId="6" fillId="0" borderId="7" xfId="0" applyNumberFormat="1" applyFont="1" applyFill="1" applyBorder="1" applyAlignment="1">
      <x:alignment vertical="center" wrapText="0"/>
    </x:xf>
    <x:xf numFmtId="0" fontId="15" fillId="15" borderId="29" xfId="0" applyNumberFormat="1" applyFont="1" applyFill="1" applyBorder="1" applyAlignment="1">
      <x:alignment horizontal="center" vertical="center" wrapText="1"/>
    </x:xf>
    <x:xf numFmtId="0" fontId="22" fillId="15" borderId="29" xfId="0" applyNumberFormat="1" applyFont="1" applyFill="1" applyBorder="1" applyAlignment="1">
      <x:alignment horizontal="center" vertical="center" wrapText="1"/>
    </x:xf>
    <x:xf numFmtId="209" fontId="22" fillId="15" borderId="29" xfId="0" applyNumberFormat="1" applyFont="1" applyFill="1" applyBorder="1" applyAlignment="1">
      <x:alignment horizontal="center" vertical="center" wrapText="1"/>
    </x:xf>
    <x:xf numFmtId="208" fontId="15" fillId="15" borderId="29" xfId="0" applyNumberFormat="1" applyFont="1" applyFill="1" applyBorder="1" applyAlignment="1">
      <x:alignment horizontal="center" vertical="center" wrapText="0"/>
    </x:xf>
    <x:xf numFmtId="208" fontId="22" fillId="15" borderId="29" xfId="0" applyNumberFormat="1" applyFont="1" applyFill="1" applyBorder="1" applyAlignment="1">
      <x:alignment horizontal="center" vertical="center" wrapText="0"/>
    </x:xf>
    <x:xf numFmtId="209" fontId="22" fillId="15" borderId="29" xfId="0" applyNumberFormat="1" applyFont="1" applyFill="1" applyBorder="1" applyAlignment="1">
      <x:alignment horizontal="center" vertical="center" wrapText="0"/>
    </x:xf>
    <x:xf numFmtId="0" fontId="15" fillId="15" borderId="30" xfId="0" applyNumberFormat="1" applyFont="1" applyFill="1" applyBorder="1" applyAlignment="1">
      <x:alignment horizontal="center" vertical="center" wrapText="1"/>
    </x:xf>
    <x:xf numFmtId="0" fontId="22" fillId="15" borderId="30" xfId="0" applyNumberFormat="1" applyFont="1" applyFill="1" applyBorder="1" applyAlignment="1">
      <x:alignment horizontal="center" vertical="center" wrapText="1"/>
    </x:xf>
    <x:xf numFmtId="209" fontId="22" fillId="15" borderId="3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209" fontId="22" fillId="15" borderId="0" xfId="0" applyNumberFormat="1" applyFont="1" applyFill="1" applyBorder="1"/>
    <x:xf numFmtId="209" fontId="22" fillId="15" borderId="0" xfId="0" applyNumberFormat="1" applyFont="1" applyFill="1" applyBorder="1" applyAlignment="1">
      <x:alignment wrapText="1"/>
    </x:xf>
    <x:xf numFmtId="209" fontId="22" fillId="15" borderId="0" xfId="0" applyNumberFormat="1" applyFont="1" applyFill="1" applyBorder="1" applyAlignment="1">
      <x:alignment horizontal="center" wrapText="1"/>
    </x:xf>
    <x:xf numFmtId="209" fontId="22" fillId="15" borderId="0" xfId="0" applyNumberFormat="1" applyFont="1" applyFill="1" applyBorder="1" applyAlignment="1">
      <x:alignment horizontal="center" vertical="center" wrapText="1"/>
    </x:xf>
    <x:xf numFmtId="208" fontId="6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 wrapText="0"/>
    </x:xf>
    <x:xf numFmtId="208" fontId="23" fillId="16" borderId="31" xfId="0" applyNumberFormat="1" applyFont="1" applyFill="1" applyBorder="1" applyAlignment="1">
      <x:alignment horizontal="right" vertical="center" wrapText="0"/>
    </x:xf>
    <x:xf numFmtId="208" fontId="6" fillId="16" borderId="31" xfId="0" applyNumberFormat="1" applyFont="1" applyFill="1" applyBorder="1" applyAlignment="1">
      <x:alignment vertical="center" wrapText="0"/>
    </x:xf>
    <x:xf numFmtId="202" fontId="6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 wrapText="0"/>
    </x:xf>
    <x:xf numFmtId="202" fontId="23" fillId="16" borderId="31" xfId="0" applyNumberFormat="1" applyFont="1" applyFill="1" applyBorder="1" applyAlignment="1">
      <x:alignment horizontal="right" vertical="center" wrapText="0"/>
    </x:xf>
    <x:xf numFmtId="202" fontId="20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 wrapText="0"/>
    </x:xf>
    <x:xf numFmtId="202" fontId="23" fillId="16" borderId="19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4" fillId="17" borderId="0" xfId="0" applyNumberFormat="1" applyFont="1" applyFill="1" applyBorder="1"/>
    <x:xf numFmtId="202" fontId="24" fillId="17" borderId="0" xfId="0" applyNumberFormat="1" applyFont="1" applyFill="1" applyBorder="1"/>
    <x:xf numFmtId="202" fontId="24" fillId="17" borderId="0" xfId="0" applyNumberFormat="1" applyFont="1" applyFill="1" applyBorder="1" applyAlignment="1">
      <x:alignment wrapText="0"/>
    </x:xf>
    <x:xf numFmtId="202" fontId="24" fillId="17" borderId="0" xfId="0" applyNumberFormat="1" applyFont="1" applyFill="1" applyBorder="1" applyAlignment="1">
      <x:alignment horizontal="right" wrapText="0"/>
    </x:xf>
    <x:xf numFmtId="202" fontId="24" fillId="17" borderId="0" xfId="0" applyNumberFormat="1" applyFont="1" applyFill="1" applyBorder="1" applyAlignment="1">
      <x:alignment horizontal="right" vertical="center" wrapText="0"/>
    </x:xf>
    <x:xf numFmtId="202" fontId="24" fillId="17" borderId="19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 wrapText="0"/>
    </x:xf>
    <x:xf numFmtId="208" fontId="23" fillId="16" borderId="32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 wrapText="0"/>
    </x:xf>
    <x:xf numFmtId="202" fontId="6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 wrapText="0"/>
    </x:xf>
    <x:xf numFmtId="202" fontId="23" fillId="16" borderId="32" xfId="0" applyNumberFormat="1" applyFont="1" applyFill="1" applyBorder="1" applyAlignment="1">
      <x:alignment horizontal="right" vertical="center" wrapText="0"/>
    </x:xf>
    <x:xf numFmtId="202" fontId="20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 wrapText="0"/>
    </x:xf>
    <x:xf numFmtId="202" fontId="23" fillId="16" borderId="21" xfId="0" applyNumberFormat="1" applyFont="1" applyFill="1" applyBorder="1" applyAlignment="1">
      <x:alignment horizontal="right" vertical="center" wrapText="0"/>
    </x:xf>
    <x:xf numFmtId="202" fontId="24" fillId="17" borderId="21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 wrapText="0"/>
    </x:xf>
    <x:xf numFmtId="208" fontId="22" fillId="18" borderId="33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 wrapText="0"/>
    </x:xf>
    <x:xf numFmtId="202" fontId="15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 wrapText="0"/>
    </x:xf>
    <x:xf numFmtId="202" fontId="22" fillId="18" borderId="33" xfId="0" applyNumberFormat="1" applyFont="1" applyFill="1" applyBorder="1" applyAlignment="1">
      <x:alignment horizontal="right" vertical="center" wrapText="0"/>
    </x:xf>
    <x:xf numFmtId="202" fontId="20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 wrapText="0"/>
    </x:xf>
    <x:xf numFmtId="202" fontId="22" fillId="18" borderId="23" xfId="0" applyNumberFormat="1" applyFont="1" applyFill="1" applyBorder="1" applyAlignment="1">
      <x:alignment horizontal="right" vertical="center" wrapText="0"/>
    </x:xf>
    <x:xf numFmtId="202" fontId="24" fillId="17" borderId="23" xfId="0" applyNumberFormat="1" applyFont="1" applyFill="1" applyBorder="1" applyAlignment="1">
      <x:alignment horizontal="right" vertical="center" wrapText="0"/>
    </x:xf>
    <x:xf numFmtId="208" fontId="15" fillId="15" borderId="29" xfId="0" applyNumberFormat="1" applyFont="1" applyFill="1" applyBorder="1" applyAlignment="1">
      <x:alignment horizontal="center" vertical="center" wrapText="1"/>
    </x:xf>
    <x:xf numFmtId="208" fontId="22" fillId="15" borderId="29" xfId="0" applyNumberFormat="1" applyFont="1" applyFill="1" applyBorder="1" applyAlignment="1">
      <x:alignment horizontal="center" vertical="center" wrapText="1"/>
    </x:xf>
    <x:xf numFmtId="202" fontId="15" fillId="15" borderId="29" xfId="0" applyNumberFormat="1" applyFont="1" applyFill="1" applyBorder="1" applyAlignment="1">
      <x:alignment horizontal="center" vertical="center" wrapText="1"/>
    </x:xf>
    <x:xf numFmtId="202" fontId="22" fillId="15" borderId="29" xfId="0" applyNumberFormat="1" applyFont="1" applyFill="1" applyBorder="1" applyAlignment="1">
      <x:alignment horizontal="center" vertical="center" wrapText="1"/>
    </x:xf>
    <x:xf numFmtId="202" fontId="15" fillId="15" borderId="30" xfId="0" applyNumberFormat="1" applyFont="1" applyFill="1" applyBorder="1" applyAlignment="1">
      <x:alignment horizontal="center" vertical="center" wrapText="1"/>
    </x:xf>
    <x:xf numFmtId="202" fontId="22" fillId="15" borderId="30" xfId="0" applyNumberFormat="1" applyFont="1" applyFill="1" applyBorder="1" applyAlignment="1">
      <x:alignment horizontal="center" vertical="center" wrapText="1"/>
    </x:xf>
    <x:xf numFmtId="202" fontId="22" fillId="15" borderId="0" xfId="0" applyNumberFormat="1" applyFont="1" applyFill="1" applyBorder="1"/>
    <x:xf numFmtId="202" fontId="22" fillId="15" borderId="0" xfId="0" applyNumberFormat="1" applyFont="1" applyFill="1" applyBorder="1" applyAlignment="1">
      <x:alignment wrapText="1"/>
    </x:xf>
    <x:xf numFmtId="202" fontId="22" fillId="15" borderId="0" xfId="0" applyNumberFormat="1" applyFont="1" applyFill="1" applyBorder="1" applyAlignment="1">
      <x:alignment horizontal="center" wrapText="1"/>
    </x:xf>
    <x:xf numFmtId="202" fontId="22" fillId="15" borderId="0" xfId="0" applyNumberFormat="1" applyFont="1" applyFill="1" applyBorder="1" applyAlignment="1">
      <x:alignment horizontal="center" vertical="center" wrapText="1"/>
    </x:xf>
    <x:xf numFmtId="208" fontId="15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 wrapText="0"/>
    </x:xf>
    <x:xf numFmtId="208" fontId="22" fillId="18" borderId="31" xfId="0" applyNumberFormat="1" applyFont="1" applyFill="1" applyBorder="1" applyAlignment="1">
      <x:alignment horizontal="right" vertical="center" wrapText="0"/>
    </x:xf>
    <x:xf numFmtId="208" fontId="15" fillId="18" borderId="31" xfId="0" applyNumberFormat="1" applyFont="1" applyFill="1" applyBorder="1" applyAlignment="1">
      <x:alignment vertical="center" wrapText="0"/>
    </x:xf>
    <x:xf numFmtId="202" fontId="15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 wrapText="0"/>
    </x:xf>
    <x:xf numFmtId="202" fontId="22" fillId="18" borderId="31" xfId="0" applyNumberFormat="1" applyFont="1" applyFill="1" applyBorder="1" applyAlignment="1">
      <x:alignment horizontal="right" vertical="center" wrapText="0"/>
    </x:xf>
    <x:xf numFmtId="202" fontId="20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 wrapText="0"/>
    </x:xf>
    <x:xf numFmtId="202" fontId="22" fillId="18" borderId="19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 wrapText="0"/>
    </x:xf>
    <x:xf numFmtId="208" fontId="23" fillId="16" borderId="33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 wrapText="0"/>
    </x:xf>
    <x:xf numFmtId="202" fontId="6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 wrapText="0"/>
    </x:xf>
    <x:xf numFmtId="202" fontId="23" fillId="16" borderId="33" xfId="0" applyNumberFormat="1" applyFont="1" applyFill="1" applyBorder="1" applyAlignment="1">
      <x:alignment horizontal="right" vertical="center" wrapText="0"/>
    </x:xf>
    <x:xf numFmtId="202" fontId="20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 wrapText="0"/>
    </x:xf>
    <x:xf numFmtId="202" fontId="23" fillId="16" borderId="23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 wrapText="1"/>
    </x:xf>
    <x:xf numFmtId="207" fontId="6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3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 wrapText="0"/>
    </x:xf>
    <x:xf numFmtId="207" fontId="23" fillId="16" borderId="31" xfId="0" applyNumberFormat="1" applyFont="1" applyFill="1" applyBorder="1" applyAlignment="1">
      <x:alignment horizontal="right" vertical="center" wrapText="0"/>
    </x:xf>
    <x:xf numFmtId="207" fontId="6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/>
    </x:xf>
    <x:xf numFmtId="0" fontId="6" fillId="16" borderId="32" xfId="0" applyNumberFormat="1" applyFont="1" applyFill="1" applyBorder="1" applyAlignment="1">
      <x:alignment vertical="center"/>
    </x:xf>
    <x:xf numFmtId="0" fontId="23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 wrapText="0"/>
    </x:xf>
    <x:xf numFmtId="207" fontId="23" fillId="16" borderId="32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 wrapText="0"/>
    </x:xf>
    <x:xf numFmtId="208" fontId="25" fillId="19" borderId="34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 wrapText="0"/>
    </x:xf>
    <x:xf numFmtId="202" fontId="21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 wrapText="0"/>
    </x:xf>
    <x:xf numFmtId="202" fontId="25" fillId="19" borderId="34" xfId="0" applyNumberFormat="1" applyFont="1" applyFill="1" applyBorder="1" applyAlignment="1">
      <x:alignment horizontal="right" vertical="center" wrapText="0"/>
    </x:xf>
    <x:xf numFmtId="207" fontId="21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/>
    </x:xf>
    <x:xf numFmtId="0" fontId="21" fillId="19" borderId="34" xfId="0" applyNumberFormat="1" applyFont="1" applyFill="1" applyBorder="1" applyAlignment="1">
      <x:alignment vertical="center"/>
    </x:xf>
    <x:xf numFmtId="0" fontId="25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 wrapText="0"/>
    </x:xf>
    <x:xf numFmtId="207" fontId="25" fillId="19" borderId="34" xfId="0" applyNumberFormat="1" applyFont="1" applyFill="1" applyBorder="1" applyAlignment="1">
      <x:alignment horizontal="right" vertical="center" wrapText="0"/>
    </x:xf>
    <x:xf numFmtId="209" fontId="25" fillId="19" borderId="34" xfId="0" applyNumberFormat="1" applyFont="1" applyFill="1" applyBorder="1" applyAlignment="1">
      <x:alignment vertical="center"/>
    </x:xf>
    <x:xf numFmtId="209" fontId="25" fillId="19" borderId="34" xfId="0" applyNumberFormat="1" applyFont="1" applyFill="1" applyBorder="1" applyAlignment="1">
      <x:alignment vertical="center" wrapText="0"/>
    </x:xf>
    <x:xf numFmtId="209" fontId="25" fillId="19" borderId="34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5" fillId="19" borderId="0" xfId="0" applyNumberFormat="1" applyFont="1" applyFill="1" applyBorder="1"/>
    <x:xf numFmtId="202" fontId="25" fillId="19" borderId="0" xfId="0" applyNumberFormat="1" applyFont="1" applyFill="1" applyBorder="1"/>
    <x:xf numFmtId="202" fontId="25" fillId="19" borderId="0" xfId="0" applyNumberFormat="1" applyFont="1" applyFill="1" applyBorder="1" applyAlignment="1">
      <x:alignment wrapText="0"/>
    </x:xf>
    <x:xf numFmtId="202" fontId="25" fillId="19" borderId="0" xfId="0" applyNumberFormat="1" applyFont="1" applyFill="1" applyBorder="1" applyAlignment="1">
      <x:alignment horizontal="right" wrapText="0"/>
    </x:xf>
    <x:xf numFmtId="202" fontId="25" fillId="19" borderId="0" xfId="0" applyNumberFormat="1" applyFont="1" applyFill="1" applyBorder="1" applyAlignment="1">
      <x:alignment horizontal="right" vertical="center" wrapText="0"/>
    </x:xf>
    <x:xf numFmtId="0" fontId="5" fillId="20" borderId="3" xfId="0" applyNumberFormat="1" applyFont="1" applyFill="1" applyBorder="1" applyAlignment="1">
      <x:alignment horizontal="center" vertical="center" wrapText="1"/>
    </x:xf>
    <x:xf numFmtId="0" fontId="26" fillId="20" borderId="3" xfId="0" applyNumberFormat="1" applyFont="1" applyFill="1" applyBorder="1" applyAlignment="1">
      <x:alignment horizontal="center" vertical="center" wrapText="1"/>
    </x:xf>
    <x:xf numFmtId="209" fontId="26" fillId="20" borderId="3" xfId="0" applyNumberFormat="1" applyFont="1" applyFill="1" applyBorder="1" applyAlignment="1">
      <x:alignment horizontal="center" vertical="center" wrapText="1"/>
    </x:xf>
    <x:xf numFmtId="208" fontId="5" fillId="20" borderId="3" xfId="0" applyNumberFormat="1" applyFont="1" applyFill="1" applyBorder="1" applyAlignment="1">
      <x:alignment horizontal="center" vertical="center" wrapText="0"/>
    </x:xf>
    <x:xf numFmtId="208" fontId="26" fillId="20" borderId="3" xfId="0" applyNumberFormat="1" applyFont="1" applyFill="1" applyBorder="1" applyAlignment="1">
      <x:alignment horizontal="center" vertical="center" wrapText="0"/>
    </x:xf>
    <x:xf numFmtId="209" fontId="26" fillId="20" borderId="3" xfId="0" applyNumberFormat="1" applyFont="1" applyFill="1" applyBorder="1" applyAlignment="1">
      <x:alignment horizontal="center" vertical="center" wrapText="0"/>
    </x:xf>
    <x:xf numFmtId="0" fontId="5" fillId="20" borderId="4" xfId="0" applyNumberFormat="1" applyFont="1" applyFill="1" applyBorder="1" applyAlignment="1">
      <x:alignment horizontal="center" vertical="center" wrapText="1"/>
    </x:xf>
    <x:xf numFmtId="0" fontId="26" fillId="20" borderId="4" xfId="0" applyNumberFormat="1" applyFont="1" applyFill="1" applyBorder="1" applyAlignment="1">
      <x:alignment horizontal="center" vertical="center" wrapText="1"/>
    </x:xf>
    <x:xf numFmtId="209" fontId="26" fillId="20" borderId="4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 applyAlignment="1">
      <x:alignment vertical="center"/>
    </x:xf>
    <x:xf numFmtId="0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 wrapText="1"/>
    </x:xf>
    <x:xf numFmtId="209" fontId="26" fillId="20" borderId="0" xfId="0" applyNumberFormat="1" applyFont="1" applyFill="1" applyBorder="1" applyAlignment="1">
      <x:alignment horizontal="center" vertical="center" wrapText="1"/>
    </x:xf>
    <x:xf numFmtId="202" fontId="6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 wrapText="0"/>
    </x:xf>
    <x:xf numFmtId="202" fontId="23" fillId="16" borderId="5" xfId="0" applyNumberFormat="1" applyFont="1" applyFill="1" applyBorder="1" applyAlignment="1">
      <x:alignment horizontal="right" vertical="center" wrapText="0"/>
    </x:xf>
    <x:xf numFmtId="208" fontId="6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 wrapText="0"/>
    </x:xf>
    <x:xf numFmtId="202" fontId="23" fillId="16" borderId="0" xfId="0" applyNumberFormat="1" applyFont="1" applyFill="1" applyBorder="1" applyAlignment="1">
      <x:alignment horizontal="right" vertical="center" wrapText="0"/>
    </x:xf>
    <x:xf numFmtId="202" fontId="6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 wrapText="0"/>
    </x:xf>
    <x:xf numFmtId="202" fontId="23" fillId="16" borderId="6" xfId="0" applyNumberFormat="1" applyFont="1" applyFill="1" applyBorder="1" applyAlignment="1">
      <x:alignment horizontal="right" vertical="center" wrapText="0"/>
    </x:xf>
    <x:xf numFmtId="208" fontId="6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horizontal="right" vertical="center" wrapText="0"/>
    </x:xf>
    <x:xf numFmtId="202" fontId="6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 wrapText="0"/>
    </x:xf>
    <x:xf numFmtId="202" fontId="23" fillId="16" borderId="7" xfId="0" applyNumberFormat="1" applyFont="1" applyFill="1" applyBorder="1" applyAlignment="1">
      <x:alignment horizontal="right" vertical="center" wrapText="0"/>
    </x:xf>
    <x:xf numFmtId="208" fontId="6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horizontal="right" vertical="center" wrapText="0"/>
    </x:xf>
    <x:xf numFmtId="0" fontId="27" fillId="0" borderId="0" xfId="0" applyNumberFormat="1" applyFont="1" applyFill="1" applyBorder="1"/>
    <x:xf numFmtId="210" fontId="27" fillId="0" borderId="0" xfId="0" applyNumberFormat="1" applyFont="1" applyFill="1" applyBorder="1"/>
    <x:xf numFmtId="211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left" wrapText="1"/>
    </x:xf>
  </x:cellXfs>
  <x:cellStyles count="1">
    <x:cellStyle name="Normal" xfId="0"/>
  </x:cellStyles>
  <x:dxfs count="5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0ce2bfb7ac4f2f" /><Relationship Type="http://schemas.openxmlformats.org/officeDocument/2006/relationships/theme" Target="/xl/theme/theme1.xml" Id="R34d50911e0a74a00" /><Relationship Type="http://schemas.openxmlformats.org/officeDocument/2006/relationships/sharedStrings" Target="/xl/sharedStrings.xml" Id="R568eaef3872f421b" /><Relationship Type="http://schemas.openxmlformats.org/officeDocument/2006/relationships/worksheet" Target="/xl/worksheets/sheet1.xml" Id="R07960734c4244702" /><Relationship Type="http://schemas.openxmlformats.org/officeDocument/2006/relationships/worksheet" Target="/xl/worksheets/sheet2.xml" Id="R790cfe9196f04fe7" /><Relationship Type="http://schemas.openxmlformats.org/officeDocument/2006/relationships/worksheet" Target="/xl/worksheets/sheet3.xml" Id="Rd4c0c5c45eae4e9c" /><Relationship Type="http://schemas.openxmlformats.org/officeDocument/2006/relationships/worksheet" Target="/xl/worksheets/sheet4.xml" Id="R86f2a228e9f9400c" /><Relationship Type="http://schemas.openxmlformats.org/officeDocument/2006/relationships/worksheet" Target="/xl/worksheets/sheet5.xml" Id="R1cc01e53c52e415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8" topLeftCell="A19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0" hidden="0" customWidth="1"/>
    <x:col min="4" max="4" width="19" hidden="0" customWidth="1"/>
    <x:col min="5" max="5" width="20" hidden="0" customWidth="1"/>
    <x:col min="6" max="6" width="19" hidden="0" customWidth="1"/>
    <x:col min="7" max="7" width="19" hidden="0" customWidth="1"/>
    <x:col min="8" max="8" width="20" hidden="0" customWidth="1"/>
    <x:col min="9" max="9" width="20" hidden="0" customWidth="1"/>
    <x:col min="10" max="10" width="19" hidden="0" customWidth="1"/>
    <x:col min="11" max="11" width="20" hidden="0" customWidth="1"/>
    <x:col min="12" max="12" width="19" hidden="0" customWidth="1"/>
    <x:col min="13" max="13" width="20" hidden="0" customWidth="1"/>
  </x:cols>
  <x:sheetData>
    <x:row r="2" ht="20" customHeight="1">
      <x:c r="C2" s="114" t="str">
        <x:v>Flap · 发射控筹模型</x:v>
      </x:c>
      <x:c r="D2" s="115"/>
      <x:c r="E2" s="115"/>
      <x:c r="F2" s="115"/>
      <x:c r="G2" s="115"/>
      <x:c r="H2" s="115"/>
      <x:c r="I2" s="115"/>
      <x:c r="J2" s="115"/>
      <x:c r="K2" s="115"/>
      <x:c r="L2" s="116"/>
    </x:row>
    <x:row r="3" ht="20" customHeight="1">
      <x:c r="C3" s="120" t="str">
        <x:v>蓝色单元格可编辑；绿色为计算结果。Quote 资金按所选资产计价，Gas 单独以 BNB 计价。</x:v>
      </x:c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 ht="20" customHeight="1">
      <x:c r="C4" s="245"/>
      <x:c r="D4" s="245"/>
      <x:c r="E4" s="245"/>
      <x:c r="F4" s="245"/>
      <x:c r="G4" s="245"/>
      <x:c r="H4" s="245"/>
      <x:c r="I4" s="245"/>
      <x:c r="J4" s="245"/>
      <x:c r="K4" s="245"/>
      <x:c r="L4" s="245"/>
    </x:row>
    <x:row r="5" ht="20" customHeight="1">
      <x:c r="C5" s="124" t="str">
        <x:v>模型参数</x:v>
      </x:c>
      <x:c r="D5" s="125"/>
      <x:c r="E5" s="124" t="str">
        <x:v>曲线常数</x:v>
      </x:c>
      <x:c r="F5" s="125"/>
      <x:c r="G5" s="124" t="str">
        <x:v>执行参数</x:v>
      </x:c>
      <x:c r="H5" s="125"/>
      <x:c r="I5" s="124" t="str">
        <x:v>资金结果</x:v>
      </x:c>
      <x:c r="J5" s="125"/>
      <x:c r="K5" s="124" t="str">
        <x:v>Quote 信息</x:v>
      </x:c>
      <x:c r="L5" s="125"/>
    </x:row>
    <x:row r="6" ht="20" customHeight="1">
      <x:c r="C6" s="132" t="str">
        <x:v>Quote</x:v>
      </x:c>
      <x:c r="D6" s="142" t="str">
        <x:v>SPCXB</x:v>
      </x:c>
      <x:c r="E6" s="132" t="str">
        <x:v>内盘 k</x:v>
      </x:c>
      <x:c r="F6" s="151" t="n">
        <x:f>'单币测算'!$I$13</x:f>
        <x:v>37935375809.401474</x:v>
      </x:c>
      <x:c r="G6" s="132" t="str">
        <x:v>模型状态</x:v>
      </x:c>
      <x:c r="H6" s="156" t="str">
        <x:f>'单币测算'!$D$26</x:f>
        <x:v>可达</x:v>
      </x:c>
      <x:c r="I6" s="132" t="str">
        <x:v>预算使用控筹率</x:v>
      </x:c>
      <x:c r="J6" s="240" t="n">
        <x:f>'单币测算'!$D$25</x:f>
        <x:v>0.91</x:v>
      </x:c>
      <x:c r="K6" s="132" t="str">
        <x:v>Quote 名称</x:v>
      </x:c>
      <x:c r="L6" s="151" t="str">
        <x:f>'单币测算'!$I$8</x:f>
        <x:v>SpaceX</x:v>
      </x:c>
    </x:row>
    <x:row r="7" ht="20" customHeight="1">
      <x:c r="C7" s="134" t="str">
        <x:v>Quote / USDT 价格</x:v>
      </x:c>
      <x:c r="D7" s="143" t="n">
        <x:f>IF(VLOOKUP($D$6,'Quote参数'!$E$14:$P$36,12,FALSE)=0,"",VLOOKUP($D$6,'Quote参数'!$E$14:$P$36,12,FALSE))</x:f>
        <x:v>153.1332</x:v>
      </x:c>
      <x:c r="E7" s="134" t="str">
        <x:v>外盘初始 token</x:v>
      </x:c>
      <x:c r="F7" s="152" t="n">
        <x:f>'单币测算'!$I$15</x:f>
        <x:v>199999999.99999997</x:v>
      </x:c>
      <x:c r="G7" s="134" t="str">
        <x:v>单地址 Gas / BNB</x:v>
      </x:c>
      <x:c r="H7" s="142" t="n">
        <x:v>0.01</x:v>
      </x:c>
      <x:c r="I7" s="134" t="str">
        <x:v>目标+1% 理论累计</x:v>
      </x:c>
      <x:c r="J7" s="241" t="n">
        <x:f>'单币测算'!$D$34</x:f>
        <x:v>199.57837300859285</x:v>
      </x:c>
      <x:c r="K7" s="134" t="str">
        <x:v>Quote 合约</x:v>
      </x:c>
      <x:c r="L7" s="244" t="str">
        <x:f>'单币测算'!$I$9</x:f>
        <x:v>​0xbe9D156892E55e7154BcD3cB0FEA677F9D3103E1</x:v>
      </x:c>
    </x:row>
    <x:row r="8" ht="20" customHeight="1">
      <x:c r="C8" s="134" t="str">
        <x:v>total supply</x:v>
      </x:c>
      <x:c r="D8" s="151" t="n">
        <x:v>1000000000</x:v>
      </x:c>
      <x:c r="E8" s="134" t="str">
        <x:v>外盘初始 Quote</x:v>
      </x:c>
      <x:c r="F8" s="152" t="n">
        <x:f>'单币测算'!$I$14</x:f>
        <x:v>89.28571428245735</x:v>
      </x:c>
      <x:c r="G8" s="134" t="str">
        <x:v>资金预留 / Quote</x:v>
      </x:c>
      <x:c r="H8" s="143" t="n">
        <x:v>0</x:v>
      </x:c>
      <x:c r="I8" s="134" t="str">
        <x:v>额外内盘资金</x:v>
      </x:c>
      <x:c r="J8" s="241" t="n">
        <x:f>'单币测算'!$D$35</x:f>
        <x:v>90.17857142528192</x:v>
      </x:c>
      <x:c r="K8" s="134" t="str">
        <x:v>Decimals</x:v>
      </x:c>
      <x:c r="L8" s="152" t="n">
        <x:f>'单币测算'!$I$10</x:f>
        <x:v>18</x:v>
      </x:c>
    </x:row>
    <x:row r="9" ht="20" customHeight="1">
      <x:c r="C9" s="134" t="str">
        <x:v>内盘毕业所需</x:v>
      </x:c>
      <x:c r="D9" s="152" t="n">
        <x:f>'单币测算'!$D$27</x:f>
        <x:v>90.17857142528192</x:v>
      </x:c>
      <x:c r="E9" s="134" t="str">
        <x:v>外盘 k</x:v>
      </x:c>
      <x:c r="F9" s="152" t="n">
        <x:f>'单币测算'!$I$16</x:f>
        <x:v>17857142856.491467</x:v>
      </x:c>
      <x:c r="G9" s="134" t="str">
        <x:v>洗筹口径</x:v>
      </x:c>
      <x:c r="H9" s="156" t="str">
        <x:v>目标+1% FDV × 洗筹总费率</x:v>
      </x:c>
      <x:c r="I9" s="134" t="str">
        <x:v>目标+1% FDV</x:v>
      </x:c>
      <x:c r="J9" s="241" t="n">
        <x:f>'单币测算'!$D$36</x:f>
        <x:v>2204.5855378384535</x:v>
      </x:c>
      <x:c r="K9" s="134" t="str">
        <x:v>当前净控筹上限</x:v>
      </x:c>
      <x:c r="L9" s="234" t="n">
        <x:f>'单币测算'!$I$20</x:f>
        <x:v>1</x:v>
      </x:c>
    </x:row>
    <x:row r="10" ht="20" customHeight="1">
      <x:c r="C10" s="134" t="str">
        <x:v>毕业控筹率</x:v>
      </x:c>
      <x:c r="D10" s="234" t="n">
        <x:f>'单币测算'!$I$19</x:f>
        <x:v>0.8</x:v>
      </x:c>
      <x:c r="E10" s="134" t="str">
        <x:v>买税后净控筹上限</x:v>
      </x:c>
      <x:c r="F10" s="235" t="n">
        <x:f>'单币测算'!$I$20</x:f>
        <x:v>1</x:v>
      </x:c>
      <x:c r="G10" s="134" t="str">
        <x:v>内盘地址 / 套</x:v>
      </x:c>
      <x:c r="H10" s="142" t="n">
        <x:v>10</x:v>
      </x:c>
      <x:c r="I10" s="134" t="str">
        <x:v>动态洗筹手续费</x:v>
      </x:c>
      <x:c r="J10" s="241" t="n">
        <x:f>'单币测算'!$D$38</x:f>
        <x:v>11.022927689192269</x:v>
      </x:c>
      <x:c r="K10" s="134" t="str">
        <x:v>内盘基础费</x:v>
      </x:c>
      <x:c r="L10" s="152" t="str">
        <x:v>Portal 1%</x:v>
      </x:c>
    </x:row>
    <x:row r="11" ht="20" customHeight="1">
      <x:c r="C11" s="134" t="str">
        <x:v>内盘交易手续费</x:v>
      </x:c>
      <x:c r="D11" s="234" t="n">
        <x:f>'单币测算'!$I$17</x:f>
        <x:v>0.01</x:v>
      </x:c>
      <x:c r="E11" s="134" t="str">
        <x:v>买入税率</x:v>
      </x:c>
      <x:c r="F11" s="236" t="n">
        <x:v>0</x:v>
      </x:c>
      <x:c r="G11" s="134" t="str">
        <x:v>内盘套数</x:v>
      </x:c>
      <x:c r="H11" s="146" t="n">
        <x:v>2</x:v>
      </x:c>
      <x:c r="I11" s="134" t="str">
        <x:v>建议 Quote 总资金</x:v>
      </x:c>
      <x:c r="J11" s="241" t="n">
        <x:f>'单币测算'!$D$40</x:f>
        <x:v>300.77987212306704</x:v>
      </x:c>
      <x:c r="K11" s="134" t="str">
        <x:v>外盘机制</x:v>
      </x:c>
      <x:c r="L11" s="152" t="str">
        <x:v>Pancake V3</x:v>
      </x:c>
    </x:row>
    <x:row r="12" ht="20" customHeight="1">
      <x:c r="C12" s="134" t="str">
        <x:v>外盘 LP 费</x:v>
      </x:c>
      <x:c r="D12" s="234" t="n">
        <x:f>'单币测算'!$I$18</x:f>
        <x:v>0.0025</x:v>
      </x:c>
      <x:c r="E12" s="134" t="str">
        <x:v>卖出税率</x:v>
      </x:c>
      <x:c r="F12" s="237" t="n">
        <x:v>0</x:v>
      </x:c>
      <x:c r="G12" s="134" t="str">
        <x:v>外盘地址</x:v>
      </x:c>
      <x:c r="H12" s="146" t="n">
        <x:v>2</x:v>
      </x:c>
      <x:c r="I12" s="134" t="str">
        <x:v>总资金 / USDT</x:v>
      </x:c>
      <x:c r="J12" s="241" t="n">
        <x:f>'单币测算'!$D$41</x:f>
        <x:v>46059.38431379604</x:v>
      </x:c>
      <x:c r="K12" s="134" t="str">
        <x:v>买税方向</x:v>
      </x:c>
      <x:c r="L12" s="152" t="str">
        <x:v>从 TOKEN 输出扣除</x:v>
      </x:c>
    </x:row>
    <x:row r="13" ht="20" customHeight="1">
      <x:c r="C13" s="134" t="str">
        <x:v>内盘初始 token</x:v>
      </x:c>
      <x:c r="D13" s="152" t="n">
        <x:f>'选中Quote曲线'!$D$9</x:f>
        <x:v>1107036751</x:v>
      </x:c>
      <x:c r="E13" s="134" t="str">
        <x:v>洗筹总费率</x:v>
      </x:c>
      <x:c r="F13" s="238" t="n">
        <x:f>'单币测算'!$D$37</x:f>
        <x:v>0.005</x:v>
      </x:c>
      <x:c r="G13" s="134" t="str">
        <x:v>Holder 地址</x:v>
      </x:c>
      <x:c r="H13" s="146" t="n">
        <x:v>100</x:v>
      </x:c>
      <x:c r="I13" s="134" t="str">
        <x:v>地址总数</x:v>
      </x:c>
      <x:c r="J13" s="242" t="n">
        <x:f>'单币测算'!$D$42</x:f>
        <x:v>122</x:v>
      </x:c>
      <x:c r="K13" s="134" t="str">
        <x:v>洗筹公式</x:v>
      </x:c>
      <x:c r="L13" s="152" t="str">
        <x:v>LP 双边 + 买税 + 卖税</x:v>
      </x:c>
    </x:row>
    <x:row r="14" ht="20" customHeight="1">
      <x:c r="C14" s="136" t="str">
        <x:v>内盘初始 Quote</x:v>
      </x:c>
      <x:c r="D14" s="153" t="n">
        <x:f>'单币测算'!$I$11</x:f>
        <x:v>34.26749453</x:v>
      </x:c>
      <x:c r="E14" s="136" t="str">
        <x:v>参数时点</x:v>
      </x:c>
      <x:c r="F14" s="153" t="str">
        <x:v>2026-09-10 / block 121074671</x:v>
      </x:c>
      <x:c r="G14" s="136" t="str">
        <x:v>默认目标控筹率</x:v>
      </x:c>
      <x:c r="H14" s="239" t="n">
        <x:v>0.9</x:v>
      </x:c>
      <x:c r="I14" s="136" t="str">
        <x:v>Gas 储备 / BNB</x:v>
      </x:c>
      <x:c r="J14" s="243" t="n">
        <x:f>'单币测算'!$D$43</x:f>
        <x:v>1.22</x:v>
      </x:c>
      <x:c r="K14" s="136" t="str">
        <x:v>参数来源</x:v>
      </x:c>
      <x:c r="L14" s="153" t="str">
        <x:v>Quote参数页</x:v>
      </x:c>
    </x:row>
    <x:row r="15" ht="20" customHeight="1">
      <x:c r="C15" s="245"/>
      <x:c r="D15" s="245"/>
      <x:c r="E15" s="245"/>
      <x:c r="F15" s="245"/>
      <x:c r="G15" s="245"/>
      <x:c r="H15" s="245"/>
      <x:c r="I15" s="245"/>
      <x:c r="J15" s="245"/>
      <x:c r="K15" s="245"/>
      <x:c r="L15" s="245"/>
    </x:row>
    <x:row r="16" ht="20" customHeight="1">
      <x:c r="C16" s="245"/>
      <x:c r="D16" s="245"/>
      <x:c r="E16" s="245"/>
      <x:c r="F16" s="245"/>
      <x:c r="G16" s="245"/>
      <x:c r="H16" s="245"/>
      <x:c r="I16" s="245"/>
      <x:c r="J16" s="245"/>
      <x:c r="K16" s="245"/>
      <x:c r="L16" s="245"/>
    </x:row>
    <x:row r="17" ht="20" customHeight="1">
      <x:c r="C17" s="124" t="str">
        <x:v>内盘联合曲线</x:v>
      </x:c>
      <x:c r="D17" s="158"/>
      <x:c r="E17" s="158"/>
      <x:c r="F17" s="158"/>
      <x:c r="G17" s="158"/>
      <x:c r="H17" s="158"/>
      <x:c r="I17" s="158"/>
      <x:c r="J17" s="158"/>
      <x:c r="K17" s="158"/>
      <x:c r="L17" s="125"/>
    </x:row>
    <x:row r="18" ht="20" customHeight="1">
      <x:c r="C18" s="170" t="str">
        <x:v>控筹率</x:v>
      </x:c>
      <x:c r="D18" s="171" t="str">
        <x:v>pooled token</x:v>
      </x:c>
      <x:c r="E18" s="171" t="str">
        <x:v>pooled Quote</x:v>
      </x:c>
      <x:c r="F18" s="171" t="str">
        <x:v>k</x:v>
      </x:c>
      <x:c r="G18" s="294" t="str">
        <x:v>价格 / Quote</x:v>
      </x:c>
      <x:c r="H18" s="294" t="str">
        <x:v>价格 / USDT</x:v>
      </x:c>
      <x:c r="I18" s="294" t="str">
        <x:v>市值 / Quote</x:v>
      </x:c>
      <x:c r="J18" s="294" t="str">
        <x:v>市值 / USDT</x:v>
      </x:c>
      <x:c r="K18" s="294" t="str">
        <x:v>所需 Quote</x:v>
      </x:c>
      <x:c r="L18" s="294" t="str">
        <x:v>加手续费</x:v>
      </x:c>
      <x:c r="M18" s="300" t="str">
        <x:v>理论累计所需</x:v>
      </x:c>
    </x:row>
    <x:row r="19" ht="20" customHeight="1">
      <x:c r="C19" s="190" t="n">
        <x:f>'选中Quote曲线'!C9</x:f>
        <x:v>0</x:v>
      </x:c>
      <x:c r="D19" s="195" t="n">
        <x:f>'选中Quote曲线'!D9</x:f>
        <x:v>1107036751</x:v>
      </x:c>
      <x:c r="E19" s="195" t="n">
        <x:f>'选中Quote曲线'!E9</x:f>
        <x:v>34.26749453</x:v>
      </x:c>
      <x:c r="F19" s="195" t="n">
        <x:f>'单币测算'!$I$13</x:f>
        <x:v>37935375809.401474</x:v>
      </x:c>
      <x:c r="G19" s="310" t="n">
        <x:f>'选中Quote曲线'!F9</x:f>
        <x:v>3.0954251969544594e-8</x:v>
      </x:c>
      <x:c r="H19" s="310" t="n">
        <x:f>IF(OR($D$7="",NOT(ISNUMBER(G19))),"",G19*$D$7)</x:f>
        <x:v>0.000004740123657702666</x:v>
      </x:c>
      <x:c r="I19" s="315" t="n">
        <x:f>'选中Quote曲线'!H9</x:f>
        <x:v>30.954251969544593</x:v>
      </x:c>
      <x:c r="J19" s="315" t="n">
        <x:f>IF($D$7="","",I19*$D$7)</x:f>
        <x:v>4740.123657702666</x:v>
      </x:c>
      <x:c r="K19" s="315" t="n">
        <x:f>'选中Quote曲线'!I9</x:f>
        <x:v>0</x:v>
      </x:c>
      <x:c r="L19" s="315" t="n">
        <x:f>'选中Quote曲线'!J9</x:f>
        <x:v>0</x:v>
      </x:c>
      <x:c r="M19" s="326" t="n">
        <x:f>'选中Quote曲线'!K9</x:f>
        <x:v>0</x:v>
      </x:c>
    </x:row>
    <x:row r="20" ht="20" customHeight="1">
      <x:c r="C20" s="191" t="n">
        <x:f>'选中Quote曲线'!C10</x:f>
        <x:v>0.1</x:v>
      </x:c>
      <x:c r="D20" s="196" t="n">
        <x:f>'选中Quote曲线'!D10</x:f>
        <x:v>1007036751</x:v>
      </x:c>
      <x:c r="E20" s="196" t="n">
        <x:f>'选中Quote曲线'!E10</x:f>
        <x:v>37.670299293179895</x:v>
      </x:c>
      <x:c r="F20" s="196" t="n">
        <x:f>'单币测算'!$I$13</x:f>
        <x:v>37935375809.401474</x:v>
      </x:c>
      <x:c r="G20" s="330" t="n">
        <x:f>'选中Quote曲线'!F10</x:f>
        <x:v>3.740707502062146e-8</x:v>
      </x:c>
      <x:c r="H20" s="330" t="n">
        <x:f>IF(OR($D$7="",NOT(ISNUMBER(G20))),"",G20*$D$7)</x:f>
        <x:v>0.0000057282651005478295</x:v>
      </x:c>
      <x:c r="I20" s="335" t="n">
        <x:f>'选中Quote曲线'!H10</x:f>
        <x:v>37.40707502062146</x:v>
      </x:c>
      <x:c r="J20" s="335" t="n">
        <x:f>IF($D$7="","",I20*$D$7)</x:f>
        <x:v>5728.26510054783</x:v>
      </x:c>
      <x:c r="K20" s="335" t="n">
        <x:f>'选中Quote曲线'!I10</x:f>
        <x:v>3.402804763179894</x:v>
      </x:c>
      <x:c r="L20" s="335" t="n">
        <x:f>'选中Quote曲线'!J10</x:f>
        <x:v>3.4368328108116932</x:v>
      </x:c>
      <x:c r="M20" s="340" t="n">
        <x:f>'选中Quote曲线'!K10</x:f>
        <x:v>3.4368328108116932</x:v>
      </x:c>
    </x:row>
    <x:row r="21" ht="20" customHeight="1">
      <x:c r="C21" s="191" t="n">
        <x:f>'选中Quote曲线'!C11</x:f>
        <x:v>0.2</x:v>
      </x:c>
      <x:c r="D21" s="196" t="n">
        <x:f>'选中Quote曲线'!D11</x:f>
        <x:v>907036751</x:v>
      </x:c>
      <x:c r="E21" s="196" t="n">
        <x:f>'选中Quote曲线'!E11</x:f>
        <x:v>41.82341649065273</x:v>
      </x:c>
      <x:c r="F21" s="196" t="n">
        <x:f>'单币测算'!$I$13</x:f>
        <x:v>37935375809.401474</x:v>
      </x:c>
      <x:c r="G21" s="330" t="n">
        <x:f>'选中Quote曲线'!F11</x:f>
        <x:v>4.6109946972427285e-8</x:v>
      </x:c>
      <x:c r="H21" s="330" t="n">
        <x:f>IF(OR($D$7="",NOT(ISNUMBER(G21))),"",G21*$D$7)</x:f>
        <x:v>0.0000070609637317181015</x:v>
      </x:c>
      <x:c r="I21" s="335" t="n">
        <x:f>'选中Quote曲线'!H11</x:f>
        <x:v>46.10994697242729</x:v>
      </x:c>
      <x:c r="J21" s="335" t="n">
        <x:f>IF($D$7="","",I21*$D$7)</x:f>
        <x:v>7060.963731718101</x:v>
      </x:c>
      <x:c r="K21" s="335" t="n">
        <x:f>'选中Quote曲线'!I11</x:f>
        <x:v>4.153117197472838</x:v>
      </x:c>
      <x:c r="L21" s="335" t="n">
        <x:f>'选中Quote曲线'!J11</x:f>
        <x:v>4.194648369447567</x:v>
      </x:c>
      <x:c r="M21" s="340" t="n">
        <x:f>'选中Quote曲线'!K11</x:f>
        <x:v>7.63148118025926</x:v>
      </x:c>
    </x:row>
    <x:row r="22" ht="20" customHeight="1">
      <x:c r="C22" s="191" t="n">
        <x:f>'选中Quote曲线'!C12</x:f>
        <x:v>0.3</x:v>
      </x:c>
      <x:c r="D22" s="196" t="n">
        <x:f>'选中Quote曲线'!D12</x:f>
        <x:v>807036751</x:v>
      </x:c>
      <x:c r="E22" s="196" t="n">
        <x:f>'选中Quote曲线'!E12</x:f>
        <x:v>47.00575997610482</x:v>
      </x:c>
      <x:c r="F22" s="196" t="n">
        <x:f>'单币测算'!$I$13</x:f>
        <x:v>37935375809.401474</x:v>
      </x:c>
      <x:c r="G22" s="330" t="n">
        <x:f>'选中Quote曲线'!F12</x:f>
        <x:v>5.824488155943325e-8</x:v>
      </x:c>
      <x:c r="H22" s="330" t="n">
        <x:f>IF(OR($D$7="",NOT(ISNUMBER(G22))),"",G22*$D$7)</x:f>
        <x:v>0.000008919225096817004</x:v>
      </x:c>
      <x:c r="I22" s="335" t="n">
        <x:f>'选中Quote曲线'!H12</x:f>
        <x:v>58.244881559433246</x:v>
      </x:c>
      <x:c r="J22" s="335" t="n">
        <x:f>IF($D$7="","",I22*$D$7)</x:f>
        <x:v>8919.225096817003</x:v>
      </x:c>
      <x:c r="K22" s="335" t="n">
        <x:f>'选中Quote曲线'!I12</x:f>
        <x:v>5.182343485452087</x:v>
      </x:c>
      <x:c r="L22" s="335" t="n">
        <x:f>'选中Quote曲线'!J12</x:f>
        <x:v>5.234166920306608</x:v>
      </x:c>
      <x:c r="M22" s="340" t="n">
        <x:f>'选中Quote曲线'!K12</x:f>
        <x:v>12.865648100565867</x:v>
      </x:c>
    </x:row>
    <x:row r="23" ht="20" customHeight="1">
      <x:c r="C23" s="191" t="n">
        <x:f>'选中Quote曲线'!C13</x:f>
        <x:v>0.4</x:v>
      </x:c>
      <x:c r="D23" s="196" t="n">
        <x:f>'选中Quote曲线'!D13</x:f>
        <x:v>707036751</x:v>
      </x:c>
      <x:c r="E23" s="196" t="n">
        <x:f>'选中Quote曲线'!E13</x:f>
        <x:v>53.65403673252831</x:v>
      </x:c>
      <x:c r="F23" s="196" t="n">
        <x:f>'单币测算'!$I$13</x:f>
        <x:v>37935375809.401474</x:v>
      </x:c>
      <x:c r="G23" s="330" t="n">
        <x:f>'选中Quote曲线'!F13</x:f>
        <x:v>7.588578197193078e-8</x:v>
      </x:c>
      <x:c r="H23" s="330" t="n">
        <x:f>IF(OR($D$7="",NOT(ISNUMBER(G23))),"",G23*$D$7)</x:f>
        <x:v>0.00001162063262786407</x:v>
      </x:c>
      <x:c r="I23" s="335" t="n">
        <x:f>'选中Quote曲线'!H13</x:f>
        <x:v>75.88578197193078</x:v>
      </x:c>
      <x:c r="J23" s="335" t="n">
        <x:f>IF($D$7="","",I23*$D$7)</x:f>
        <x:v>11620.63262786407</x:v>
      </x:c>
      <x:c r="K23" s="335" t="n">
        <x:f>'选中Quote曲线'!I13</x:f>
        <x:v>6.648276756423492</x:v>
      </x:c>
      <x:c r="L23" s="335" t="n">
        <x:f>'选中Quote曲线'!J13</x:f>
        <x:v>6.714759523987727</x:v>
      </x:c>
      <x:c r="M23" s="340" t="n">
        <x:f>'选中Quote曲线'!K13</x:f>
        <x:v>19.580407624553594</x:v>
      </x:c>
    </x:row>
    <x:row r="24" ht="20" customHeight="1">
      <x:c r="C24" s="191" t="n">
        <x:f>'选中Quote曲线'!C14</x:f>
        <x:v>0.5</x:v>
      </x:c>
      <x:c r="D24" s="196" t="n">
        <x:f>'选中Quote曲线'!D14</x:f>
        <x:v>607036751</x:v>
      </x:c>
      <x:c r="E24" s="196" t="n">
        <x:f>'选中Quote曲线'!E14</x:f>
        <x:v>62.49271686913314</x:v>
      </x:c>
      <x:c r="F24" s="196" t="n">
        <x:f>'单币测算'!$I$13</x:f>
        <x:v>37935375809.401474</x:v>
      </x:c>
      <x:c r="G24" s="330" t="n">
        <x:f>'选中Quote曲线'!F14</x:f>
        <x:v>1.0294717208832245e-7</x:v>
      </x:c>
      <x:c r="H24" s="330" t="n">
        <x:f>IF(OR($D$7="",NOT(ISNUMBER(G24))),"",G24*$D$7)</x:f>
        <x:v>0.0000157646298928355</x:v>
      </x:c>
      <x:c r="I24" s="335" t="n">
        <x:f>'选中Quote曲线'!H14</x:f>
        <x:v>102.94717208832245</x:v>
      </x:c>
      <x:c r="J24" s="335" t="n">
        <x:f>IF($D$7="","",I24*$D$7)</x:f>
        <x:v>15764.629892835497</x:v>
      </x:c>
      <x:c r="K24" s="335" t="n">
        <x:f>'选中Quote曲线'!I14</x:f>
        <x:v>8.838680136604829</x:v>
      </x:c>
      <x:c r="L24" s="335" t="n">
        <x:f>'选中Quote曲线'!J14</x:f>
        <x:v>8.927066937970878</x:v>
      </x:c>
      <x:c r="M24" s="340" t="n">
        <x:f>'选中Quote曲线'!K14</x:f>
        <x:v>28.50747456252447</x:v>
      </x:c>
    </x:row>
    <x:row r="25" ht="20" customHeight="1">
      <x:c r="C25" s="191" t="n">
        <x:f>'选中Quote曲线'!C15</x:f>
        <x:v>0.6</x:v>
      </x:c>
      <x:c r="D25" s="196" t="n">
        <x:f>'选中Quote曲线'!D15</x:f>
        <x:v>507036751</x:v>
      </x:c>
      <x:c r="E25" s="196" t="n">
        <x:f>'选中Quote曲线'!E15</x:f>
        <x:v>74.81780311700024</x:v>
      </x:c>
      <x:c r="F25" s="196" t="n">
        <x:f>'单币测算'!$I$13</x:f>
        <x:v>37935375809.401474</x:v>
      </x:c>
      <x:c r="G25" s="330" t="n">
        <x:f>'选中Quote曲线'!F15</x:f>
        <x:v>1.475589352634524e-7</x:v>
      </x:c>
      <x:c r="H25" s="330" t="n">
        <x:f>IF(OR($D$7="",NOT(ISNUMBER(G25))),"",G25*$D$7)</x:f>
        <x:v>0.000022596171945485307</x:v>
      </x:c>
      <x:c r="I25" s="335" t="n">
        <x:f>'选中Quote曲线'!H15</x:f>
        <x:v>147.5589352634524</x:v>
      </x:c>
      <x:c r="J25" s="335" t="n">
        <x:f>IF($D$7="","",I25*$D$7)</x:f>
        <x:v>22596.17194548531</x:v>
      </x:c>
      <x:c r="K25" s="335" t="n">
        <x:f>'选中Quote曲线'!I15</x:f>
        <x:v>12.325086247867098</x:v>
      </x:c>
      <x:c r="L25" s="335" t="n">
        <x:f>'选中Quote曲线'!J15</x:f>
        <x:v>12.448337110345769</x:v>
      </x:c>
      <x:c r="M25" s="340" t="n">
        <x:f>'选中Quote曲线'!K15</x:f>
        <x:v>40.95581167287024</x:v>
      </x:c>
    </x:row>
    <x:row r="26" ht="20" customHeight="1">
      <x:c r="C26" s="191" t="n">
        <x:f>'选中Quote曲线'!C16</x:f>
        <x:v>0.7</x:v>
      </x:c>
      <x:c r="D26" s="196" t="n">
        <x:f>'选中Quote曲线'!D16</x:f>
        <x:v>407036751</x:v>
      </x:c>
      <x:c r="E26" s="196" t="n">
        <x:f>'选中Quote曲线'!E16</x:f>
        <x:v>93.19889596259448</x:v>
      </x:c>
      <x:c r="F26" s="196" t="n">
        <x:f>'单币测算'!$I$13</x:f>
        <x:v>37935375809.401474</x:v>
      </x:c>
      <x:c r="G26" s="330" t="n">
        <x:f>'选中Quote曲线'!F16</x:f>
        <x:v>2.289692410663785e-7</x:v>
      </x:c>
      <x:c r="H26" s="330" t="n">
        <x:f>IF(OR($D$7="",NOT(ISNUMBER(G26))),"",G26*$D$7)</x:f>
        <x:v>0.00003506279258606595</x:v>
      </x:c>
      <x:c r="I26" s="335" t="n">
        <x:f>'选中Quote曲线'!H16</x:f>
        <x:v>228.9692410663785</x:v>
      </x:c>
      <x:c r="J26" s="335" t="n">
        <x:f>IF($D$7="","",I26*$D$7)</x:f>
        <x:v>35062.792586065945</x:v>
      </x:c>
      <x:c r="K26" s="335" t="n">
        <x:f>'选中Quote曲线'!I16</x:f>
        <x:v>18.38109284559424</x:v>
      </x:c>
      <x:c r="L26" s="335" t="n">
        <x:f>'选中Quote曲线'!J16</x:f>
        <x:v>18.56490377405018</x:v>
      </x:c>
      <x:c r="M26" s="340" t="n">
        <x:f>'选中Quote曲线'!K16</x:f>
        <x:v>59.52071544692042</x:v>
      </x:c>
    </x:row>
    <x:row r="27" ht="20" customHeight="1">
      <x:c r="C27" s="192" t="n">
        <x:f>'选中Quote曲线'!C17</x:f>
        <x:v>0.8</x:v>
      </x:c>
      <x:c r="D27" s="197" t="n">
        <x:f>'选中Quote曲线'!D17</x:f>
        <x:v>307036751</x:v>
      </x:c>
      <x:c r="E27" s="197" t="n">
        <x:f>'选中Quote曲线'!E17</x:f>
        <x:v>123.55320881245736</x:v>
      </x:c>
      <x:c r="F27" s="197" t="n">
        <x:f>'单币测算'!$I$13</x:f>
        <x:v>37935375809.401474</x:v>
      </x:c>
      <x:c r="G27" s="344" t="n">
        <x:f>'选中Quote曲线'!F17</x:f>
        <x:v>4.024052769254888e-7</x:v>
      </x:c>
      <x:c r="H27" s="344" t="n">
        <x:f>IF(OR($D$7="",NOT(ISNUMBER(G27))),"",G27*$D$7)</x:f>
        <x:v>0.00006162160775248626</x:v>
      </x:c>
      <x:c r="I27" s="349" t="n">
        <x:f>'选中Quote曲线'!H17</x:f>
        <x:v>402.4052769254888</x:v>
      </x:c>
      <x:c r="J27" s="349" t="n">
        <x:f>IF($D$7="","",I27*$D$7)</x:f>
        <x:v>61621.607752486256</x:v>
      </x:c>
      <x:c r="K27" s="349" t="n">
        <x:f>'选中Quote曲线'!I17</x:f>
        <x:v>30.35431284986288</x:v>
      </x:c>
      <x:c r="L27" s="349" t="n">
        <x:f>'选中Quote曲线'!J17</x:f>
        <x:v>30.657855978361507</x:v>
      </x:c>
      <x:c r="M27" s="354" t="n">
        <x:f>'选中Quote曲线'!K17</x:f>
        <x:v>90.17857142528192</x:v>
      </x:c>
    </x:row>
    <x:row r="28" ht="20" customHeight="1">
      <x:c r="C28" s="245"/>
      <x:c r="D28" s="246"/>
      <x:c r="E28" s="246"/>
      <x:c r="F28" s="246"/>
      <x:c r="G28" s="247"/>
      <x:c r="H28" s="246"/>
      <x:c r="I28" s="246"/>
      <x:c r="J28" s="246"/>
      <x:c r="K28" s="246"/>
      <x:c r="L28" s="246"/>
    </x:row>
    <x:row r="29" ht="20" customHeight="1">
      <x:c r="C29" s="245"/>
      <x:c r="D29" s="246"/>
      <x:c r="E29" s="246"/>
      <x:c r="F29" s="246"/>
      <x:c r="G29" s="247"/>
      <x:c r="H29" s="246"/>
      <x:c r="I29" s="246"/>
      <x:c r="J29" s="246"/>
      <x:c r="K29" s="246"/>
      <x:c r="L29" s="246"/>
    </x:row>
    <x:row r="30" ht="20" customHeight="1">
      <x:c r="C30" s="124" t="str">
        <x:v>Pancake 外盘曲线</x:v>
      </x:c>
      <x:c r="D30" s="199"/>
      <x:c r="E30" s="199"/>
      <x:c r="F30" s="199"/>
      <x:c r="G30" s="207"/>
      <x:c r="H30" s="199"/>
      <x:c r="I30" s="199"/>
      <x:c r="J30" s="199"/>
      <x:c r="K30" s="199"/>
      <x:c r="L30" s="214"/>
    </x:row>
    <x:row r="31" ht="20" customHeight="1">
      <x:c r="C31" s="170" t="str">
        <x:v>控筹率</x:v>
      </x:c>
      <x:c r="D31" s="200" t="str">
        <x:v>pooled token</x:v>
      </x:c>
      <x:c r="E31" s="200" t="str">
        <x:v>pooled Quote</x:v>
      </x:c>
      <x:c r="F31" s="200" t="str">
        <x:v>k</x:v>
      </x:c>
      <x:c r="G31" s="356" t="str">
        <x:v>价格 / Quote</x:v>
      </x:c>
      <x:c r="H31" s="356" t="str">
        <x:v>价格 / USDT</x:v>
      </x:c>
      <x:c r="I31" s="358" t="str">
        <x:v>市值 / Quote</x:v>
      </x:c>
      <x:c r="J31" s="358" t="str">
        <x:v>市值 / USDT</x:v>
      </x:c>
      <x:c r="K31" s="358" t="str">
        <x:v>所需 Quote</x:v>
      </x:c>
      <x:c r="L31" s="358" t="str">
        <x:v>加手续费</x:v>
      </x:c>
      <x:c r="M31" s="360" t="str">
        <x:v>理论累计所需</x:v>
      </x:c>
    </x:row>
    <x:row r="32" ht="20" customHeight="1">
      <x:c r="C32" s="193" t="n">
        <x:f>'选中Quote曲线'!C22</x:f>
        <x:v>0.8</x:v>
      </x:c>
      <x:c r="D32" s="201" t="n">
        <x:f>'单币测算'!$I$15</x:f>
        <x:v>199999999.99999997</x:v>
      </x:c>
      <x:c r="E32" s="201" t="n">
        <x:f>'单币测算'!$I$14</x:f>
        <x:v>89.28571428245735</x:v>
      </x:c>
      <x:c r="F32" s="201" t="n">
        <x:f>'单币测算'!$I$16</x:f>
        <x:v>17857142856.491467</x:v>
      </x:c>
      <x:c r="G32" s="368" t="n">
        <x:f>E32/D32</x:f>
        <x:v>4.464285714122868e-7</x:v>
      </x:c>
      <x:c r="H32" s="368" t="n">
        <x:f>IF(OR($D$7="",NOT(ISNUMBER(G32))),"",G32*$D$7)</x:f>
        <x:v>0.00006836303571179199</x:v>
      </x:c>
      <x:c r="I32" s="373" t="n">
        <x:f>G32*1000000000</x:f>
        <x:v>446.4285714122868</x:v>
      </x:c>
      <x:c r="J32" s="373" t="n">
        <x:f>IF($D$7="","",I32*$D$7)</x:f>
        <x:v>68363.03571179199</x:v>
      </x:c>
      <x:c r="K32" s="373" t="n">
        <x:f>0</x:f>
        <x:v>0</x:v>
      </x:c>
      <x:c r="L32" s="373" t="n">
        <x:f>0</x:f>
        <x:v>0</x:v>
      </x:c>
      <x:c r="M32" s="326" t="n">
        <x:f>'单币测算'!$D$27</x:f>
        <x:v>90.17857142528192</x:v>
      </x:c>
    </x:row>
    <x:row r="33" ht="20" customHeight="1">
      <x:c r="C33" s="191" t="n">
        <x:f>'选中Quote曲线'!C23</x:f>
        <x:v>0.805</x:v>
      </x:c>
      <x:c r="D33" s="196" t="n">
        <x:f>'选中Quote曲线'!F23</x:f>
        <x:v>194999999.99999997</x:v>
      </x:c>
      <x:c r="E33" s="196" t="n">
        <x:f>'选中Quote曲线'!G23</x:f>
        <x:v>91.57509157175113</x:v>
      </x:c>
      <x:c r="F33" s="196" t="n">
        <x:f>'单币测算'!$I$16</x:f>
        <x:v>17857142856.491467</x:v>
      </x:c>
      <x:c r="G33" s="330" t="n">
        <x:f>IF(D33="","",E33/D33)</x:f>
        <x:v>4.696158542141084e-7</x:v>
      </x:c>
      <x:c r="H33" s="330" t="n">
        <x:f>IF(OR($D$7="",NOT(ISNUMBER(G33))),"",G33*$D$7)</x:f>
        <x:v>0.00007191377852653991</x:v>
      </x:c>
      <x:c r="I33" s="335" t="n">
        <x:f>'选中Quote曲线'!J23</x:f>
        <x:v>469.6158542141084</x:v>
      </x:c>
      <x:c r="J33" s="335" t="n">
        <x:f>IF($D$7="","",I33*$D$7)</x:f>
        <x:v>71913.7785265399</x:v>
      </x:c>
      <x:c r="K33" s="335" t="n">
        <x:f>IF(E33="","",MAX(0,E33-'单币测算'!$I$14))</x:f>
        <x:v>2.289377289293782</x:v>
      </x:c>
      <x:c r="L33" s="335" t="n">
        <x:f>'选中Quote曲线'!H23</x:f>
        <x:v>2.295100732517016</x:v>
      </x:c>
      <x:c r="M33" s="340" t="n">
        <x:f>'选中Quote曲线'!I23</x:f>
        <x:v>92.47367215779893</x:v>
      </x:c>
    </x:row>
    <x:row r="34" ht="20" customHeight="1">
      <x:c r="C34" s="191" t="n">
        <x:f>'选中Quote曲线'!C24</x:f>
        <x:v>0.81</x:v>
      </x:c>
      <x:c r="D34" s="196" t="n">
        <x:f>'选中Quote曲线'!F24</x:f>
        <x:v>189999999.99999997</x:v>
      </x:c>
      <x:c r="E34" s="196" t="n">
        <x:f>'选中Quote曲线'!G24</x:f>
        <x:v>93.98496240258667</x:v>
      </x:c>
      <x:c r="F34" s="196" t="n">
        <x:f>'单币测算'!$I$16</x:f>
        <x:v>17857142856.491467</x:v>
      </x:c>
      <x:c r="G34" s="330" t="n">
        <x:f>IF(D34="","",E34/D34)</x:f>
        <x:v>4.946576968557194e-7</x:v>
      </x:c>
      <x:c r="H34" s="330" t="n">
        <x:f>IF(OR($D$7="",NOT(ISNUMBER(G34))),"",G34*$D$7)</x:f>
        <x:v>0.00007574851602414624</x:v>
      </x:c>
      <x:c r="I34" s="335" t="n">
        <x:f>'选中Quote曲线'!J24</x:f>
        <x:v>494.65769685571945</x:v>
      </x:c>
      <x:c r="J34" s="335" t="n">
        <x:f>IF($D$7="","",I34*$D$7)</x:f>
        <x:v>75748.51602414626</x:v>
      </x:c>
      <x:c r="K34" s="335" t="n">
        <x:f>IF(E34="","",MAX(0,E34-'单币测算'!$I$14))</x:f>
        <x:v>4.699248120129326</x:v>
      </x:c>
      <x:c r="L34" s="335" t="n">
        <x:f>'选中Quote曲线'!H24</x:f>
        <x:v>4.710996240429649</x:v>
      </x:c>
      <x:c r="M34" s="340" t="n">
        <x:f>'选中Quote曲线'!I24</x:f>
        <x:v>94.88956766571157</x:v>
      </x:c>
    </x:row>
    <x:row r="35" ht="20" customHeight="1">
      <x:c r="C35" s="191" t="n">
        <x:f>'选中Quote曲线'!C25</x:f>
        <x:v>0.8150000000000001</x:v>
      </x:c>
      <x:c r="D35" s="196" t="n">
        <x:f>'选中Quote曲线'!F25</x:f>
        <x:v>184999999.99999997</x:v>
      </x:c>
      <x:c r="E35" s="196" t="n">
        <x:f>'选中Quote曲线'!G25</x:f>
        <x:v>96.5250965215755</x:v>
      </x:c>
      <x:c r="F35" s="196" t="n">
        <x:f>'单币测算'!$I$16</x:f>
        <x:v>17857142856.491467</x:v>
      </x:c>
      <x:c r="G35" s="330" t="n">
        <x:f>IF(D35="","",E35/D35)</x:f>
        <x:v>5.217572784950028e-7</x:v>
      </x:c>
      <x:c r="H35" s="330" t="n">
        <x:f>IF(OR($D$7="",NOT(ISNUMBER(G35))),"",G35*$D$7)</x:f>
        <x:v>0.00007989836167923096</x:v>
      </x:c>
      <x:c r="I35" s="335" t="n">
        <x:f>'选中Quote曲线'!J25</x:f>
        <x:v>521.7572784950029</x:v>
      </x:c>
      <x:c r="J35" s="335" t="n">
        <x:f>IF($D$7="","",I35*$D$7)</x:f>
        <x:v>79898.36167923096</x:v>
      </x:c>
      <x:c r="K35" s="335" t="n">
        <x:f>IF(E35="","",MAX(0,E35-'单币测算'!$I$14))</x:f>
        <x:v>7.239382239118157</x:v>
      </x:c>
      <x:c r="L35" s="335" t="n">
        <x:f>'选中Quote曲线'!H25</x:f>
        <x:v>7.2574806947159525</x:v>
      </x:c>
      <x:c r="M35" s="340" t="n">
        <x:f>'选中Quote曲线'!I25</x:f>
        <x:v>97.43605211999787</x:v>
      </x:c>
    </x:row>
    <x:row r="36" ht="20" customHeight="1">
      <x:c r="C36" s="191" t="n">
        <x:f>'选中Quote曲线'!C26</x:f>
        <x:v>0.8200000000000001</x:v>
      </x:c>
      <x:c r="D36" s="196" t="n">
        <x:f>'选中Quote曲线'!F26</x:f>
        <x:v>179999999.99999994</x:v>
      </x:c>
      <x:c r="E36" s="196" t="n">
        <x:f>'选中Quote曲线'!G26</x:f>
        <x:v>99.20634920273041</x:v>
      </x:c>
      <x:c r="F36" s="196" t="n">
        <x:f>'单币测算'!$I$16</x:f>
        <x:v>17857142856.491467</x:v>
      </x:c>
      <x:c r="G36" s="330" t="n">
        <x:f>IF(D36="","",E36/D36)</x:f>
        <x:v>5.511463844596135e-7</x:v>
      </x:c>
      <x:c r="H36" s="330" t="n">
        <x:f>IF(OR($D$7="",NOT(ISNUMBER(G36))),"",G36*$D$7)</x:f>
        <x:v>0.00008439880952073089</x:v>
      </x:c>
      <x:c r="I36" s="335" t="n">
        <x:f>'选中Quote曲线'!J26</x:f>
        <x:v>551.1463844596135</x:v>
      </x:c>
      <x:c r="J36" s="335" t="n">
        <x:f>IF($D$7="","",I36*$D$7)</x:f>
        <x:v>84398.80952073088</x:v>
      </x:c>
      <x:c r="K36" s="335" t="n">
        <x:f>IF(E36="","",MAX(0,E36-'单币测算'!$I$14))</x:f>
        <x:v>9.92063492027306</x:v>
      </x:c>
      <x:c r="L36" s="335" t="n">
        <x:f>'选中Quote曲线'!H26</x:f>
        <x:v>9.945436507573742</x:v>
      </x:c>
      <x:c r="M36" s="340" t="n">
        <x:f>'选中Quote曲线'!I26</x:f>
        <x:v>100.12400793285566</x:v>
      </x:c>
    </x:row>
    <x:row r="37" ht="20" customHeight="1">
      <x:c r="C37" s="191" t="n">
        <x:f>'选中Quote曲线'!C27</x:f>
        <x:v>0.8250000000000001</x:v>
      </x:c>
      <x:c r="D37" s="196" t="n">
        <x:f>'选中Quote曲线'!F27</x:f>
        <x:v>174999999.99999994</x:v>
      </x:c>
      <x:c r="E37" s="196" t="n">
        <x:f>'选中Quote曲线'!G27</x:f>
        <x:v>102.04081632280841</x:v>
      </x:c>
      <x:c r="F37" s="196" t="n">
        <x:f>'单币测算'!$I$16</x:f>
        <x:v>17857142856.491467</x:v>
      </x:c>
      <x:c r="G37" s="330" t="n">
        <x:f>IF(D37="","",E37/D37)</x:f>
        <x:v>5.830903789874768e-7</x:v>
      </x:c>
      <x:c r="H37" s="330" t="n">
        <x:f>IF(OR($D$7="",NOT(ISNUMBER(G37))),"",G37*$D$7)</x:f>
        <x:v>0.00008929049562356508</x:v>
      </x:c>
      <x:c r="I37" s="335" t="n">
        <x:f>'选中Quote曲线'!J27</x:f>
        <x:v>583.0903789874768</x:v>
      </x:c>
      <x:c r="J37" s="335" t="n">
        <x:f>IF($D$7="","",I37*$D$7)</x:f>
        <x:v>89290.49562356508</x:v>
      </x:c>
      <x:c r="K37" s="335" t="n">
        <x:f>IF(E37="","",MAX(0,E37-'单币测算'!$I$14))</x:f>
        <x:v>12.755102040351062</x:v>
      </x:c>
      <x:c r="L37" s="335" t="n">
        <x:f>'选中Quote曲线'!H27</x:f>
        <x:v>12.78698979545194</x:v>
      </x:c>
      <x:c r="M37" s="340" t="n">
        <x:f>'选中Quote曲线'!I27</x:f>
        <x:v>102.96556122073386</x:v>
      </x:c>
    </x:row>
    <x:row r="38" ht="20" customHeight="1">
      <x:c r="C38" s="191" t="n">
        <x:f>'选中Quote曲线'!C28</x:f>
        <x:v>0.8300000000000001</x:v>
      </x:c>
      <x:c r="D38" s="196" t="n">
        <x:f>'选中Quote曲线'!F28</x:f>
        <x:v>169999999.99999994</x:v>
      </x:c>
      <x:c r="E38" s="196" t="n">
        <x:f>'选中Quote曲线'!G28</x:f>
        <x:v>105.04201680289101</x:v>
      </x:c>
      <x:c r="F38" s="196" t="n">
        <x:f>'单币测算'!$I$16</x:f>
        <x:v>17857142856.491467</x:v>
      </x:c>
      <x:c r="G38" s="330" t="n">
        <x:f>IF(D38="","",E38/D38)</x:f>
        <x:v>6.178942164875944e-7</x:v>
      </x:c>
      <x:c r="H38" s="330" t="n">
        <x:f>IF(OR($D$7="",NOT(ISNUMBER(G38))),"",G38*$D$7)</x:f>
        <x:v>0.00009462011863223809</x:v>
      </x:c>
      <x:c r="I38" s="335" t="n">
        <x:f>'选中Quote曲线'!J28</x:f>
        <x:v>617.8942164875945</x:v>
      </x:c>
      <x:c r="J38" s="335" t="n">
        <x:f>IF($D$7="","",I38*$D$7)</x:f>
        <x:v>94620.1186322381</x:v>
      </x:c>
      <x:c r="K38" s="335" t="n">
        <x:f>IF(E38="","",MAX(0,E38-'单币测算'!$I$14))</x:f>
        <x:v>15.756302520433664</x:v>
      </x:c>
      <x:c r="L38" s="335" t="n">
        <x:f>'选中Quote曲线'!H28</x:f>
        <x:v>15.795693276734747</x:v>
      </x:c>
      <x:c r="M38" s="340" t="n">
        <x:f>'选中Quote曲线'!I28</x:f>
        <x:v>105.97426470201667</x:v>
      </x:c>
    </x:row>
    <x:row r="39" ht="20" customHeight="1">
      <x:c r="C39" s="191" t="n">
        <x:f>'选中Quote曲线'!C29</x:f>
        <x:v>0.8350000000000001</x:v>
      </x:c>
      <x:c r="D39" s="196" t="n">
        <x:f>'选中Quote曲线'!F29</x:f>
        <x:v>164999999.99999994</x:v>
      </x:c>
      <x:c r="E39" s="196" t="n">
        <x:f>'选中Quote曲线'!G29</x:f>
        <x:v>108.22510822116044</x:v>
      </x:c>
      <x:c r="F39" s="196" t="n">
        <x:f>'单币测算'!$I$16</x:f>
        <x:v>17857142856.491467</x:v>
      </x:c>
      <x:c r="G39" s="330" t="n">
        <x:f>IF(D39="","",E39/D39)</x:f>
        <x:v>6.55909746794912e-7</x:v>
      </x:c>
      <x:c r="H39" s="330" t="n">
        <x:f>IF(OR($D$7="",NOT(ISNUMBER(G39))),"",G39*$D$7)</x:f>
        <x:v>0.00010044155843789461</x:v>
      </x:c>
      <x:c r="I39" s="335" t="n">
        <x:f>'选中Quote曲线'!J29</x:f>
        <x:v>655.9097467949119</x:v>
      </x:c>
      <x:c r="J39" s="335" t="n">
        <x:f>IF($D$7="","",I39*$D$7)</x:f>
        <x:v>100441.55843789461</x:v>
      </x:c>
      <x:c r="K39" s="335" t="n">
        <x:f>IF(E39="","",MAX(0,E39-'单币测算'!$I$14))</x:f>
        <x:v>18.93939393870309</x:v>
      </x:c>
      <x:c r="L39" s="335" t="n">
        <x:f>'选中Quote曲线'!H29</x:f>
        <x:v>18.98674242354985</x:v>
      </x:c>
      <x:c r="M39" s="340" t="n">
        <x:f>'选中Quote曲线'!I29</x:f>
        <x:v>109.16531384883177</x:v>
      </x:c>
    </x:row>
    <x:row r="40" ht="20" customHeight="1">
      <x:c r="C40" s="191" t="n">
        <x:f>'选中Quote曲线'!C30</x:f>
        <x:v>0.8400000000000001</x:v>
      </x:c>
      <x:c r="D40" s="196" t="n">
        <x:f>'选中Quote曲线'!F30</x:f>
        <x:v>159999999.99999994</x:v>
      </x:c>
      <x:c r="E40" s="196" t="n">
        <x:f>'选中Quote曲线'!G30</x:f>
        <x:v>111.60714285307171</x:v>
      </x:c>
      <x:c r="F40" s="196" t="n">
        <x:f>'单币测算'!$I$16</x:f>
        <x:v>17857142856.491467</x:v>
      </x:c>
      <x:c r="G40" s="330" t="n">
        <x:f>IF(D40="","",E40/D40)</x:f>
        <x:v>6.975446428316984e-7</x:v>
      </x:c>
      <x:c r="H40" s="330" t="n">
        <x:f>IF(OR($D$7="",NOT(ISNUMBER(G40))),"",G40*$D$7)</x:f>
        <x:v>0.00010681724329967503</x:v>
      </x:c>
      <x:c r="I40" s="335" t="n">
        <x:f>'选中Quote曲线'!J30</x:f>
        <x:v>697.5446428316984</x:v>
      </x:c>
      <x:c r="J40" s="335" t="n">
        <x:f>IF($D$7="","",I40*$D$7)</x:f>
        <x:v>106817.24329967503</x:v>
      </x:c>
      <x:c r="K40" s="335" t="n">
        <x:f>IF(E40="","",MAX(0,E40-'单币测算'!$I$14))</x:f>
        <x:v>22.32142857061436</x:v>
      </x:c>
      <x:c r="L40" s="335" t="n">
        <x:f>'选中Quote曲线'!H30</x:f>
        <x:v>22.377232142040892</x:v>
      </x:c>
      <x:c r="M40" s="340" t="n">
        <x:f>'选中Quote曲线'!I30</x:f>
        <x:v>112.55580356732281</x:v>
      </x:c>
    </x:row>
    <x:row r="41" ht="20" customHeight="1">
      <x:c r="C41" s="191" t="n">
        <x:f>'选中Quote曲线'!C31</x:f>
        <x:v>0.8450000000000001</x:v>
      </x:c>
      <x:c r="D41" s="196" t="n">
        <x:f>'选中Quote曲线'!F31</x:f>
        <x:v>154999999.99999994</x:v>
      </x:c>
      <x:c r="E41" s="196" t="n">
        <x:f>'选中Quote曲线'!G31</x:f>
        <x:v>115.20737326768692</x:v>
      </x:c>
      <x:c r="F41" s="196" t="n">
        <x:f>'单币测算'!$I$16</x:f>
        <x:v>17857142856.491467</x:v>
      </x:c>
      <x:c r="G41" s="330" t="n">
        <x:f>IF(D41="","",E41/D41)</x:f>
        <x:v>7.43273375920561e-7</x:v>
      </x:c>
      <x:c r="H41" s="330" t="n">
        <x:f>IF(OR($D$7="",NOT(ISNUMBER(G41))),"",G41*$D$7)</x:f>
        <x:v>0.00011381983052951845</x:v>
      </x:c>
      <x:c r="I41" s="335" t="n">
        <x:f>'选中Quote曲线'!J31</x:f>
        <x:v>743.2733759205611</x:v>
      </x:c>
      <x:c r="J41" s="335" t="n">
        <x:f>IF($D$7="","",I41*$D$7)</x:f>
        <x:v>113819.83052951845</x:v>
      </x:c>
      <x:c r="K41" s="335" t="n">
        <x:f>IF(E41="","",MAX(0,E41-'单币测算'!$I$14))</x:f>
        <x:v>25.92165898522957</x:v>
      </x:c>
      <x:c r="L41" s="335" t="n">
        <x:f>'选中Quote曲线'!H31</x:f>
        <x:v>25.98646313269264</x:v>
      </x:c>
      <x:c r="M41" s="340" t="n">
        <x:f>'选中Quote曲线'!I31</x:f>
        <x:v>116.16503455797456</x:v>
      </x:c>
    </x:row>
    <x:row r="42" ht="20" customHeight="1">
      <x:c r="C42" s="191" t="n">
        <x:f>'选中Quote曲线'!C32</x:f>
        <x:v>0.8500000000000001</x:v>
      </x:c>
      <x:c r="D42" s="196" t="n">
        <x:f>'选中Quote曲线'!F32</x:f>
        <x:v>149999999.99999994</x:v>
      </x:c>
      <x:c r="E42" s="196" t="n">
        <x:f>'选中Quote曲线'!G32</x:f>
        <x:v>119.04761904327648</x:v>
      </x:c>
      <x:c r="F42" s="196" t="n">
        <x:f>'单币测算'!$I$16</x:f>
        <x:v>17857142856.491467</x:v>
      </x:c>
      <x:c r="G42" s="330" t="n">
        <x:f>IF(D42="","",E42/D42)</x:f>
        <x:v>7.936507936218436e-7</x:v>
      </x:c>
      <x:c r="H42" s="330" t="n">
        <x:f>IF(OR($D$7="",NOT(ISNUMBER(G42))),"",G42*$D$7)</x:f>
        <x:v>0.00012153428570985248</x:v>
      </x:c>
      <x:c r="I42" s="335" t="n">
        <x:f>'选中Quote曲线'!J32</x:f>
        <x:v>793.6507936218436</x:v>
      </x:c>
      <x:c r="J42" s="335" t="n">
        <x:f>IF($D$7="","",I42*$D$7)</x:f>
        <x:v>121534.2857098525</x:v>
      </x:c>
      <x:c r="K42" s="335" t="n">
        <x:f>IF(E42="","",MAX(0,E42-'单币测算'!$I$14))</x:f>
        <x:v>29.761904760819135</x:v>
      </x:c>
      <x:c r="L42" s="335" t="n">
        <x:f>'选中Quote曲线'!H32</x:f>
        <x:v>29.83630952272118</x:v>
      </x:c>
      <x:c r="M42" s="340" t="n">
        <x:f>'选中Quote曲线'!I32</x:f>
        <x:v>120.0148809480031</x:v>
      </x:c>
    </x:row>
    <x:row r="43" ht="20" customHeight="1">
      <x:c r="C43" s="191" t="n">
        <x:f>'选中Quote曲线'!C33</x:f>
        <x:v>0.8550000000000001</x:v>
      </x:c>
      <x:c r="D43" s="196" t="n">
        <x:f>'选中Quote曲线'!F33</x:f>
        <x:v>144999999.9999999</x:v>
      </x:c>
      <x:c r="E43" s="196" t="n">
        <x:f>'选中Quote曲线'!G33</x:f>
        <x:v>123.15270935511364</x:v>
      </x:c>
      <x:c r="F43" s="196" t="n">
        <x:f>'单币测算'!$I$16</x:f>
        <x:v>17857142856.491467</x:v>
      </x:c>
      <x:c r="G43" s="330" t="n">
        <x:f>IF(D43="","",E43/D43)</x:f>
        <x:v>8.49329030035267e-7</x:v>
      </x:c>
      <x:c r="H43" s="330" t="n">
        <x:f>IF(OR($D$7="",NOT(ISNUMBER(G43))),"",G43*$D$7)</x:f>
        <x:v>0.00013006047222219652</x:v>
      </x:c>
      <x:c r="I43" s="335" t="n">
        <x:f>'选中Quote曲线'!J33</x:f>
        <x:v>849.329030035267</x:v>
      </x:c>
      <x:c r="J43" s="335" t="n">
        <x:f>IF($D$7="","",I43*$D$7)</x:f>
        <x:v>130060.47222219653</x:v>
      </x:c>
      <x:c r="K43" s="335" t="n">
        <x:f>IF(E43="","",MAX(0,E43-'单币测算'!$I$14))</x:f>
        <x:v>33.866995072656294</x:v>
      </x:c>
      <x:c r="L43" s="335" t="n">
        <x:f>'选中Quote曲线'!H33</x:f>
        <x:v>33.95166256033794</x:v>
      </x:c>
      <x:c r="M43" s="340" t="n">
        <x:f>'选中Quote曲线'!I33</x:f>
        <x:v>124.13023398561985</x:v>
      </x:c>
    </x:row>
    <x:row r="44" ht="20" customHeight="1">
      <x:c r="C44" s="191" t="n">
        <x:f>'选中Quote曲线'!C34</x:f>
        <x:v>0.8600000000000001</x:v>
      </x:c>
      <x:c r="D44" s="196" t="n">
        <x:f>'选中Quote曲线'!F34</x:f>
        <x:v>139999999.9999999</x:v>
      </x:c>
      <x:c r="E44" s="196" t="n">
        <x:f>'选中Quote曲线'!G34</x:f>
        <x:v>127.55102040351056</x:v>
      </x:c>
      <x:c r="F44" s="196" t="n">
        <x:f>'单币测算'!$I$16</x:f>
        <x:v>17857142856.491467</x:v>
      </x:c>
      <x:c r="G44" s="330" t="n">
        <x:f>IF(D44="","",E44/D44)</x:f>
        <x:v>9.110787171679332e-7</x:v>
      </x:c>
      <x:c r="H44" s="330" t="n">
        <x:f>IF(OR($D$7="",NOT(ISNUMBER(G44))),"",G44*$D$7)</x:f>
        <x:v>0.00013951639941182055</x:v>
      </x:c>
      <x:c r="I44" s="335" t="n">
        <x:f>'选中Quote曲线'!J34</x:f>
        <x:v>911.0787171679332</x:v>
      </x:c>
      <x:c r="J44" s="335" t="n">
        <x:f>IF($D$7="","",I44*$D$7)</x:f>
        <x:v>139516.39941182054</x:v>
      </x:c>
      <x:c r="K44" s="335" t="n">
        <x:f>IF(E44="","",MAX(0,E44-'单币测算'!$I$14))</x:f>
        <x:v>38.265306121053214</x:v>
      </x:c>
      <x:c r="L44" s="335" t="n">
        <x:f>'选中Quote曲线'!H34</x:f>
        <x:v>38.36096938635585</x:v>
      </x:c>
      <x:c r="M44" s="340" t="n">
        <x:f>'选中Quote曲线'!I34</x:f>
        <x:v>128.53954081163778</x:v>
      </x:c>
    </x:row>
    <x:row r="45" ht="20" customHeight="1">
      <x:c r="C45" s="191" t="n">
        <x:f>'选中Quote曲线'!C35</x:f>
        <x:v>0.865</x:v>
      </x:c>
      <x:c r="D45" s="196" t="n">
        <x:f>'选中Quote曲线'!F35</x:f>
        <x:v>135000000.00000003</x:v>
      </x:c>
      <x:c r="E45" s="196" t="n">
        <x:f>'选中Quote曲线'!G35</x:f>
        <x:v>132.27513227030713</x:v>
      </x:c>
      <x:c r="F45" s="196" t="n">
        <x:f>'单币测算'!$I$16</x:f>
        <x:v>17857142856.491467</x:v>
      </x:c>
      <x:c r="G45" s="330" t="n">
        <x:f>IF(D45="","",E45/D45)</x:f>
        <x:v>9.798157945948675e-7</x:v>
      </x:c>
      <x:c r="H45" s="330" t="n">
        <x:f>IF(OR($D$7="",NOT(ISNUMBER(G45))),"",G45*$D$7)</x:f>
        <x:v>0.00015004232803685476</x:v>
      </x:c>
      <x:c r="I45" s="335" t="n">
        <x:f>'选中Quote曲线'!J35</x:f>
        <x:v>979.8157945948675</x:v>
      </x:c>
      <x:c r="J45" s="335" t="n">
        <x:f>IF($D$7="","",I45*$D$7)</x:f>
        <x:v>150042.32803685474</x:v>
      </x:c>
      <x:c r="K45" s="335" t="n">
        <x:f>IF(E45="","",MAX(0,E45-'单币测算'!$I$14))</x:f>
        <x:v>42.98941798784978</x:v>
      </x:c>
      <x:c r="L45" s="335" t="n">
        <x:f>'选中Quote曲线'!H35</x:f>
        <x:v>43.0968915328194</x:v>
      </x:c>
      <x:c r="M45" s="340" t="n">
        <x:f>'选中Quote曲线'!I35</x:f>
        <x:v>133.27546295810131</x:v>
      </x:c>
    </x:row>
    <x:row r="46" ht="20" customHeight="1">
      <x:c r="C46" s="191" t="n">
        <x:f>'选中Quote曲线'!C36</x:f>
        <x:v>0.8700000000000001</x:v>
      </x:c>
      <x:c r="D46" s="196" t="n">
        <x:f>'选中Quote曲线'!F36</x:f>
        <x:v>129999999.99999991</x:v>
      </x:c>
      <x:c r="E46" s="196" t="n">
        <x:f>'选中Quote曲线'!G36</x:f>
        <x:v>137.36263735762677</x:v>
      </x:c>
      <x:c r="F46" s="196" t="n">
        <x:f>'单币测算'!$I$16</x:f>
        <x:v>17857142856.491467</x:v>
      </x:c>
      <x:c r="G46" s="330" t="n">
        <x:f>IF(D46="","",E46/D46)</x:f>
        <x:v>0.0000010566356719817452</x:v>
      </x:c>
      <x:c r="H46" s="330" t="n">
        <x:f>IF(OR($D$7="",NOT(ISNUMBER(G46))),"",G46*$D$7)</x:f>
        <x:v>0.00016180600168471496</x:v>
      </x:c>
      <x:c r="I46" s="335" t="n">
        <x:f>'选中Quote曲线'!J36</x:f>
        <x:v>1056.6356719817452</x:v>
      </x:c>
      <x:c r="J46" s="335" t="n">
        <x:f>IF($D$7="","",I46*$D$7)</x:f>
        <x:v>161806.00168471498</x:v>
      </x:c>
      <x:c r="K46" s="335" t="n">
        <x:f>IF(E46="","",MAX(0,E46-'单币测算'!$I$14))</x:f>
        <x:v>48.07692307516942</x:v>
      </x:c>
      <x:c r="L46" s="335" t="n">
        <x:f>'选中Quote曲线'!H36</x:f>
        <x:v>48.19711538285734</x:v>
      </x:c>
      <x:c r="M46" s="340" t="n">
        <x:f>'选中Quote曲线'!I36</x:f>
        <x:v>138.37568680813925</x:v>
      </x:c>
    </x:row>
    <x:row r="47" ht="20" customHeight="1">
      <x:c r="C47" s="191" t="n">
        <x:f>'选中Quote曲线'!C37</x:f>
        <x:v>0.875</x:v>
      </x:c>
      <x:c r="D47" s="196" t="n">
        <x:f>'选中Quote曲线'!F37</x:f>
        <x:v>125000000.00000001</x:v>
      </x:c>
      <x:c r="E47" s="196" t="n">
        <x:f>'选中Quote曲线'!G37</x:f>
        <x:v>142.8571428519317</x:v>
      </x:c>
      <x:c r="F47" s="196" t="n">
        <x:f>'单币测算'!$I$16</x:f>
        <x:v>17857142856.491467</x:v>
      </x:c>
      <x:c r="G47" s="330" t="n">
        <x:f>IF(D47="","",E47/D47)</x:f>
        <x:v>0.0000011428571428154535</x:v>
      </x:c>
      <x:c r="H47" s="330" t="n">
        <x:f>IF(OR($D$7="",NOT(ISNUMBER(G47))),"",G47*$D$7)</x:f>
        <x:v>0.0001750093714221874</x:v>
      </x:c>
      <x:c r="I47" s="335" t="n">
        <x:f>'选中Quote曲线'!J37</x:f>
        <x:v>1142.8571428154535</x:v>
      </x:c>
      <x:c r="J47" s="335" t="n">
        <x:f>IF($D$7="","",I47*$D$7)</x:f>
        <x:v>175009.3714221874</x:v>
      </x:c>
      <x:c r="K47" s="335" t="n">
        <x:f>IF(E47="","",MAX(0,E47-'单币测算'!$I$14))</x:f>
        <x:v>53.571428569474364</x:v>
      </x:c>
      <x:c r="L47" s="335" t="n">
        <x:f>'选中Quote曲线'!H37</x:f>
        <x:v>53.705357140898045</x:v>
      </x:c>
      <x:c r="M47" s="340" t="n">
        <x:f>'选中Quote曲线'!I37</x:f>
        <x:v>143.88392856617997</x:v>
      </x:c>
    </x:row>
    <x:row r="48" ht="20" customHeight="1">
      <x:c r="C48" s="191" t="n">
        <x:f>'选中Quote曲线'!C38</x:f>
        <x:v>0.88</x:v>
      </x:c>
      <x:c r="D48" s="196" t="n">
        <x:f>'选中Quote曲线'!F38</x:f>
        <x:v>120000000.00000001</x:v>
      </x:c>
      <x:c r="E48" s="196" t="n">
        <x:f>'选中Quote曲线'!G38</x:f>
        <x:v>148.80952380409553</x:v>
      </x:c>
      <x:c r="F48" s="196" t="n">
        <x:f>'单币测算'!$I$16</x:f>
        <x:v>17857142856.491467</x:v>
      </x:c>
      <x:c r="G48" s="330" t="n">
        <x:f>IF(D48="","",E48/D48)</x:f>
        <x:v>0.0000012400793650341293</x:v>
      </x:c>
      <x:c r="H48" s="330" t="n">
        <x:f>IF(OR($D$7="",NOT(ISNUMBER(G48))),"",G48*$D$7)</x:f>
        <x:v>0.0001898973214216443</x:v>
      </x:c>
      <x:c r="I48" s="335" t="n">
        <x:f>'选中Quote曲线'!J38</x:f>
        <x:v>1240.0793650341293</x:v>
      </x:c>
      <x:c r="J48" s="335" t="n">
        <x:f>IF($D$7="","",I48*$D$7)</x:f>
        <x:v>189897.3214216443</x:v>
      </x:c>
      <x:c r="K48" s="335" t="n">
        <x:f>IF(E48="","",MAX(0,E48-'单币测算'!$I$14))</x:f>
        <x:v>59.523809521638185</x:v>
      </x:c>
      <x:c r="L48" s="335" t="n">
        <x:f>'选中Quote曲线'!H38</x:f>
        <x:v>59.672619045442275</x:v>
      </x:c>
      <x:c r="M48" s="340" t="n">
        <x:f>'选中Quote曲线'!I38</x:f>
        <x:v>149.8511904707242</x:v>
      </x:c>
    </x:row>
    <x:row r="49" ht="20" customHeight="1">
      <x:c r="C49" s="191" t="n">
        <x:f>'选中Quote曲线'!C39</x:f>
        <x:v>0.885</x:v>
      </x:c>
      <x:c r="D49" s="196" t="n">
        <x:f>'选中Quote曲线'!F39</x:f>
        <x:v>115000000</x:v>
      </x:c>
      <x:c r="E49" s="196" t="n">
        <x:f>'选中Quote曲线'!G39</x:f>
        <x:v>155.2795030999258</x:v>
      </x:c>
      <x:c r="F49" s="196" t="n">
        <x:f>'单币测算'!$I$16</x:f>
        <x:v>17857142856.491467</x:v>
      </x:c>
      <x:c r="G49" s="330" t="n">
        <x:f>IF(D49="","",E49/D49)</x:f>
        <x:v>0.0000013502565486950068</x:v>
      </x:c>
      <x:c r="H49" s="330" t="n">
        <x:f>IF(OR($D$7="",NOT(ISNUMBER(G49))),"",G49*$D$7)</x:f>
        <x:v>0.0002067691061226222</x:v>
      </x:c>
      <x:c r="I49" s="335" t="n">
        <x:f>'选中Quote曲线'!J39</x:f>
        <x:v>1350.2565486950068</x:v>
      </x:c>
      <x:c r="J49" s="335" t="n">
        <x:f>IF($D$7="","",I49*$D$7)</x:f>
        <x:v>206769.1061226222</x:v>
      </x:c>
      <x:c r="K49" s="335" t="n">
        <x:f>IF(E49="","",MAX(0,E49-'单币测算'!$I$14))</x:f>
        <x:v>65.99378881746844</x:v>
      </x:c>
      <x:c r="L49" s="335" t="n">
        <x:f>'选中Quote曲线'!H39</x:f>
        <x:v>66.15877328951211</x:v>
      </x:c>
      <x:c r="M49" s="340" t="n">
        <x:f>'选中Quote曲线'!I39</x:f>
        <x:v>156.33734471479403</x:v>
      </x:c>
    </x:row>
    <x:row r="50" ht="20" customHeight="1">
      <x:c r="C50" s="191" t="n">
        <x:f>'选中Quote曲线'!C40</x:f>
        <x:v>0.89</x:v>
      </x:c>
      <x:c r="D50" s="196" t="n">
        <x:f>'选中Quote曲线'!F40</x:f>
        <x:v>110000000</x:v>
      </x:c>
      <x:c r="E50" s="196" t="n">
        <x:f>'选中Quote曲线'!G40</x:f>
        <x:v>162.3376623317406</x:v>
      </x:c>
      <x:c r="F50" s="196" t="n">
        <x:f>'单币测算'!$I$16</x:f>
        <x:v>17857142856.491467</x:v>
      </x:c>
      <x:c r="G50" s="330" t="n">
        <x:f>IF(D50="","",E50/D50)</x:f>
        <x:v>0.0000014757969302885509</x:v>
      </x:c>
      <x:c r="H50" s="330" t="n">
        <x:f>IF(OR($D$7="",NOT(ISNUMBER(G50))),"",G50*$D$7)</x:f>
        <x:v>0.0002259935064852627</x:v>
      </x:c>
      <x:c r="I50" s="335" t="n">
        <x:f>'选中Quote曲线'!J40</x:f>
        <x:v>1475.7969302885508</x:v>
      </x:c>
      <x:c r="J50" s="335" t="n">
        <x:f>IF($D$7="","",I50*$D$7)</x:f>
        <x:v>225993.50648526268</x:v>
      </x:c>
      <x:c r="K50" s="335" t="n">
        <x:f>IF(E50="","",MAX(0,E50-'单币测算'!$I$14))</x:f>
        <x:v>73.05194804928325</x:v>
      </x:c>
      <x:c r="L50" s="335" t="n">
        <x:f>'选中Quote曲线'!H40</x:f>
        <x:v>73.23457791940646</x:v>
      </x:c>
      <x:c r="M50" s="340" t="n">
        <x:f>'选中Quote曲线'!I40</x:f>
        <x:v>163.41314934468838</x:v>
      </x:c>
    </x:row>
    <x:row r="51" ht="20" customHeight="1">
      <x:c r="C51" s="191" t="n">
        <x:f>'选中Quote曲线'!C41</x:f>
        <x:v>0.895</x:v>
      </x:c>
      <x:c r="D51" s="196" t="n">
        <x:f>'选中Quote曲线'!F41</x:f>
        <x:v>105000000</x:v>
      </x:c>
      <x:c r="E51" s="196" t="n">
        <x:f>'选中Quote曲线'!G41</x:f>
        <x:v>170.06802720468065</x:v>
      </x:c>
      <x:c r="F51" s="196" t="n">
        <x:f>'单币测算'!$I$16</x:f>
        <x:v>17857142856.491467</x:v>
      </x:c>
      <x:c r="G51" s="330" t="n">
        <x:f>IF(D51="","",E51/D51)</x:f>
        <x:v>0.0000016196954971874346</x:v>
      </x:c>
      <x:c r="H51" s="330" t="n">
        <x:f>IF(OR($D$7="",NOT(ISNUMBER(G51))),"",G51*$D$7)</x:f>
        <x:v>0.00024802915450990284</x:v>
      </x:c>
      <x:c r="I51" s="335" t="n">
        <x:f>'选中Quote曲线'!J41</x:f>
        <x:v>1619.6954971874347</x:v>
      </x:c>
      <x:c r="J51" s="335" t="n">
        <x:f>IF($D$7="","",I51*$D$7)</x:f>
        <x:v>248029.15450990287</x:v>
      </x:c>
      <x:c r="K51" s="335" t="n">
        <x:f>IF(E51="","",MAX(0,E51-'单币测算'!$I$14))</x:f>
        <x:v>80.7823129222233</x:v>
      </x:c>
      <x:c r="L51" s="335" t="n">
        <x:f>'选中Quote曲线'!H41</x:f>
        <x:v>80.98426870452886</x:v>
      </x:c>
      <x:c r="M51" s="340" t="n">
        <x:f>'选中Quote曲线'!I41</x:f>
        <x:v>171.16284012981077</x:v>
      </x:c>
    </x:row>
    <x:row r="52" ht="20" customHeight="1">
      <x:c r="C52" s="191" t="n">
        <x:f>'选中Quote曲线'!C42</x:f>
        <x:v>0.9</x:v>
      </x:c>
      <x:c r="D52" s="196" t="n">
        <x:f>'选中Quote曲线'!F42</x:f>
        <x:v>99999999.99999999</x:v>
      </x:c>
      <x:c r="E52" s="196" t="n">
        <x:f>'选中Quote曲线'!G42</x:f>
        <x:v>178.5714285649147</x:v>
      </x:c>
      <x:c r="F52" s="196" t="n">
        <x:f>'单币测算'!$I$16</x:f>
        <x:v>17857142856.491467</x:v>
      </x:c>
      <x:c r="G52" s="330" t="n">
        <x:f>IF(D52="","",E52/D52)</x:f>
        <x:v>0.0000017857142856491472</x:v>
      </x:c>
      <x:c r="H52" s="330" t="n">
        <x:f>IF(OR($D$7="",NOT(ISNUMBER(G52))),"",G52*$D$7)</x:f>
        <x:v>0.00027345214284716794</x:v>
      </x:c>
      <x:c r="I52" s="335" t="n">
        <x:f>'选中Quote曲线'!J42</x:f>
        <x:v>1785.714285649147</x:v>
      </x:c>
      <x:c r="J52" s="335" t="n">
        <x:f>IF($D$7="","",I52*$D$7)</x:f>
        <x:v>273452.14284716797</x:v>
      </x:c>
      <x:c r="K52" s="335" t="n">
        <x:f>IF(E52="","",MAX(0,E52-'单币测算'!$I$14))</x:f>
        <x:v>89.28571428245735</x:v>
      </x:c>
      <x:c r="L52" s="335" t="n">
        <x:f>'选中Quote曲线'!H42</x:f>
        <x:v>89.50892856816348</x:v>
      </x:c>
      <x:c r="M52" s="340" t="n">
        <x:f>'选中Quote曲线'!I42</x:f>
        <x:v>179.68749999344539</x:v>
      </x:c>
    </x:row>
    <x:row r="53" ht="20" customHeight="1">
      <x:c r="C53" s="191" t="n">
        <x:f>'选中Quote曲线'!C43</x:f>
        <x:v>0.905</x:v>
      </x:c>
      <x:c r="D53" s="196" t="n">
        <x:f>'选中Quote曲线'!F43</x:f>
        <x:v>94999999.99999999</x:v>
      </x:c>
      <x:c r="E53" s="196" t="n">
        <x:f>'选中Quote曲线'!G43</x:f>
        <x:v>187.96992480517335</x:v>
      </x:c>
      <x:c r="F53" s="196" t="n">
        <x:f>'单币测算'!$I$16</x:f>
        <x:v>17857142856.491467</x:v>
      </x:c>
      <x:c r="G53" s="330" t="n">
        <x:f>IF(D53="","",E53/D53)</x:f>
        <x:v>0.0000019786307874228778</x:v>
      </x:c>
      <x:c r="H53" s="330" t="n">
        <x:f>IF(OR($D$7="",NOT(ISNUMBER(G53))),"",G53*$D$7)</x:f>
        <x:v>0.000302994064096585</x:v>
      </x:c>
      <x:c r="I53" s="335" t="n">
        <x:f>'选中Quote曲线'!J43</x:f>
        <x:v>1978.6307874228778</x:v>
      </x:c>
      <x:c r="J53" s="335" t="n">
        <x:f>IF($D$7="","",I53*$D$7)</x:f>
        <x:v>302994.06409658503</x:v>
      </x:c>
      <x:c r="K53" s="335" t="n">
        <x:f>IF(E53="","",MAX(0,E53-'单币测算'!$I$14))</x:f>
        <x:v>98.684210522716</x:v>
      </x:c>
      <x:c r="L53" s="335" t="n">
        <x:f>'选中Quote曲线'!H43</x:f>
        <x:v>98.93092104902279</x:v>
      </x:c>
      <x:c r="M53" s="340" t="n">
        <x:f>'选中Quote曲线'!I43</x:f>
        <x:v>189.10949247430472</x:v>
      </x:c>
    </x:row>
    <x:row r="54" ht="20" customHeight="1">
      <x:c r="C54" s="191" t="n">
        <x:f>'选中Quote曲线'!C44</x:f>
        <x:v>0.91</x:v>
      </x:c>
      <x:c r="D54" s="196" t="n">
        <x:f>'选中Quote曲线'!F44</x:f>
        <x:v>89999999.99999999</x:v>
      </x:c>
      <x:c r="E54" s="196" t="n">
        <x:f>'选中Quote曲线'!G44</x:f>
        <x:v>198.41269840546076</x:v>
      </x:c>
      <x:c r="F54" s="196" t="n">
        <x:f>'单币测算'!$I$16</x:f>
        <x:v>17857142856.491467</x:v>
      </x:c>
      <x:c r="G54" s="330" t="n">
        <x:f>IF(D54="","",E54/D54)</x:f>
        <x:v>0.0000022045855378384533</x:v>
      </x:c>
      <x:c r="H54" s="330" t="n">
        <x:f>IF(OR($D$7="",NOT(ISNUMBER(G54))),"",G54*$D$7)</x:f>
        <x:v>0.00033759523808292343</x:v>
      </x:c>
      <x:c r="I54" s="335" t="n">
        <x:f>'选中Quote曲线'!J44</x:f>
        <x:v>2204.5855378384535</x:v>
      </x:c>
      <x:c r="J54" s="335" t="n">
        <x:f>IF($D$7="","",I54*$D$7)</x:f>
        <x:v>337595.23808292346</x:v>
      </x:c>
      <x:c r="K54" s="335" t="n">
        <x:f>IF(E54="","",MAX(0,E54-'单币测算'!$I$14))</x:f>
        <x:v>109.12698412300341</x:v>
      </x:c>
      <x:c r="L54" s="335" t="n">
        <x:f>'选中Quote曲线'!H44</x:f>
        <x:v>109.39980158331092</x:v>
      </x:c>
      <x:c r="M54" s="340" t="n">
        <x:f>'选中Quote曲线'!I44</x:f>
        <x:v>199.57837300859285</x:v>
      </x:c>
    </x:row>
    <x:row r="55" ht="20" customHeight="1">
      <x:c r="C55" s="191" t="n">
        <x:f>'选中Quote曲线'!C45</x:f>
        <x:v>0.915</x:v>
      </x:c>
      <x:c r="D55" s="196" t="n">
        <x:f>'选中Quote曲线'!F45</x:f>
        <x:v>84999999.99999999</x:v>
      </x:c>
      <x:c r="E55" s="196" t="n">
        <x:f>'选中Quote曲线'!G45</x:f>
        <x:v>210.084033605782</x:v>
      </x:c>
      <x:c r="F55" s="196" t="n">
        <x:f>'单币测算'!$I$16</x:f>
        <x:v>17857142856.491467</x:v>
      </x:c>
      <x:c r="G55" s="330" t="n">
        <x:f>IF(D55="","",E55/D55)</x:f>
        <x:v>0.000002471576865950377</x:v>
      </x:c>
      <x:c r="H55" s="330" t="n">
        <x:f>IF(OR($D$7="",NOT(ISNUMBER(G55))),"",G55*$D$7)</x:f>
        <x:v>0.0003784804745289522</x:v>
      </x:c>
      <x:c r="I55" s="335" t="n">
        <x:f>'选中Quote曲线'!J45</x:f>
        <x:v>2471.576865950377</x:v>
      </x:c>
      <x:c r="J55" s="335" t="n">
        <x:f>IF($D$7="","",I55*$D$7)</x:f>
        <x:v>378480.4745289522</x:v>
      </x:c>
      <x:c r="K55" s="335" t="n">
        <x:f>IF(E55="","",MAX(0,E55-'单币测算'!$I$14))</x:f>
        <x:v>120.79831932332465</x:v>
      </x:c>
      <x:c r="L55" s="335" t="n">
        <x:f>'选中Quote曲线'!H45</x:f>
        <x:v>121.10031512163296</x:v>
      </x:c>
      <x:c r="M55" s="340" t="n">
        <x:f>'选中Quote曲线'!I45</x:f>
        <x:v>211.27888654691486</x:v>
      </x:c>
    </x:row>
    <x:row r="56" ht="20" customHeight="1">
      <x:c r="C56" s="191" t="n">
        <x:f>'选中Quote曲线'!C46</x:f>
        <x:v>0.92</x:v>
      </x:c>
      <x:c r="D56" s="196" t="n">
        <x:f>'选中Quote曲线'!F46</x:f>
        <x:v>79999999.99999997</x:v>
      </x:c>
      <x:c r="E56" s="196" t="n">
        <x:f>'选中Quote曲线'!G46</x:f>
        <x:v>223.21428570614341</x:v>
      </x:c>
      <x:c r="F56" s="196" t="n">
        <x:f>'单币测算'!$I$16</x:f>
        <x:v>17857142856.491467</x:v>
      </x:c>
      <x:c r="G56" s="330" t="n">
        <x:f>IF(D56="","",E56/D56)</x:f>
        <x:v>0.0000027901785713267936</x:v>
      </x:c>
      <x:c r="H56" s="330" t="n">
        <x:f>IF(OR($D$7="",NOT(ISNUMBER(G56))),"",G56*$D$7)</x:f>
        <x:v>0.00042726897319870014</x:v>
      </x:c>
      <x:c r="I56" s="335" t="n">
        <x:f>'选中Quote曲线'!J46</x:f>
        <x:v>2790.1785713267936</x:v>
      </x:c>
      <x:c r="J56" s="335" t="n">
        <x:f>IF($D$7="","",I56*$D$7)</x:f>
        <x:v>427268.9731987001</x:v>
      </x:c>
      <x:c r="K56" s="335" t="n">
        <x:f>IF(E56="","",MAX(0,E56-'单币测算'!$I$14))</x:f>
        <x:v>133.92857142368607</x:v>
      </x:c>
      <x:c r="L56" s="335" t="n">
        <x:f>'选中Quote曲线'!H46</x:f>
        <x:v>134.26339285224526</x:v>
      </x:c>
      <x:c r="M56" s="340" t="n">
        <x:f>'选中Quote曲线'!I46</x:f>
        <x:v>224.44196427752718</x:v>
      </x:c>
    </x:row>
    <x:row r="57" ht="20" customHeight="1">
      <x:c r="C57" s="191" t="n">
        <x:f>'选中Quote曲线'!C47</x:f>
        <x:v>0.925</x:v>
      </x:c>
      <x:c r="D57" s="196" t="n">
        <x:f>'选中Quote曲线'!F47</x:f>
        <x:v>74999999.99999997</x:v>
      </x:c>
      <x:c r="E57" s="196" t="n">
        <x:f>'选中Quote曲线'!G47</x:f>
        <x:v>238.09523808655297</x:v>
      </x:c>
      <x:c r="F57" s="196" t="n">
        <x:f>'单币测算'!$I$16</x:f>
        <x:v>17857142856.491467</x:v>
      </x:c>
      <x:c r="G57" s="330" t="n">
        <x:f>IF(D57="","",E57/D57)</x:f>
        <x:v>0.0000031746031744873742</x:v>
      </x:c>
      <x:c r="H57" s="330" t="n">
        <x:f>IF(OR($D$7="",NOT(ISNUMBER(G57))),"",G57*$D$7)</x:f>
        <x:v>0.00048613714283940993</x:v>
      </x:c>
      <x:c r="I57" s="335" t="n">
        <x:f>'选中Quote曲线'!J47</x:f>
        <x:v>3174.6031744873744</x:v>
      </x:c>
      <x:c r="J57" s="335" t="n">
        <x:f>IF($D$7="","",I57*$D$7)</x:f>
        <x:v>486137.14283941</x:v>
      </x:c>
      <x:c r="K57" s="335" t="n">
        <x:f>IF(E57="","",MAX(0,E57-'单币测算'!$I$14))</x:f>
        <x:v>148.80952380409562</x:v>
      </x:c>
      <x:c r="L57" s="335" t="n">
        <x:f>'选中Quote曲线'!H47</x:f>
        <x:v>149.18154761360586</x:v>
      </x:c>
      <x:c r="M57" s="340" t="n">
        <x:f>'选中Quote曲线'!I47</x:f>
        <x:v>239.36011903888777</x:v>
      </x:c>
    </x:row>
    <x:row r="58" ht="20" customHeight="1">
      <x:c r="C58" s="191" t="n">
        <x:f>'选中Quote曲线'!C48</x:f>
        <x:v>0.93</x:v>
      </x:c>
      <x:c r="D58" s="196" t="n">
        <x:f>'选中Quote曲线'!F48</x:f>
        <x:v>69999999.99999997</x:v>
      </x:c>
      <x:c r="E58" s="196" t="n">
        <x:f>'选中Quote曲线'!G48</x:f>
        <x:v>255.10204080702107</x:v>
      </x:c>
      <x:c r="F58" s="196" t="n">
        <x:f>'单币测算'!$I$16</x:f>
        <x:v>17857142856.491467</x:v>
      </x:c>
      <x:c r="G58" s="330" t="n">
        <x:f>IF(D58="","",E58/D58)</x:f>
        <x:v>0.000003644314868671731</x:v>
      </x:c>
      <x:c r="H58" s="330" t="n">
        <x:f>IF(OR($D$7="",NOT(ISNUMBER(G58))),"",G58*$D$7)</x:f>
        <x:v>0.0005580655976472819</x:v>
      </x:c>
      <x:c r="I58" s="335" t="n">
        <x:f>'选中Quote曲线'!J48</x:f>
        <x:v>3644.3148686717313</x:v>
      </x:c>
      <x:c r="J58" s="335" t="n">
        <x:f>IF($D$7="","",I58*$D$7)</x:f>
        <x:v>558065.597647282</x:v>
      </x:c>
      <x:c r="K58" s="335" t="n">
        <x:f>IF(E58="","",MAX(0,E58-'单币测算'!$I$14))</x:f>
        <x:v>165.81632652456372</x:v>
      </x:c>
      <x:c r="L58" s="335" t="n">
        <x:f>'选中Quote曲线'!H48</x:f>
        <x:v>166.2308673408751</x:v>
      </x:c>
      <x:c r="M58" s="340" t="n">
        <x:f>'选中Quote曲线'!I48</x:f>
        <x:v>256.409438766157</x:v>
      </x:c>
    </x:row>
    <x:row r="59" ht="20" customHeight="1">
      <x:c r="C59" s="191" t="n">
        <x:f>'选中Quote曲线'!C49</x:f>
        <x:v>0.935</x:v>
      </x:c>
      <x:c r="D59" s="196" t="n">
        <x:f>'选中Quote曲线'!F49</x:f>
        <x:v>64999999.99999997</x:v>
      </x:c>
      <x:c r="E59" s="196" t="n">
        <x:f>'选中Quote曲线'!G49</x:f>
        <x:v>274.7252747152535</x:v>
      </x:c>
      <x:c r="F59" s="196" t="n">
        <x:f>'单币测算'!$I$16</x:f>
        <x:v>17857142856.491467</x:v>
      </x:c>
      <x:c r="G59" s="330" t="n">
        <x:f>IF(D59="","",E59/D59)</x:f>
        <x:v>0.000004226542687926978</x:v>
      </x:c>
      <x:c r="H59" s="330" t="n">
        <x:f>IF(OR($D$7="",NOT(ISNUMBER(G59))),"",G59*$D$7)</x:f>
        <x:v>0.0006472240067388594</x:v>
      </x:c>
      <x:c r="I59" s="335" t="n">
        <x:f>'选中Quote曲线'!J49</x:f>
        <x:v>4226.542687926978</x:v>
      </x:c>
      <x:c r="J59" s="335" t="n">
        <x:f>IF($D$7="","",I59*$D$7)</x:f>
        <x:v>647224.0067388595</x:v>
      </x:c>
      <x:c r="K59" s="335" t="n">
        <x:f>IF(E59="","",MAX(0,E59-'单币测算'!$I$14))</x:f>
        <x:v>185.43956043279613</x:v>
      </x:c>
      <x:c r="L59" s="335" t="n">
        <x:f>'选中Quote曲线'!H49</x:f>
        <x:v>185.9031593338781</x:v>
      </x:c>
      <x:c r="M59" s="340" t="n">
        <x:f>'选中Quote曲线'!I49</x:f>
        <x:v>276.08173075916</x:v>
      </x:c>
    </x:row>
    <x:row r="60" ht="20" customHeight="1">
      <x:c r="C60" s="191" t="n">
        <x:f>'选中Quote曲线'!C50</x:f>
        <x:v>0.9400000000000001</x:v>
      </x:c>
      <x:c r="D60" s="196" t="n">
        <x:f>'选中Quote曲线'!F50</x:f>
        <x:v>59999999.99999997</x:v>
      </x:c>
      <x:c r="E60" s="196" t="n">
        <x:f>'选中Quote曲线'!G50</x:f>
        <x:v>297.61904760819124</x:v>
      </x:c>
      <x:c r="F60" s="196" t="n">
        <x:f>'单币测算'!$I$16</x:f>
        <x:v>17857142856.491467</x:v>
      </x:c>
      <x:c r="G60" s="330" t="n">
        <x:f>IF(D60="","",E60/D60)</x:f>
        <x:v>0.000004960317460136523</x:v>
      </x:c>
      <x:c r="H60" s="330" t="n">
        <x:f>IF(OR($D$7="",NOT(ISNUMBER(G60))),"",G60*$D$7)</x:f>
        <x:v>0.0007595892856865782</x:v>
      </x:c>
      <x:c r="I60" s="335" t="n">
        <x:f>'选中Quote曲线'!J50</x:f>
        <x:v>4960.317460136523</x:v>
      </x:c>
      <x:c r="J60" s="335" t="n">
        <x:f>IF($D$7="","",I60*$D$7)</x:f>
        <x:v>759589.2856865781</x:v>
      </x:c>
      <x:c r="K60" s="335" t="n">
        <x:f>IF(E60="","",MAX(0,E60-'单币测算'!$I$14))</x:f>
        <x:v>208.3333333257339</x:v>
      </x:c>
      <x:c r="L60" s="335" t="n">
        <x:f>'选中Quote曲线'!H50</x:f>
        <x:v>208.85416665904822</x:v>
      </x:c>
      <x:c r="M60" s="340" t="n">
        <x:f>'选中Quote曲线'!I50</x:f>
        <x:v>299.03273808433016</x:v>
      </x:c>
    </x:row>
    <x:row r="61" ht="20" customHeight="1">
      <x:c r="C61" s="191" t="n">
        <x:f>'选中Quote曲线'!C51</x:f>
        <x:v>0.9450000000000001</x:v>
      </x:c>
      <x:c r="D61" s="196" t="n">
        <x:f>'选中Quote曲线'!F51</x:f>
        <x:v>54999999.99999994</x:v>
      </x:c>
      <x:c r="E61" s="196" t="n">
        <x:f>'选中Quote曲线'!G51</x:f>
        <x:v>324.67532466348155</x:v>
      </x:c>
      <x:c r="F61" s="196" t="n">
        <x:f>'单币测算'!$I$16</x:f>
        <x:v>17857142856.491467</x:v>
      </x:c>
      <x:c r="G61" s="330" t="n">
        <x:f>IF(D61="","",E61/D61)</x:f>
        <x:v>0.000005903187721154216</x:v>
      </x:c>
      <x:c r="H61" s="330" t="n">
        <x:f>IF(OR($D$7="",NOT(ISNUMBER(G61))),"",G61*$D$7)</x:f>
        <x:v>0.0009039740259410528</x:v>
      </x:c>
      <x:c r="I61" s="335" t="n">
        <x:f>'选中Quote曲线'!J51</x:f>
        <x:v>5903.187721154216</x:v>
      </x:c>
      <x:c r="J61" s="335" t="n">
        <x:f>IF($D$7="","",I61*$D$7)</x:f>
        <x:v>903974.0259410527</x:v>
      </x:c>
      <x:c r="K61" s="335" t="n">
        <x:f>IF(E61="","",MAX(0,E61-'单币测算'!$I$14))</x:f>
        <x:v>235.3896103810242</x:v>
      </x:c>
      <x:c r="L61" s="335" t="n">
        <x:f>'选中Quote曲线'!H51</x:f>
        <x:v>235.97808440697673</x:v>
      </x:c>
      <x:c r="M61" s="340" t="n">
        <x:f>'选中Quote曲线'!I51</x:f>
        <x:v>326.15665583225865</x:v>
      </x:c>
    </x:row>
    <x:row r="62" ht="20" customHeight="1">
      <x:c r="C62" s="191" t="n">
        <x:f>'选中Quote曲线'!C52</x:f>
        <x:v>0.9500000000000001</x:v>
      </x:c>
      <x:c r="D62" s="196" t="n">
        <x:f>'选中Quote曲线'!F52</x:f>
        <x:v>49999999.99999994</x:v>
      </x:c>
      <x:c r="E62" s="196" t="n">
        <x:f>'选中Quote曲线'!G52</x:f>
        <x:v>357.14285712982974</x:v>
      </x:c>
      <x:c r="F62" s="196" t="n">
        <x:f>'单币测算'!$I$16</x:f>
        <x:v>17857142856.491467</x:v>
      </x:c>
      <x:c r="G62" s="330" t="n">
        <x:f>IF(D62="","",E62/D62)</x:f>
        <x:v>0.000007142857142596603</x:v>
      </x:c>
      <x:c r="H62" s="330" t="n">
        <x:f>IF(OR($D$7="",NOT(ISNUMBER(G62))),"",G62*$D$7)</x:f>
        <x:v>0.001093808571388674</x:v>
      </x:c>
      <x:c r="I62" s="335" t="n">
        <x:f>'选中Quote曲线'!J52</x:f>
        <x:v>7142.857142596603</x:v>
      </x:c>
      <x:c r="J62" s="335" t="n">
        <x:f>IF($D$7="","",I62*$D$7)</x:f>
        <x:v>1093808.571388674</x:v>
      </x:c>
      <x:c r="K62" s="335" t="n">
        <x:f>IF(E62="","",MAX(0,E62-'单币测算'!$I$14))</x:f>
        <x:v>267.8571428473724</x:v>
      </x:c>
      <x:c r="L62" s="335" t="n">
        <x:f>'选中Quote曲线'!H52</x:f>
        <x:v>268.5267857044908</x:v>
      </x:c>
      <x:c r="M62" s="340" t="n">
        <x:f>'选中Quote曲线'!I52</x:f>
        <x:v>358.7053571297727</x:v>
      </x:c>
    </x:row>
    <x:row r="63" ht="20" customHeight="1">
      <x:c r="C63" s="191" t="n">
        <x:f>'选中Quote曲线'!C53</x:f>
        <x:v>0.9550000000000001</x:v>
      </x:c>
      <x:c r="D63" s="196" t="n">
        <x:f>'选中Quote曲线'!F53</x:f>
        <x:v>44999999.99999994</x:v>
      </x:c>
      <x:c r="E63" s="196" t="n">
        <x:f>'选中Quote曲线'!G53</x:f>
        <x:v>396.82539681092203</x:v>
      </x:c>
      <x:c r="F63" s="196" t="n">
        <x:f>'单币测算'!$I$16</x:f>
        <x:v>17857142856.491467</x:v>
      </x:c>
      <x:c r="G63" s="330" t="n">
        <x:f>IF(D63="","",E63/D63)</x:f>
        <x:v>0.000008818342151353835</x:v>
      </x:c>
      <x:c r="H63" s="330" t="n">
        <x:f>IF(OR($D$7="",NOT(ISNUMBER(G63))),"",G63*$D$7)</x:f>
        <x:v>0.001350380952331697</x:v>
      </x:c>
      <x:c r="I63" s="335" t="n">
        <x:f>'选中Quote曲线'!J53</x:f>
        <x:v>8818.342151353836</x:v>
      </x:c>
      <x:c r="J63" s="335" t="n">
        <x:f>IF($D$7="","",I63*$D$7)</x:f>
        <x:v>1350380.952331697</x:v>
      </x:c>
      <x:c r="K63" s="335" t="n">
        <x:f>IF(E63="","",MAX(0,E63-'单币测算'!$I$14))</x:f>
        <x:v>307.5396825284647</x:v>
      </x:c>
      <x:c r="L63" s="335" t="n">
        <x:f>'选中Quote曲线'!H53</x:f>
        <x:v>308.30853173478584</x:v>
      </x:c>
      <x:c r="M63" s="340" t="n">
        <x:f>'选中Quote曲线'!I53</x:f>
        <x:v>398.48710316006776</x:v>
      </x:c>
    </x:row>
    <x:row r="64" ht="20" customHeight="1">
      <x:c r="C64" s="191" t="n">
        <x:f>'选中Quote曲线'!C54</x:f>
        <x:v>0.9600000000000001</x:v>
      </x:c>
      <x:c r="D64" s="196" t="n">
        <x:f>'选中Quote曲线'!F54</x:f>
        <x:v>39999999.99999994</x:v>
      </x:c>
      <x:c r="E64" s="196" t="n">
        <x:f>'选中Quote曲线'!G54</x:f>
        <x:v>446.42857141228734</x:v>
      </x:c>
      <x:c r="F64" s="196" t="n">
        <x:f>'单币测算'!$I$16</x:f>
        <x:v>17857142856.491467</x:v>
      </x:c>
      <x:c r="G64" s="330" t="n">
        <x:f>IF(D64="","",E64/D64)</x:f>
        <x:v>0.0000111607142853072</x:v>
      </x:c>
      <x:c r="H64" s="330" t="n">
        <x:f>IF(OR($D$7="",NOT(ISNUMBER(G64))),"",G64*$D$7)</x:f>
        <x:v>0.0017090758927948045</x:v>
      </x:c>
      <x:c r="I64" s="335" t="n">
        <x:f>'选中Quote曲线'!J54</x:f>
        <x:v>11160.7142853072</x:v>
      </x:c>
      <x:c r="J64" s="335" t="n">
        <x:f>IF($D$7="","",I64*$D$7)</x:f>
        <x:v>1709075.8927948044</x:v>
      </x:c>
      <x:c r="K64" s="335" t="n">
        <x:f>IF(E64="","",MAX(0,E64-'单币测算'!$I$14))</x:f>
        <x:v>357.14285712982996</x:v>
      </x:c>
      <x:c r="L64" s="335" t="n">
        <x:f>'选中Quote曲线'!H54</x:f>
        <x:v>358.0357142726545</x:v>
      </x:c>
      <x:c r="M64" s="340" t="n">
        <x:f>'选中Quote曲线'!I54</x:f>
        <x:v>448.2142856979364</x:v>
      </x:c>
    </x:row>
    <x:row r="65" ht="20" customHeight="1">
      <x:c r="C65" s="191" t="n">
        <x:f>'选中Quote曲线'!C55</x:f>
        <x:v>0.9650000000000001</x:v>
      </x:c>
      <x:c r="D65" s="196" t="n">
        <x:f>'选中Quote曲线'!F55</x:f>
        <x:v>34999999.99999994</x:v>
      </x:c>
      <x:c r="E65" s="196" t="n">
        <x:f>'选中Quote曲线'!G55</x:f>
        <x:v>510.20408161404276</x:v>
      </x:c>
      <x:c r="F65" s="196" t="n">
        <x:f>'单币测算'!$I$16</x:f>
        <x:v>17857142856.491467</x:v>
      </x:c>
      <x:c r="G65" s="330" t="n">
        <x:f>IF(D65="","",E65/D65)</x:f>
        <x:v>0.00001457725947468696</x:v>
      </x:c>
      <x:c r="H65" s="330" t="n">
        <x:f>IF(OR($D$7="",NOT(ISNUMBER(G65))),"",G65*$D$7)</x:f>
        <x:v>0.002232262390589133</x:v>
      </x:c>
      <x:c r="I65" s="335" t="n">
        <x:f>'选中Quote曲线'!J55</x:f>
        <x:v>14577.25947468696</x:v>
      </x:c>
      <x:c r="J65" s="335" t="n">
        <x:f>IF($D$7="","",I65*$D$7)</x:f>
        <x:v>2232262.390589133</x:v>
      </x:c>
      <x:c r="K65" s="335" t="n">
        <x:f>IF(E65="","",MAX(0,E65-'单币测算'!$I$14))</x:f>
        <x:v>420.9183673315854</x:v>
      </x:c>
      <x:c r="L65" s="335" t="n">
        <x:f>'选中Quote曲线'!H55</x:f>
        <x:v>421.9706632499143</x:v>
      </x:c>
      <x:c r="M65" s="340" t="n">
        <x:f>'选中Quote曲线'!I55</x:f>
        <x:v>512.1492346751962</x:v>
      </x:c>
    </x:row>
    <x:row r="66" ht="20" customHeight="1">
      <x:c r="C66" s="191" t="n">
        <x:f>'选中Quote曲线'!C56</x:f>
        <x:v>0.9700000000000001</x:v>
      </x:c>
      <x:c r="D66" s="196" t="n">
        <x:f>'选中Quote曲线'!F56</x:f>
        <x:v>29999999.99999994</x:v>
      </x:c>
      <x:c r="E66" s="196" t="n">
        <x:f>'选中Quote曲线'!G56</x:f>
        <x:v>595.2380952163834</x:v>
      </x:c>
      <x:c r="F66" s="196" t="n">
        <x:f>'单币测算'!$I$16</x:f>
        <x:v>17857142856.491467</x:v>
      </x:c>
      <x:c r="G66" s="330" t="n">
        <x:f>IF(D66="","",E66/D66)</x:f>
        <x:v>0.000019841269840546153</x:v>
      </x:c>
      <x:c r="H66" s="330" t="n">
        <x:f>IF(OR($D$7="",NOT(ISNUMBER(G66))),"",G66*$D$7)</x:f>
        <x:v>0.003038357142746322</x:v>
      </x:c>
      <x:c r="I66" s="335" t="n">
        <x:f>'选中Quote曲线'!J56</x:f>
        <x:v>19841.269840546152</x:v>
      </x:c>
      <x:c r="J66" s="335" t="n">
        <x:f>IF($D$7="","",I66*$D$7)</x:f>
        <x:v>3038357.142746322</x:v>
      </x:c>
      <x:c r="K66" s="335" t="n">
        <x:f>IF(E66="","",MAX(0,E66-'单币测算'!$I$14))</x:f>
        <x:v>505.95238093392607</x:v>
      </x:c>
      <x:c r="L66" s="335" t="n">
        <x:f>'选中Quote曲线'!H56</x:f>
        <x:v>507.21726188626087</x:v>
      </x:c>
      <x:c r="M66" s="340" t="n">
        <x:f>'选中Quote曲线'!I56</x:f>
        <x:v>597.3958333115428</x:v>
      </x:c>
    </x:row>
    <x:row r="67" ht="20" customHeight="1">
      <x:c r="C67" s="191" t="n">
        <x:f>'选中Quote曲线'!C57</x:f>
        <x:v>0.9750000000000001</x:v>
      </x:c>
      <x:c r="D67" s="196" t="n">
        <x:f>'选中Quote曲线'!F57</x:f>
        <x:v>24999999.99999994</x:v>
      </x:c>
      <x:c r="E67" s="196" t="n">
        <x:f>'选中Quote曲线'!G57</x:f>
        <x:v>714.2857142596604</x:v>
      </x:c>
      <x:c r="F67" s="196" t="n">
        <x:f>'单币测算'!$I$16</x:f>
        <x:v>17857142856.491467</x:v>
      </x:c>
      <x:c r="G67" s="330" t="n">
        <x:f>IF(D67="","",E67/D67)</x:f>
        <x:v>0.000028571428570386483</x:v>
      </x:c>
      <x:c r="H67" s="330" t="n">
        <x:f>IF(OR($D$7="",NOT(ISNUMBER(G67))),"",G67*$D$7)</x:f>
        <x:v>0.004375234285554707</x:v>
      </x:c>
      <x:c r="I67" s="335" t="n">
        <x:f>'选中Quote曲线'!J57</x:f>
        <x:v>28571.428570386484</x:v>
      </x:c>
      <x:c r="J67" s="335" t="n">
        <x:f>IF($D$7="","",I67*$D$7)</x:f>
        <x:v>4375234.285554707</x:v>
      </x:c>
      <x:c r="K67" s="335" t="n">
        <x:f>IF(E67="","",MAX(0,E67-'单币测算'!$I$14))</x:f>
        <x:v>624.9999999772031</x:v>
      </x:c>
      <x:c r="L67" s="335" t="n">
        <x:f>'选中Quote曲线'!H57</x:f>
        <x:v>626.562499977146</x:v>
      </x:c>
      <x:c r="M67" s="340" t="n">
        <x:f>'选中Quote曲线'!I57</x:f>
        <x:v>716.7410714024279</x:v>
      </x:c>
    </x:row>
    <x:row r="68" ht="20" customHeight="1">
      <x:c r="C68" s="191" t="n">
        <x:f>'选中Quote曲线'!C58</x:f>
        <x:v>0.98</x:v>
      </x:c>
      <x:c r="D68" s="196" t="n">
        <x:f>'选中Quote曲线'!F58</x:f>
        <x:v>20000000.00000003</x:v>
      </x:c>
      <x:c r="E68" s="196" t="n">
        <x:f>'选中Quote曲线'!G58</x:f>
        <x:v>892.857142824572</x:v>
      </x:c>
      <x:c r="F68" s="196" t="n">
        <x:f>'单币测算'!$I$16</x:f>
        <x:v>17857142856.491467</x:v>
      </x:c>
      <x:c r="G68" s="330" t="n">
        <x:f>IF(D68="","",E68/D68)</x:f>
        <x:v>0.00004464285714122853</x:v>
      </x:c>
      <x:c r="H68" s="330" t="n">
        <x:f>IF(OR($D$7="",NOT(ISNUMBER(G68))),"",G68*$D$7)</x:f>
        <x:v>0.006836303571179176</x:v>
      </x:c>
      <x:c r="I68" s="335" t="n">
        <x:f>'选中Quote曲线'!J58</x:f>
        <x:v>44642.85714122853</x:v>
      </x:c>
      <x:c r="J68" s="335" t="n">
        <x:f>IF($D$7="","",I68*$D$7)</x:f>
        <x:v>6836303.571179177</x:v>
      </x:c>
      <x:c r="K68" s="335" t="n">
        <x:f>IF(E68="","",MAX(0,E68-'单币测算'!$I$14))</x:f>
        <x:v>803.5714285421146</x:v>
      </x:c>
      <x:c r="L68" s="335" t="n">
        <x:f>'选中Quote曲线'!H58</x:f>
        <x:v>805.5803571134699</x:v>
      </x:c>
      <x:c r="M68" s="340" t="n">
        <x:f>'选中Quote曲线'!I58</x:f>
        <x:v>895.7589285387518</x:v>
      </x:c>
    </x:row>
    <x:row r="69" ht="20" customHeight="1">
      <x:c r="C69" s="191" t="n">
        <x:f>'选中Quote曲线'!C59</x:f>
        <x:v>0.9850000000000001</x:v>
      </x:c>
      <x:c r="D69" s="196" t="n">
        <x:f>'选中Quote曲线'!F59</x:f>
        <x:v>14999999.99999991</x:v>
      </x:c>
      <x:c r="E69" s="196" t="n">
        <x:f>'选中Quote曲线'!G59</x:f>
        <x:v>1190.4761904327715</x:v>
      </x:c>
      <x:c r="F69" s="196" t="n">
        <x:f>'单币测算'!$I$16</x:f>
        <x:v>17857142856.491467</x:v>
      </x:c>
      <x:c r="G69" s="330" t="n">
        <x:f>IF(D69="","",E69/D69)</x:f>
        <x:v>0.00007936507936218524</x:v>
      </x:c>
      <x:c r="H69" s="330" t="n">
        <x:f>IF(OR($D$7="",NOT(ISNUMBER(G69))),"",G69*$D$7)</x:f>
        <x:v>0.012153428570985383</x:v>
      </x:c>
      <x:c r="I69" s="335" t="n">
        <x:f>'选中Quote曲线'!J59</x:f>
        <x:v>79365.07936218524</x:v>
      </x:c>
      <x:c r="J69" s="335" t="n">
        <x:f>IF($D$7="","",I69*$D$7)</x:f>
        <x:v>12153428.570985382</x:v>
      </x:c>
      <x:c r="K69" s="335" t="n">
        <x:f>IF(E69="","",MAX(0,E69-'单币测算'!$I$14))</x:f>
        <x:v>1101.1904761503142</x:v>
      </x:c>
      <x:c r="L69" s="335" t="n">
        <x:f>'选中Quote曲线'!H59</x:f>
        <x:v>1103.9434523406899</x:v>
      </x:c>
      <x:c r="M69" s="340" t="n">
        <x:f>'选中Quote曲线'!I59</x:f>
        <x:v>1194.1220237659718</x:v>
      </x:c>
    </x:row>
    <x:row r="70" ht="20" customHeight="1">
      <x:c r="C70" s="191" t="n">
        <x:f>'选中Quote曲线'!C60</x:f>
        <x:v>0.99</x:v>
      </x:c>
      <x:c r="D70" s="196" t="n">
        <x:f>'选中Quote曲线'!F60</x:f>
        <x:v>10000000.00000003</x:v>
      </x:c>
      <x:c r="E70" s="196" t="n">
        <x:f>'选中Quote曲线'!G60</x:f>
        <x:v>1785.7142856491414</x:v>
      </x:c>
      <x:c r="F70" s="196" t="n">
        <x:f>'单币测算'!$I$16</x:f>
        <x:v>17857142856.491467</x:v>
      </x:c>
      <x:c r="G70" s="330" t="n">
        <x:f>IF(D70="","",E70/D70)</x:f>
        <x:v>0.0001785714285649136</x:v>
      </x:c>
      <x:c r="H70" s="330" t="n">
        <x:f>IF(OR($D$7="",NOT(ISNUMBER(G70))),"",G70*$D$7)</x:f>
        <x:v>0.027345214284716625</x:v>
      </x:c>
      <x:c r="I70" s="335" t="n">
        <x:f>'选中Quote曲线'!J60</x:f>
        <x:v>178571.4285649136</x:v>
      </x:c>
      <x:c r="J70" s="335" t="n">
        <x:f>IF($D$7="","",I70*$D$7)</x:f>
        <x:v>27345214.284716625</x:v>
      </x:c>
      <x:c r="K70" s="335" t="n">
        <x:f>IF(E70="","",MAX(0,E70-'单币测算'!$I$14))</x:f>
        <x:v>1696.428571366684</x:v>
      </x:c>
      <x:c r="L70" s="335" t="n">
        <x:f>'选中Quote曲线'!H60</x:f>
        <x:v>1700.6696427951008</x:v>
      </x:c>
      <x:c r="M70" s="340" t="n">
        <x:f>'选中Quote曲线'!I60</x:f>
        <x:v>1790.8482142203827</x:v>
      </x:c>
    </x:row>
    <x:row r="71" ht="20" customHeight="1">
      <x:c r="C71" s="191" t="n">
        <x:f>'选中Quote曲线'!C61</x:f>
        <x:v>0.9950000000000001</x:v>
      </x:c>
      <x:c r="D71" s="196" t="n">
        <x:f>'选中Quote曲线'!F61</x:f>
        <x:v>4999999.999999911</x:v>
      </x:c>
      <x:c r="E71" s="196" t="n">
        <x:f>'选中Quote曲线'!G61</x:f>
        <x:v>3571.4285712983574</x:v>
      </x:c>
      <x:c r="F71" s="196" t="n">
        <x:f>'单币测算'!$I$16</x:f>
        <x:v>17857142856.491467</x:v>
      </x:c>
      <x:c r="G71" s="330" t="n">
        <x:f>IF(D71="","",E71/D71)</x:f>
        <x:v>0.0007142857142596842</x:v>
      </x:c>
      <x:c r="H71" s="330" t="n">
        <x:f>IF(OR($D$7="",NOT(ISNUMBER(G71))),"",G71*$D$7)</x:f>
        <x:v>0.10938085713887107</x:v>
      </x:c>
      <x:c r="I71" s="335" t="n">
        <x:f>'选中Quote曲线'!J61</x:f>
        <x:v>714285.7142596842</x:v>
      </x:c>
      <x:c r="J71" s="335" t="n">
        <x:f>IF($D$7="","",I71*$D$7)</x:f>
        <x:v>109380857.13887106</x:v>
      </x:c>
      <x:c r="K71" s="335" t="n">
        <x:f>IF(E71="","",MAX(0,E71-'单币测算'!$I$14))</x:f>
        <x:v>3482.1428570159</x:v>
      </x:c>
      <x:c r="L71" s="335" t="n">
        <x:f>'选中Quote曲线'!H61</x:f>
        <x:v>3490.8482141584395</x:v>
      </x:c>
      <x:c r="M71" s="340" t="n">
        <x:f>'选中Quote曲线'!I61</x:f>
        <x:v>3581.0267855837214</x:v>
      </x:c>
    </x:row>
    <x:row r="72" ht="20" customHeight="1">
      <x:c r="C72" s="194" t="n">
        <x:f>'选中Quote曲线'!C62</x:f>
        <x:v>1</x:v>
      </x:c>
      <x:c r="D72" s="202" t="n">
        <x:f>'选中Quote曲线'!F62</x:f>
        <x:v>0</x:v>
      </x:c>
      <x:c r="E72" s="202" t="n">
        <x:f>'选中Quote曲线'!G62</x:f>
        <x:v>0</x:v>
      </x:c>
      <x:c r="F72" s="202" t="n">
        <x:f>'单币测算'!$I$16</x:f>
        <x:v>17857142856.491467</x:v>
      </x:c>
      <x:c r="G72" s="381" t="str">
        <x:f>IF(D72="","",E72/D72)</x:f>
      </x:c>
      <x:c r="H72" s="381" t="str">
        <x:f>IF(OR($D$7="",NOT(ISNUMBER(G72))),"",G72*$D$7)</x:f>
      </x:c>
      <x:c r="I72" s="386" t="n">
        <x:f>'选中Quote曲线'!J62</x:f>
        <x:v>0</x:v>
      </x:c>
      <x:c r="J72" s="386" t="n">
        <x:f>IF($D$7="","",I72*$D$7)</x:f>
        <x:v>0</x:v>
      </x:c>
      <x:c r="K72" s="386" t="str">
        <x:f>IF(E72="","",MAX(0,E72-'单币测算'!$I$14))</x:f>
      </x:c>
      <x:c r="L72" s="386" t="n">
        <x:f>'选中Quote曲线'!H62</x:f>
        <x:v>0</x:v>
      </x:c>
      <x:c r="M72" s="354" t="n">
        <x:f>'选中Quote曲线'!I62</x:f>
        <x:v>0</x:v>
      </x:c>
    </x:row>
    <x:row r="73" ht="20" customHeight="1">
      <x:c r="C73" s="245"/>
      <x:c r="D73" s="245"/>
      <x:c r="E73" s="245"/>
      <x:c r="F73" s="245"/>
      <x:c r="G73" s="245"/>
      <x:c r="H73" s="245"/>
      <x:c r="I73" s="245"/>
      <x:c r="J73" s="245"/>
      <x:c r="K73" s="245"/>
      <x:c r="L73" s="245"/>
    </x:row>
    <x:row r="74" ht="20" customHeight="1">
      <x:c r="C74" s="245"/>
      <x:c r="D74" s="245"/>
      <x:c r="E74" s="245"/>
      <x:c r="F74" s="245"/>
      <x:c r="G74" s="245"/>
      <x:c r="H74" s="245"/>
      <x:c r="I74" s="245"/>
      <x:c r="J74" s="245"/>
      <x:c r="K74" s="245"/>
      <x:c r="L74" s="245"/>
    </x:row>
    <x:row r="75" ht="20" customHeight="1">
      <x:c r="C75" s="216" t="str">
        <x:v>外盘回落参考 · 从 80% 控筹回落至 0%（每 10%）</x:v>
      </x:c>
      <x:c r="D75" s="217"/>
      <x:c r="E75" s="217"/>
      <x:c r="F75" s="217"/>
      <x:c r="G75" s="217"/>
      <x:c r="H75" s="217"/>
      <x:c r="I75" s="217"/>
      <x:c r="J75" s="217"/>
      <x:c r="K75" s="217"/>
      <x:c r="L75" s="218"/>
    </x:row>
    <x:row r="76" ht="20" customHeight="1">
      <x:c r="C76" s="170" t="str">
        <x:v>控筹率</x:v>
      </x:c>
      <x:c r="D76" s="171" t="str">
        <x:v>pooled token</x:v>
      </x:c>
      <x:c r="E76" s="171" t="str">
        <x:v>pooled Quote</x:v>
      </x:c>
      <x:c r="F76" s="171" t="str">
        <x:v>k</x:v>
      </x:c>
      <x:c r="G76" s="294" t="str">
        <x:v>价格 / Quote</x:v>
      </x:c>
      <x:c r="H76" s="294" t="str">
        <x:v>价格 / USDT</x:v>
      </x:c>
      <x:c r="I76" s="294" t="str">
        <x:v>市值 / Quote</x:v>
      </x:c>
      <x:c r="J76" s="294" t="str">
        <x:v>市值 / USDT</x:v>
      </x:c>
      <x:c r="K76" s="300" t="str">
        <x:v>较 80% 回撤</x:v>
      </x:c>
      <x:c r="L76" s="245"/>
      <x:c r="M76"/>
    </x:row>
    <x:row r="77" ht="20" customHeight="1">
      <x:c r="C77" s="190" t="n">
        <x:v>0.8</x:v>
      </x:c>
      <x:c r="D77" s="227" t="n">
        <x:f>1000000000*(1-C77)</x:f>
        <x:v>199999999.99999997</x:v>
      </x:c>
      <x:c r="E77" s="195" t="n">
        <x:f>'单币测算'!$I$16/D77</x:f>
        <x:v>89.28571428245735</x:v>
      </x:c>
      <x:c r="F77" s="195" t="n">
        <x:f>'单币测算'!$I$16</x:f>
        <x:v>17857142856.491467</x:v>
      </x:c>
      <x:c r="G77" s="310" t="n">
        <x:f>E77/D77</x:f>
        <x:v>4.464285714122868e-7</x:v>
      </x:c>
      <x:c r="H77" s="310" t="n">
        <x:f>IF(OR($D$7="",NOT(ISNUMBER(G77))),"",G77*$D$7)</x:f>
        <x:v>0.00006836303571179199</x:v>
      </x:c>
      <x:c r="I77" s="315" t="n">
        <x:f>G77*1000000000</x:f>
        <x:v>446.4285714122868</x:v>
      </x:c>
      <x:c r="J77" s="315" t="n">
        <x:f>IF($D$7="","",I77*$D$7)</x:f>
        <x:v>68363.03571179199</x:v>
      </x:c>
      <x:c r="K77" s="400" t="n">
        <x:f>IF($I$77&gt;0,1-I77/$I$77,0)</x:f>
        <x:v>0</x:v>
      </x:c>
      <x:c r="L77" s="133"/>
      <x:c r="M77"/>
    </x:row>
    <x:row r="78" ht="20" customHeight="1">
      <x:c r="C78" s="191" t="n">
        <x:v>0.7</x:v>
      </x:c>
      <x:c r="D78" s="228" t="n">
        <x:f>1000000000*(1-C78)</x:f>
        <x:v>300000000.00000006</x:v>
      </x:c>
      <x:c r="E78" s="196" t="n">
        <x:f>'单币测算'!$I$16/D78</x:f>
        <x:v>59.523809521638206</x:v>
      </x:c>
      <x:c r="F78" s="196" t="n">
        <x:f>'单币测算'!$I$16</x:f>
        <x:v>17857142856.491467</x:v>
      </x:c>
      <x:c r="G78" s="330" t="n">
        <x:f>E78/D78</x:f>
        <x:v>1.9841269840546065e-7</x:v>
      </x:c>
      <x:c r="H78" s="330" t="n">
        <x:f>IF(OR($D$7="",NOT(ISNUMBER(G78))),"",G78*$D$7)</x:f>
        <x:v>0.000030383571427463084</x:v>
      </x:c>
      <x:c r="I78" s="335" t="n">
        <x:f>G78*1000000000</x:f>
        <x:v>198.41269840546065</x:v>
      </x:c>
      <x:c r="J78" s="335" t="n">
        <x:f>IF($D$7="","",I78*$D$7)</x:f>
        <x:v>30383.571427463085</x:v>
      </x:c>
      <x:c r="K78" s="406" t="n">
        <x:f>IF($I$77&gt;0,1-I78/$I$77,0)</x:f>
        <x:v>0.5555555555555558</x:v>
      </x:c>
      <x:c r="L78" s="135"/>
      <x:c r="M78"/>
    </x:row>
    <x:row r="79" ht="20" customHeight="1">
      <x:c r="C79" s="191" t="n">
        <x:v>0.6</x:v>
      </x:c>
      <x:c r="D79" s="228" t="n">
        <x:f>1000000000*(1-C79)</x:f>
        <x:v>400000000</x:v>
      </x:c>
      <x:c r="E79" s="196" t="n">
        <x:f>'单币测算'!$I$16/D79</x:f>
        <x:v>44.64285714122867</x:v>
      </x:c>
      <x:c r="F79" s="196" t="n">
        <x:f>'单币测算'!$I$16</x:f>
        <x:v>17857142856.491467</x:v>
      </x:c>
      <x:c r="G79" s="330" t="n">
        <x:f>E79/D79</x:f>
        <x:v>1.1160714285307167e-7</x:v>
      </x:c>
      <x:c r="H79" s="330" t="n">
        <x:f>IF(OR($D$7="",NOT(ISNUMBER(G79))),"",G79*$D$7)</x:f>
        <x:v>0.000017090758927947993</x:v>
      </x:c>
      <x:c r="I79" s="335" t="n">
        <x:f>G79*1000000000</x:f>
        <x:v>111.60714285307166</x:v>
      </x:c>
      <x:c r="J79" s="335" t="n">
        <x:f>IF($D$7="","",I79*$D$7)</x:f>
        <x:v>17090.75892794799</x:v>
      </x:c>
      <x:c r="K79" s="406" t="n">
        <x:f>IF($I$77&gt;0,1-I79/$I$77,0)</x:f>
        <x:v>0.75</x:v>
      </x:c>
      <x:c r="L79" s="135"/>
      <x:c r="M79"/>
    </x:row>
    <x:row r="80" ht="20" customHeight="1">
      <x:c r="C80" s="191" t="n">
        <x:v>0.5</x:v>
      </x:c>
      <x:c r="D80" s="228" t="n">
        <x:f>1000000000*(1-C80)</x:f>
        <x:v>500000000</x:v>
      </x:c>
      <x:c r="E80" s="196" t="n">
        <x:f>'单币测算'!$I$16/D80</x:f>
        <x:v>35.714285712982935</x:v>
      </x:c>
      <x:c r="F80" s="196" t="n">
        <x:f>'单币测算'!$I$16</x:f>
        <x:v>17857142856.491467</x:v>
      </x:c>
      <x:c r="G80" s="330" t="n">
        <x:f>E80/D80</x:f>
        <x:v>7.142857142596587e-8</x:v>
      </x:c>
      <x:c r="H80" s="330" t="n">
        <x:f>IF(OR($D$7="",NOT(ISNUMBER(G80))),"",G80*$D$7)</x:f>
        <x:v>0.000010938085713886715</x:v>
      </x:c>
      <x:c r="I80" s="335" t="n">
        <x:f>G80*1000000000</x:f>
        <x:v>71.42857142596587</x:v>
      </x:c>
      <x:c r="J80" s="335" t="n">
        <x:f>IF($D$7="","",I80*$D$7)</x:f>
        <x:v>10938.085713886716</x:v>
      </x:c>
      <x:c r="K80" s="406" t="n">
        <x:f>IF($I$77&gt;0,1-I80/$I$77,0)</x:f>
        <x:v>0.8400000000000001</x:v>
      </x:c>
      <x:c r="L80" s="135"/>
      <x:c r="M80"/>
    </x:row>
    <x:row r="81" ht="20" customHeight="1">
      <x:c r="C81" s="191" t="n">
        <x:v>0.4</x:v>
      </x:c>
      <x:c r="D81" s="228" t="n">
        <x:f>1000000000*(1-C81)</x:f>
        <x:v>600000000</x:v>
      </x:c>
      <x:c r="E81" s="196" t="n">
        <x:f>'单币测算'!$I$16/D81</x:f>
        <x:v>29.76190476081911</x:v>
      </x:c>
      <x:c r="F81" s="196" t="n">
        <x:f>'单币测算'!$I$16</x:f>
        <x:v>17857142856.491467</x:v>
      </x:c>
      <x:c r="G81" s="330" t="n">
        <x:f>E81/D81</x:f>
        <x:v>4.960317460136518e-8</x:v>
      </x:c>
      <x:c r="H81" s="330" t="n">
        <x:f>IF(OR($D$7="",NOT(ISNUMBER(G81))),"",G81*$D$7)</x:f>
        <x:v>0.000007595892856865774</x:v>
      </x:c>
      <x:c r="I81" s="335" t="n">
        <x:f>G81*1000000000</x:f>
        <x:v>49.60317460136518</x:v>
      </x:c>
      <x:c r="J81" s="335" t="n">
        <x:f>IF($D$7="","",I81*$D$7)</x:f>
        <x:v>7595.892856865774</x:v>
      </x:c>
      <x:c r="K81" s="406" t="n">
        <x:f>IF($I$77&gt;0,1-I81/$I$77,0)</x:f>
        <x:v>0.888888888888889</x:v>
      </x:c>
      <x:c r="L81" s="135"/>
      <x:c r="M81"/>
    </x:row>
    <x:row r="82" ht="20" customHeight="1">
      <x:c r="C82" s="191" t="n">
        <x:v>0.3</x:v>
      </x:c>
      <x:c r="D82" s="228" t="n">
        <x:f>1000000000*(1-C82)</x:f>
        <x:v>700000000</x:v>
      </x:c>
      <x:c r="E82" s="196" t="n">
        <x:f>'单币测算'!$I$16/D82</x:f>
        <x:v>25.510204080702096</x:v>
      </x:c>
      <x:c r="F82" s="196" t="n">
        <x:f>'单币测算'!$I$16</x:f>
        <x:v>17857142856.491467</x:v>
      </x:c>
      <x:c r="G82" s="330" t="n">
        <x:f>E82/D82</x:f>
        <x:v>3.6443148686717276e-8</x:v>
      </x:c>
      <x:c r="H82" s="330" t="n">
        <x:f>IF(OR($D$7="",NOT(ISNUMBER(G82))),"",G82*$D$7)</x:f>
        <x:v>0.000005580655976472814</x:v>
      </x:c>
      <x:c r="I82" s="335" t="n">
        <x:f>G82*1000000000</x:f>
        <x:v>36.44314868671728</x:v>
      </x:c>
      <x:c r="J82" s="335" t="n">
        <x:f>IF($D$7="","",I82*$D$7)</x:f>
        <x:v>5580.6559764728145</x:v>
      </x:c>
      <x:c r="K82" s="406" t="n">
        <x:f>IF($I$77&gt;0,1-I82/$I$77,0)</x:f>
        <x:v>0.9183673469387755</x:v>
      </x:c>
      <x:c r="L82" s="135"/>
      <x:c r="M82"/>
    </x:row>
    <x:row r="83" ht="20" customHeight="1">
      <x:c r="C83" s="191" t="n">
        <x:v>0.2</x:v>
      </x:c>
      <x:c r="D83" s="228" t="n">
        <x:f>1000000000*(1-C83)</x:f>
        <x:v>800000000</x:v>
      </x:c>
      <x:c r="E83" s="196" t="n">
        <x:f>'单币测算'!$I$16/D83</x:f>
        <x:v>22.321428570614334</x:v>
      </x:c>
      <x:c r="F83" s="196" t="n">
        <x:f>'单币测算'!$I$16</x:f>
        <x:v>17857142856.491467</x:v>
      </x:c>
      <x:c r="G83" s="330" t="n">
        <x:f>E83/D83</x:f>
        <x:v>2.7901785713267918e-8</x:v>
      </x:c>
      <x:c r="H83" s="330" t="n">
        <x:f>IF(OR($D$7="",NOT(ISNUMBER(G83))),"",G83*$D$7)</x:f>
        <x:v>0.000004272689731986998</x:v>
      </x:c>
      <x:c r="I83" s="335" t="n">
        <x:f>G83*1000000000</x:f>
        <x:v>27.901785713267916</x:v>
      </x:c>
      <x:c r="J83" s="335" t="n">
        <x:f>IF($D$7="","",I83*$D$7)</x:f>
        <x:v>4272.689731986998</x:v>
      </x:c>
      <x:c r="K83" s="406" t="n">
        <x:f>IF($I$77&gt;0,1-I83/$I$77,0)</x:f>
        <x:v>0.9375</x:v>
      </x:c>
      <x:c r="L83" s="135"/>
      <x:c r="M83"/>
    </x:row>
    <x:row r="84" ht="20" customHeight="1">
      <x:c r="C84" s="191" t="n">
        <x:v>0.1</x:v>
      </x:c>
      <x:c r="D84" s="228" t="n">
        <x:f>1000000000*(1-C84)</x:f>
        <x:v>900000000</x:v>
      </x:c>
      <x:c r="E84" s="196" t="n">
        <x:f>'单币测算'!$I$16/D84</x:f>
        <x:v>19.841269840546072</x:v>
      </x:c>
      <x:c r="F84" s="196" t="n">
        <x:f>'单币测算'!$I$16</x:f>
        <x:v>17857142856.491467</x:v>
      </x:c>
      <x:c r="G84" s="330" t="n">
        <x:f>E84/D84</x:f>
        <x:v>2.2045855378384524e-8</x:v>
      </x:c>
      <x:c r="H84" s="330" t="n">
        <x:f>IF(OR($D$7="",NOT(ISNUMBER(G84))),"",G84*$D$7)</x:f>
        <x:v>0.000003375952380829233</x:v>
      </x:c>
      <x:c r="I84" s="335" t="n">
        <x:f>G84*1000000000</x:f>
        <x:v>22.045855378384523</x:v>
      </x:c>
      <x:c r="J84" s="335" t="n">
        <x:f>IF($D$7="","",I84*$D$7)</x:f>
        <x:v>3375.9523808292324</x:v>
      </x:c>
      <x:c r="K84" s="406" t="n">
        <x:f>IF($I$77&gt;0,1-I84/$I$77,0)</x:f>
        <x:v>0.9506172839506173</x:v>
      </x:c>
      <x:c r="L84" s="135"/>
      <x:c r="M84"/>
    </x:row>
    <x:row r="85" ht="20" customHeight="1">
      <x:c r="C85" s="226" t="n">
        <x:v>0</x:v>
      </x:c>
      <x:c r="D85" s="229" t="n">
        <x:f>1000000000*(1-C85)</x:f>
        <x:v>1000000000</x:v>
      </x:c>
      <x:c r="E85" s="230" t="n">
        <x:f>'单币测算'!$I$16/D85</x:f>
        <x:v>17.857142856491468</x:v>
      </x:c>
      <x:c r="F85" s="230" t="n">
        <x:f>'单币测算'!$I$16</x:f>
        <x:v>17857142856.491467</x:v>
      </x:c>
      <x:c r="G85" s="410" t="n">
        <x:f>E85/D85</x:f>
        <x:v>1.7857142856491468e-8</x:v>
      </x:c>
      <x:c r="H85" s="410" t="n">
        <x:f>IF(OR($D$7="",NOT(ISNUMBER(G85))),"",G85*$D$7)</x:f>
        <x:v>0.000002734521428471679</x:v>
      </x:c>
      <x:c r="I85" s="415" t="n">
        <x:f>G85*1000000000</x:f>
        <x:v>17.857142856491468</x:v>
      </x:c>
      <x:c r="J85" s="415" t="n">
        <x:f>IF($D$7="","",I85*$D$7)</x:f>
        <x:v>2734.521428471679</x:v>
      </x:c>
      <x:c r="K85" s="421" t="n">
        <x:f>IF($I$77&gt;0,1-I85/$I$77,0)</x:f>
        <x:v>0.96</x:v>
      </x:c>
      <x:c r="L85" s="424" t="str">
        <x:v>沉没成本</x:v>
      </x:c>
      <x:c r="M85" s="415" t="n">
        <x:f>E85</x:f>
        <x:v>17.857142856491468</x:v>
      </x:c>
    </x:row>
  </x:sheetData>
  <x:mergeCells>
    <x:mergeCell ref="C2:L2"/>
    <x:mergeCell ref="C3:L3"/>
  </x:mergeCells>
  <x:dataValidations count="3">
    <x:dataValidation type="list" sqref="D6">
      <x:formula1>'Quote参数'!$E$14:$E$36</x:formula1>
    </x:dataValidation>
    <x:dataValidation type="decimal" operator="between" sqref="F11:F12">
      <x:formula1>0</x:formula1>
      <x:formula2>0.1</x:formula2>
    </x:dataValidation>
    <x:dataValidation type="decimal" operator="between" sqref="H14">
      <x:formula1>0.8</x:formula1>
      <x:formula2>0.99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5" hidden="0" customWidth="1"/>
    <x:col min="4" max="4" width="22" hidden="0" customWidth="1"/>
    <x:col min="5" max="5" width="18" hidden="0" customWidth="1"/>
    <x:col min="6" max="6" width="43" hidden="0" customWidth="1"/>
    <x:col min="7" max="7" width="3" hidden="0" customWidth="1"/>
    <x:col min="8" max="8" width="22" hidden="0" customWidth="1"/>
    <x:col min="9" max="9" width="37" hidden="0" customWidth="1"/>
    <x:col min="10" max="10" width="16" hidden="0" customWidth="1"/>
  </x:cols>
  <x:sheetData>
    <x:row r="2" ht="20" customHeight="1">
      <x:c r="C2" s="248" t="str">
        <x:v>Flap BSC 币股控筹资金测算</x:v>
      </x:c>
      <x:c r="D2" s="249"/>
      <x:c r="E2" s="249"/>
      <x:c r="F2" s="249"/>
      <x:c r="G2" s="249"/>
      <x:c r="H2" s="249"/>
      <x:c r="I2" s="249"/>
      <x:c r="J2" s="249"/>
    </x:row>
    <x:row r="3" ht="20" customHeight="1">
      <x:c r="C3" s="250" t="str">
        <x:v>黄色单元格为输入。Quote 预算以所选 RWA 代币计价；Gas 单独以 BNB 计价。</x:v>
      </x:c>
      <x:c r="D3" s="250"/>
      <x:c r="E3" s="250"/>
      <x:c r="F3" s="250"/>
      <x:c r="G3" s="250"/>
      <x:c r="H3" s="250"/>
      <x:c r="I3" s="250"/>
      <x:c r="J3" s="250"/>
    </x:row>
    <x:row r="4" ht="20" customHeight="1">
      <x:c r="C4" s="245"/>
      <x:c r="D4" s="245"/>
      <x:c r="E4" s="245"/>
      <x:c r="F4" s="245"/>
      <x:c r="G4" s="245"/>
      <x:c r="H4" s="245"/>
      <x:c r="I4" s="245"/>
      <x:c r="J4" s="245"/>
    </x:row>
    <x:row r="5" ht="20" customHeight="1">
      <x:c r="C5" s="245"/>
      <x:c r="D5" s="245"/>
      <x:c r="E5" s="245"/>
      <x:c r="F5" s="245"/>
      <x:c r="G5" s="245"/>
      <x:c r="H5" s="245"/>
      <x:c r="I5" s="245"/>
      <x:c r="J5" s="245"/>
    </x:row>
    <x:row r="6" ht="20" customHeight="1">
      <x:c r="C6" s="41" t="str">
        <x:v>输入参数</x:v>
      </x:c>
      <x:c r="D6" s="42"/>
      <x:c r="E6" s="42"/>
      <x:c r="F6" s="43"/>
      <x:c r="G6" s="245"/>
      <x:c r="H6" s="41" t="str">
        <x:v>所选 Quote 参数</x:v>
      </x:c>
      <x:c r="I6" s="42"/>
      <x:c r="J6" s="43"/>
    </x:row>
    <x:row r="7" ht="20" customHeight="1">
      <x:c r="C7" s="245"/>
      <x:c r="D7" s="245"/>
      <x:c r="E7" s="245"/>
      <x:c r="F7" s="245"/>
      <x:c r="G7" s="245"/>
      <x:c r="H7" s="245"/>
      <x:c r="I7" s="245"/>
      <x:c r="J7" s="245"/>
    </x:row>
    <x:row r="8" ht="28" customHeight="1">
      <x:c r="C8" s="251" t="str">
        <x:v>Quote</x:v>
      </x:c>
      <x:c r="D8" s="252" t="str">
        <x:f>'控筹模型'!$D$6</x:f>
        <x:v>SPCXB</x:v>
      </x:c>
      <x:c r="E8" s="253" t="str">
        <x:v>23 个官方 BSC RWA Quote</x:v>
      </x:c>
      <x:c r="F8" s="245"/>
      <x:c r="G8" s="245"/>
      <x:c r="H8" s="254" t="str">
        <x:v>Quote 名称</x:v>
      </x:c>
      <x:c r="I8" s="255" t="str">
        <x:f>VLOOKUP($D$8,'Quote参数'!$E$14:$M$36,2,FALSE)</x:f>
        <x:v>SpaceX</x:v>
      </x:c>
      <x:c r="J8" s="245"/>
    </x:row>
    <x:row r="9" ht="28" customHeight="1">
      <x:c r="C9" s="251" t="str">
        <x:v>目标控筹率</x:v>
      </x:c>
      <x:c r="D9" s="256" t="n">
        <x:f>'控筹模型'!$H$14</x:f>
        <x:v>0.9</x:v>
      </x:c>
      <x:c r="E9" s="253" t="str">
        <x:v>预算使用目标 + 1%</x:v>
      </x:c>
      <x:c r="F9" s="245"/>
      <x:c r="G9" s="245"/>
      <x:c r="H9" s="254" t="str">
        <x:v>Quote 合约</x:v>
      </x:c>
      <x:c r="I9" s="257" t="str">
        <x:f>VLOOKUP($D$8,'Quote参数'!$E$14:$M$36,3,FALSE)</x:f>
        <x:v>​0xbe9D156892E55e7154BcD3cB0FEA677F9D3103E1</x:v>
      </x:c>
      <x:c r="J9" s="245"/>
    </x:row>
    <x:row r="10" ht="28" customHeight="1">
      <x:c r="C10" s="251" t="str">
        <x:v>买入税率</x:v>
      </x:c>
      <x:c r="D10" s="256" t="n">
        <x:f>'控筹模型'!$F$11</x:f>
        <x:v>0</x:v>
      </x:c>
      <x:c r="E10" s="253" t="str">
        <x:v>0%–10%；0% 为标准非税模型</x:v>
      </x:c>
      <x:c r="F10" s="245"/>
      <x:c r="G10" s="245"/>
      <x:c r="H10" s="254" t="str">
        <x:v>Decimals</x:v>
      </x:c>
      <x:c r="I10" s="255" t="n">
        <x:f>VLOOKUP($D$8,'Quote参数'!$E$14:$M$36,4,FALSE)</x:f>
        <x:v>18</x:v>
      </x:c>
      <x:c r="J10" s="245"/>
    </x:row>
    <x:row r="11" ht="28" customHeight="1">
      <x:c r="C11" s="251" t="str">
        <x:v>卖出税率</x:v>
      </x:c>
      <x:c r="D11" s="256" t="n">
        <x:f>'控筹模型'!$F$12</x:f>
        <x:v>0</x:v>
      </x:c>
      <x:c r="E11" s="253" t="str">
        <x:v>0%–10%；进入双边洗筹损耗</x:v>
      </x:c>
      <x:c r="F11" s="245"/>
      <x:c r="G11" s="245"/>
      <x:c r="H11" s="254" t="str">
        <x:v>r</x:v>
      </x:c>
      <x:c r="I11" s="258" t="n">
        <x:f>VLOOKUP($D$8,'Quote参数'!$E$14:$M$36,5,FALSE)</x:f>
        <x:v>34.26749453</x:v>
      </x:c>
      <x:c r="J11" s="245"/>
    </x:row>
    <x:row r="12" ht="28" customHeight="1">
      <x:c r="C12" s="251" t="str">
        <x:v>内盘地址套数</x:v>
      </x:c>
      <x:c r="D12" s="259" t="n">
        <x:f>'控筹模型'!$H$11</x:f>
        <x:v>2</x:v>
      </x:c>
      <x:c r="E12" s="253" t="str">
        <x:v>第 2 套起计额外内盘资金</x:v>
      </x:c>
      <x:c r="F12" s="245"/>
      <x:c r="G12" s="245"/>
      <x:c r="H12" s="254" t="str">
        <x:v>h</x:v>
      </x:c>
      <x:c r="I12" s="258" t="n">
        <x:f>VLOOKUP($D$8,'Quote参数'!$E$14:$M$36,6,FALSE)</x:f>
        <x:v>107036751</x:v>
      </x:c>
      <x:c r="J12" s="245"/>
    </x:row>
    <x:row r="13" ht="28" customHeight="1">
      <x:c r="C13" s="251" t="str">
        <x:v>内盘地址 / 套</x:v>
      </x:c>
      <x:c r="D13" s="259" t="n">
        <x:f>'控筹模型'!$H$10</x:f>
        <x:v>10</x:v>
      </x:c>
      <x:c r="E13" s="253" t="str">
        <x:v>每套地址数</x:v>
      </x:c>
      <x:c r="F13" s="245"/>
      <x:c r="G13" s="245"/>
      <x:c r="H13" s="254" t="str">
        <x:v>k</x:v>
      </x:c>
      <x:c r="I13" s="258" t="n">
        <x:f>VLOOKUP($D$8,'Quote参数'!$E$14:$M$36,7,FALSE)</x:f>
        <x:v>37935375809.401474</x:v>
      </x:c>
      <x:c r="J13" s="245"/>
    </x:row>
    <x:row r="14" ht="28" customHeight="1">
      <x:c r="C14" s="251" t="str">
        <x:v>外盘地址数</x:v>
      </x:c>
      <x:c r="D14" s="259" t="n">
        <x:f>'控筹模型'!$H$12</x:f>
        <x:v>2</x:v>
      </x:c>
      <x:c r="E14" s="253" t="str">
        <x:v>外盘执行地址</x:v>
      </x:c>
      <x:c r="F14" s="245"/>
      <x:c r="G14" s="245"/>
      <x:c r="H14" s="254" t="str">
        <x:v>毕业真实 Quote</x:v>
      </x:c>
      <x:c r="I14" s="258" t="n">
        <x:f>VLOOKUP($D$8,'Quote参数'!$E$14:$M$36,8,FALSE)</x:f>
        <x:v>89.28571428245735</x:v>
      </x:c>
      <x:c r="J14" s="245"/>
    </x:row>
    <x:row r="15" ht="28" customHeight="1">
      <x:c r="C15" s="251" t="str">
        <x:v>Holder 地址数</x:v>
      </x:c>
      <x:c r="D15" s="259" t="n">
        <x:f>'控筹模型'!$H$13</x:f>
        <x:v>100</x:v>
      </x:c>
      <x:c r="E15" s="253" t="str">
        <x:v>分散持仓地址</x:v>
      </x:c>
      <x:c r="F15" s="245"/>
      <x:c r="G15" s="245"/>
      <x:c r="H15" s="254" t="str">
        <x:v>DEX 初始 TOKEN</x:v>
      </x:c>
      <x:c r="I15" s="258" t="n">
        <x:f>1000000000*(1-0.8)</x:f>
        <x:v>199999999.99999997</x:v>
      </x:c>
      <x:c r="J15" s="245"/>
    </x:row>
    <x:row r="16" ht="28" customHeight="1">
      <x:c r="C16" s="251" t="str">
        <x:v>单地址 Gas</x:v>
      </x:c>
      <x:c r="D16" s="260" t="n">
        <x:f>'控筹模型'!$H$7</x:f>
        <x:v>0.01</x:v>
      </x:c>
      <x:c r="E16" s="253" t="str">
        <x:v>BNB / 地址</x:v>
      </x:c>
      <x:c r="F16" s="245"/>
      <x:c r="G16" s="245"/>
      <x:c r="H16" s="254" t="str">
        <x:v>Outer K</x:v>
      </x:c>
      <x:c r="I16" s="258" t="n">
        <x:f>VLOOKUP($D$8,'Quote参数'!$E$14:$N$36,10,FALSE)</x:f>
        <x:v>17857142856.491467</x:v>
      </x:c>
      <x:c r="J16" s="245"/>
    </x:row>
    <x:row r="17" ht="28" customHeight="1">
      <x:c r="C17" s="251" t="str">
        <x:v>手操 + 刷量预留</x:v>
      </x:c>
      <x:c r="D17" s="260" t="n">
        <x:f>'控筹模型'!$H$8</x:f>
        <x:v>0</x:v>
      </x:c>
      <x:c r="E17" s="253" t="str">
        <x:v>所选 Quote 单位</x:v>
      </x:c>
      <x:c r="F17" s="245"/>
      <x:c r="G17" s="245"/>
      <x:c r="H17" s="254" t="str">
        <x:v>Portal 基础费</x:v>
      </x:c>
      <x:c r="I17" s="261" t="n">
        <x:f>0.01</x:f>
        <x:v>0.01</x:v>
      </x:c>
      <x:c r="J17" s="245"/>
    </x:row>
    <x:row r="18" ht="28" customHeight="1">
      <x:c r="C18" s="251" t="str">
        <x:v>Quote / USDT 价格</x:v>
      </x:c>
      <x:c r="D18" s="262" t="n">
        <x:f>IF(VLOOKUP($D$8,'Quote参数'!$E$14:$P$36,12,FALSE)=0,"",VLOOKUP($D$8,'Quote参数'!$E$14:$P$36,12,FALSE))</x:f>
        <x:v>153.1332</x:v>
      </x:c>
      <x:c r="E18" s="253" t="str">
        <x:v>引用每日价格；可手动覆盖</x:v>
      </x:c>
      <x:c r="F18" s="245"/>
      <x:c r="G18" s="245"/>
      <x:c r="H18" s="254" t="str">
        <x:v>Pancake LP 费</x:v>
      </x:c>
      <x:c r="I18" s="261" t="n">
        <x:f>0.0025</x:f>
        <x:v>0.0025</x:v>
      </x:c>
      <x:c r="J18" s="245"/>
    </x:row>
    <x:row r="19" ht="20" customHeight="1">
      <x:c r="C19" s="245"/>
      <x:c r="D19" s="245"/>
      <x:c r="E19" s="245"/>
      <x:c r="F19" s="245"/>
      <x:c r="G19" s="245"/>
      <x:c r="H19" s="254" t="str">
        <x:v>毕业控筹率</x:v>
      </x:c>
      <x:c r="I19" s="261" t="n">
        <x:f>0.8</x:f>
        <x:v>0.8</x:v>
      </x:c>
      <x:c r="J19" s="245"/>
    </x:row>
    <x:row r="20" ht="20" customHeight="1">
      <x:c r="C20" s="245"/>
      <x:c r="D20" s="245"/>
      <x:c r="E20" s="245"/>
      <x:c r="F20" s="245"/>
      <x:c r="G20" s="245"/>
      <x:c r="H20" s="254" t="str">
        <x:v>买税后净控筹上限</x:v>
      </x:c>
      <x:c r="I20" s="261" t="n">
        <x:f>$I$19+(1-$D$10)*$I$15/1000000000</x:f>
        <x:v>1</x:v>
      </x:c>
      <x:c r="J20" s="245"/>
    </x:row>
    <x:row r="21" ht="20" customHeight="1">
      <x:c r="C21" s="245"/>
      <x:c r="D21" s="245"/>
      <x:c r="E21" s="245"/>
      <x:c r="F21" s="245"/>
      <x:c r="G21" s="245"/>
      <x:c r="H21" s="245"/>
      <x:c r="I21" s="245"/>
      <x:c r="J21" s="245"/>
    </x:row>
    <x:row r="22" ht="20" customHeight="1">
      <x:c r="C22" s="245"/>
      <x:c r="D22" s="245"/>
      <x:c r="E22" s="245"/>
      <x:c r="F22" s="245"/>
      <x:c r="G22" s="245"/>
      <x:c r="H22" s="245"/>
      <x:c r="I22" s="245"/>
      <x:c r="J22" s="245"/>
    </x:row>
    <x:row r="23" ht="20" customHeight="1">
      <x:c r="C23" s="41" t="str">
        <x:v>预算结果</x:v>
      </x:c>
      <x:c r="D23" s="42"/>
      <x:c r="E23" s="42"/>
      <x:c r="F23" s="43"/>
      <x:c r="G23" s="245"/>
      <x:c r="H23" s="41" t="str">
        <x:v>口径检查</x:v>
      </x:c>
      <x:c r="I23" s="42"/>
      <x:c r="J23" s="43"/>
    </x:row>
    <x:row r="24" ht="20" customHeight="1">
      <x:c r="C24" s="245"/>
      <x:c r="D24" s="245"/>
      <x:c r="E24" s="245"/>
      <x:c r="F24" s="245"/>
      <x:c r="G24" s="245"/>
      <x:c r="H24" s="245"/>
      <x:c r="I24" s="245"/>
      <x:c r="J24" s="245"/>
    </x:row>
    <x:row r="25" ht="24" customHeight="1">
      <x:c r="C25" s="58" t="str">
        <x:v>预算使用控筹率</x:v>
      </x:c>
      <x:c r="D25" s="67" t="n">
        <x:f>$D$9+1%</x:f>
        <x:v>0.91</x:v>
      </x:c>
      <x:c r="E25" s="24" t="str">
        <x:v>控筹率</x:v>
      </x:c>
      <x:c r="F25" s="64" t="str">
        <x:v>目标控筹率 + 1%</x:v>
      </x:c>
      <x:c r="G25" s="245"/>
      <x:c r="H25" s="58" t="str">
        <x:v>机制</x:v>
      </x:c>
      <x:c r="I25" s="85" t="str">
        <x:v>10 亿总量；80% 联合曲线毕业</x:v>
      </x:c>
      <x:c r="J25" s="85" t="str"/>
    </x:row>
    <x:row r="26" ht="24" customHeight="1">
      <x:c r="C26" s="59" t="str">
        <x:v>模型状态</x:v>
      </x:c>
      <x:c r="D26" s="25" t="str">
        <x:f>IF(OR($D$9&lt;80%,$D$9&gt;=100%),"目标控筹率无效",IF(OR($D$10&lt;0,$D$10&gt;10%,$D$11&lt;0,$D$11&gt;10%),"税率无效",IF($D$25&gt;=$I$20,"目标+1%不可达","可达")))</x:f>
        <x:v>可达</x:v>
      </x:c>
      <x:c r="E26" s="25" t="str"/>
      <x:c r="F26" s="65" t="str">
        <x:v>目标+1% 必须低于买税后净控筹上限</x:v>
      </x:c>
      <x:c r="G26" s="245"/>
      <x:c r="H26" s="59" t="str">
        <x:v>联合曲线</x:v>
      </x:c>
      <x:c r="I26" s="86" t="str">
        <x:v>(x+h)(y+r)=K；每个 Quote 参数不同</x:v>
      </x:c>
      <x:c r="J26" s="86" t="str"/>
    </x:row>
    <x:row r="27" ht="24" customHeight="1">
      <x:c r="C27" s="59" t="str">
        <x:v>一套内盘打满</x:v>
      </x:c>
      <x:c r="D27" s="68" t="n">
        <x:f>$I$14*(1+$I$17+$D$10)</x:f>
        <x:v>90.17857142528192</x:v>
      </x:c>
      <x:c r="E27" s="25" t="str">
        <x:f>$D$8</x:f>
        <x:v>SPCXB</x:v>
      </x:c>
      <x:c r="F27" s="65" t="str">
        <x:v>毕业真实 Quote × (1% + 买税)</x:v>
      </x:c>
      <x:c r="G27" s="245"/>
      <x:c r="H27" s="59" t="str">
        <x:v>内盘基础费</x:v>
      </x:c>
      <x:c r="I27" s="86" t="str">
        <x:v>Portal 链上 getFeeRate：买/卖各 1%</x:v>
      </x:c>
      <x:c r="J27" s="86" t="str"/>
    </x:row>
    <x:row r="28" ht="24" customHeight="1">
      <x:c r="C28" s="59" t="str">
        <x:v>外盘净控筹 TOKEN</x:v>
      </x:c>
      <x:c r="D28" s="68" t="n">
        <x:f>IF($D$25&lt;$I$20,MAX(0,($D$25-$I$19)*1000000000),"")</x:f>
        <x:v>109999999.99999999</x:v>
      </x:c>
      <x:c r="E28" s="25" t="str">
        <x:v>TOKEN</x:v>
      </x:c>
      <x:c r="F28" s="65" t="str">
        <x:v>目标+1% 相对 80% 的净增持</x:v>
      </x:c>
      <x:c r="G28" s="245"/>
      <x:c r="H28" s="59" t="str">
        <x:v>PreBond Tax</x:v>
      </x:c>
      <x:c r="I28" s="86" t="str">
        <x:v>买税作为额外 Quote 费叠加</x:v>
      </x:c>
      <x:c r="J28" s="86" t="str"/>
    </x:row>
    <x:row r="29" ht="24" customHeight="1">
      <x:c r="C29" s="59" t="str">
        <x:v>外盘需扫出 TOKEN</x:v>
      </x:c>
      <x:c r="D29" s="68" t="n">
        <x:f>IF($D$28="","",$D$28/(1-$D$10))</x:f>
        <x:v>109999999.99999999</x:v>
      </x:c>
      <x:c r="E29" s="25" t="str">
        <x:v>TOKEN</x:v>
      </x:c>
      <x:c r="F29" s="65" t="str">
        <x:v>净增持 ÷ (1 - 买税)</x:v>
      </x:c>
      <x:c r="G29" s="245"/>
      <x:c r="H29" s="59" t="str">
        <x:v>DEX 买税</x:v>
      </x:c>
      <x:c r="I29" s="86" t="str">
        <x:v>从 TOKEN 输出扣除，降低净控筹上限</x:v>
      </x:c>
      <x:c r="J29" s="86" t="str"/>
    </x:row>
    <x:row r="30" ht="24" customHeight="1">
      <x:c r="C30" s="59" t="str">
        <x:v>目标+1% Pool TOKEN</x:v>
      </x:c>
      <x:c r="D30" s="68" t="n">
        <x:f>IF($D$29="","",$I$15-$D$29)</x:f>
        <x:v>89999999.99999999</x:v>
      </x:c>
      <x:c r="E30" s="25" t="str">
        <x:v>TOKEN</x:v>
      </x:c>
      <x:c r="F30" s="65" t="str">
        <x:v>2 亿 - 需扫出 TOKEN</x:v>
      </x:c>
      <x:c r="G30" s="245"/>
      <x:c r="H30" s="59" t="str">
        <x:v>DEX LP 费</x:v>
      </x:c>
      <x:c r="I30" s="86" t="str">
        <x:v>标准 Pancake V3 0.25%</x:v>
      </x:c>
      <x:c r="J30" s="86" t="str"/>
    </x:row>
    <x:row r="31" ht="24" customHeight="1">
      <x:c r="C31" s="59" t="str">
        <x:v>目标+1% Pool Quote</x:v>
      </x:c>
      <x:c r="D31" s="68" t="n">
        <x:f>IF($D$30="","",$I$16/$D$30)</x:f>
        <x:v>198.41269840546076</x:v>
      </x:c>
      <x:c r="E31" s="25" t="str">
        <x:f>$D$8</x:f>
        <x:v>SPCXB</x:v>
      </x:c>
      <x:c r="F31" s="65" t="str">
        <x:v>Outer K ÷ Pool TOKEN</x:v>
      </x:c>
      <x:c r="G31" s="245"/>
      <x:c r="H31" s="59" t="str">
        <x:v>洗筹损耗</x:v>
      </x:c>
      <x:c r="I31" s="86" t="str">
        <x:v>目标+1% FDV × (LP 双边 + 买税 + 卖税)</x:v>
      </x:c>
      <x:c r="J31" s="86" t="str"/>
    </x:row>
    <x:row r="32" ht="24" customHeight="1">
      <x:c r="C32" s="59" t="str">
        <x:v>外盘净增加 Quote</x:v>
      </x:c>
      <x:c r="D32" s="68" t="n">
        <x:f>IF($D$31="","",MAX(0,$D$31-$I$14))</x:f>
        <x:v>109.12698412300341</x:v>
      </x:c>
      <x:c r="E32" s="25" t="str">
        <x:f>$D$8</x:f>
        <x:v>SPCXB</x:v>
      </x:c>
      <x:c r="F32" s="65" t="str">
        <x:v>Pool Quote - 毕业真实 Quote</x:v>
      </x:c>
      <x:c r="G32" s="245"/>
      <x:c r="H32" s="59" t="str">
        <x:v>价格风险</x:v>
      </x:c>
      <x:c r="I32" s="86" t="str">
        <x:v>币股 Quote 本身价格波动；本表不硬编码股票美元价</x:v>
      </x:c>
      <x:c r="J32" s="86" t="str"/>
    </x:row>
    <x:row r="33" ht="24" customHeight="1">
      <x:c r="C33" s="59" t="str">
        <x:v>外盘含 LP 费投入</x:v>
      </x:c>
      <x:c r="D33" s="68" t="n">
        <x:f>IF($D$32="","",$D$32*(1+$I$18))</x:f>
        <x:v>109.39980158331092</x:v>
      </x:c>
      <x:c r="E33" s="25" t="str">
        <x:f>$D$8</x:f>
        <x:v>SPCXB</x:v>
      </x:c>
      <x:c r="F33" s="65" t="str">
        <x:v>净增加 Quote × (1 + 0.25%)</x:v>
      </x:c>
      <x:c r="G33" s="245"/>
      <x:c r="H33" s="60" t="str">
        <x:v>参数时点</x:v>
      </x:c>
      <x:c r="I33" s="87" t="str">
        <x:v>2026-09-10 / BSC block 121074671</x:v>
      </x:c>
      <x:c r="J33" s="87" t="str"/>
    </x:row>
    <x:row r="34" ht="24" customHeight="1">
      <x:c r="C34" s="59" t="str">
        <x:v>目标+1% 理论累计</x:v>
      </x:c>
      <x:c r="D34" s="68" t="n">
        <x:f>IF($D$33="","",$D$27+$D$33)</x:f>
        <x:v>199.57837300859285</x:v>
      </x:c>
      <x:c r="E34" s="25" t="str">
        <x:f>$D$8</x:f>
        <x:v>SPCXB</x:v>
      </x:c>
      <x:c r="F34" s="65" t="str">
        <x:v>一套内盘 + 外盘投入</x:v>
      </x:c>
      <x:c r="G34" s="245"/>
      <x:c r="H34" s="245"/>
      <x:c r="I34" s="245"/>
      <x:c r="J34" s="245"/>
    </x:row>
    <x:row r="35" ht="24" customHeight="1">
      <x:c r="C35" s="59" t="str">
        <x:v>额外内盘资金</x:v>
      </x:c>
      <x:c r="D35" s="68" t="n">
        <x:f>$D$27*MAX(0,$D$12-1)</x:f>
        <x:v>90.17857142528192</x:v>
      </x:c>
      <x:c r="E35" s="25" t="str">
        <x:f>$D$8</x:f>
        <x:v>SPCXB</x:v>
      </x:c>
      <x:c r="F35" s="65" t="str">
        <x:v>一套内盘 × (套数 - 1)</x:v>
      </x:c>
      <x:c r="G35" s="245"/>
      <x:c r="H35" s="245"/>
      <x:c r="I35" s="245"/>
      <x:c r="J35" s="245"/>
    </x:row>
    <x:row r="36" ht="24" customHeight="1">
      <x:c r="C36" s="59" t="str">
        <x:v>目标+1% FDV</x:v>
      </x:c>
      <x:c r="D36" s="68" t="n">
        <x:f>IF($D$31="","",$D$31/$D$30*1000000000)</x:f>
        <x:v>2204.5855378384535</x:v>
      </x:c>
      <x:c r="E36" s="25" t="str">
        <x:f>$D$8</x:f>
        <x:v>SPCXB</x:v>
      </x:c>
      <x:c r="F36" s="65" t="str">
        <x:v>Pool 价格 × 10 亿总量</x:v>
      </x:c>
      <x:c r="G36" s="245"/>
      <x:c r="H36" s="245"/>
      <x:c r="I36" s="245"/>
      <x:c r="J36" s="245"/>
    </x:row>
    <x:row r="37" ht="24" customHeight="1">
      <x:c r="C37" s="59" t="str">
        <x:v>洗筹总费率</x:v>
      </x:c>
      <x:c r="D37" s="69" t="n">
        <x:f>$I$18*2+$D$10+$D$11</x:f>
        <x:v>0.005</x:v>
      </x:c>
      <x:c r="E37" s="25" t="str">
        <x:v>费率</x:v>
      </x:c>
      <x:c r="F37" s="65" t="str">
        <x:v>LP 双边 + 买税 + 卖税</x:v>
      </x:c>
      <x:c r="G37" s="245"/>
      <x:c r="H37" s="245"/>
      <x:c r="I37" s="245"/>
      <x:c r="J37" s="245"/>
    </x:row>
    <x:row r="38" ht="24" customHeight="1">
      <x:c r="C38" s="59" t="str">
        <x:v>洗筹损耗</x:v>
      </x:c>
      <x:c r="D38" s="68" t="n">
        <x:f>IF($D$36="","",$D$36*$D$37)</x:f>
        <x:v>11.022927689192269</x:v>
      </x:c>
      <x:c r="E38" s="25" t="str">
        <x:f>$D$8</x:f>
        <x:v>SPCXB</x:v>
      </x:c>
      <x:c r="F38" s="65" t="str">
        <x:v>目标+1% FDV × 洗筹总费率</x:v>
      </x:c>
      <x:c r="G38" s="245"/>
      <x:c r="H38" s="245"/>
      <x:c r="I38" s="245"/>
      <x:c r="J38" s="245"/>
    </x:row>
    <x:row r="39" ht="24" customHeight="1">
      <x:c r="C39" s="59" t="str">
        <x:v>手操 + 刷量预留</x:v>
      </x:c>
      <x:c r="D39" s="68" t="n">
        <x:f>MAX(0,$D$17)</x:f>
        <x:v>0</x:v>
      </x:c>
      <x:c r="E39" s="25" t="str">
        <x:f>$D$8</x:f>
        <x:v>SPCXB</x:v>
      </x:c>
      <x:c r="F39" s="65" t="str">
        <x:v>输入值</x:v>
      </x:c>
      <x:c r="G39" s="245"/>
      <x:c r="H39" s="245"/>
      <x:c r="I39" s="245"/>
      <x:c r="J39" s="245"/>
    </x:row>
    <x:row r="40" ht="24" customHeight="1">
      <x:c r="C40" s="79" t="str">
        <x:v>建议 Quote 总资金</x:v>
      </x:c>
      <x:c r="D40" s="80" t="n">
        <x:f>IF($D$34="","",SUM($D$34,$D$35,$D$38,$D$39))</x:f>
        <x:v>300.77987212306704</x:v>
      </x:c>
      <x:c r="E40" s="79" t="str">
        <x:f>$D$8</x:f>
        <x:v>SPCXB</x:v>
      </x:c>
      <x:c r="F40" s="81" t="str">
        <x:v>理论累计 + 额外内盘 + 洗筹 + 预留</x:v>
      </x:c>
      <x:c r="G40" s="245"/>
      <x:c r="H40" s="245"/>
      <x:c r="I40" s="245"/>
      <x:c r="J40" s="245"/>
    </x:row>
    <x:row r="41" ht="24" customHeight="1">
      <x:c r="C41" s="59" t="str">
        <x:v>总资金 / USDT</x:v>
      </x:c>
      <x:c r="D41" s="68" t="n">
        <x:f>IF(OR($D$40="",$D$18=""),"",$D$40*$D$18)</x:f>
        <x:v>46059.38431379604</x:v>
      </x:c>
      <x:c r="E41" s="25" t="str">
        <x:v>USDT</x:v>
      </x:c>
      <x:c r="F41" s="65" t="str">
        <x:v>可选 Quote / USDT 价格换算</x:v>
      </x:c>
      <x:c r="G41" s="245"/>
      <x:c r="H41" s="245"/>
      <x:c r="I41" s="245"/>
      <x:c r="J41" s="245"/>
    </x:row>
    <x:row r="42" ht="24" customHeight="1">
      <x:c r="C42" s="59" t="str">
        <x:v>地址总数</x:v>
      </x:c>
      <x:c r="D42" s="70" t="n">
        <x:f>MAX(0,$D$13)*MAX(0,$D$12)+MAX(0,$D$14)+MAX(0,$D$15)</x:f>
        <x:v>122</x:v>
      </x:c>
      <x:c r="E42" s="25" t="str">
        <x:v>地址</x:v>
      </x:c>
      <x:c r="F42" s="65" t="str">
        <x:v>内盘地址×套数 + 外盘 + Holder</x:v>
      </x:c>
      <x:c r="G42" s="245"/>
      <x:c r="H42" s="245"/>
      <x:c r="I42" s="245"/>
      <x:c r="J42" s="245"/>
    </x:row>
    <x:row r="43" ht="24" customHeight="1">
      <x:c r="C43" s="60" t="str">
        <x:v>Gas 总额</x:v>
      </x:c>
      <x:c r="D43" s="71" t="n">
        <x:f>$D$42*MAX(0,$D$16)</x:f>
        <x:v>1.22</x:v>
      </x:c>
      <x:c r="E43" s="26" t="str">
        <x:v>BNB</x:v>
      </x:c>
      <x:c r="F43" s="66" t="str">
        <x:v>地址总数 × 单地址 Gas</x:v>
      </x:c>
      <x:c r="G43" s="245"/>
      <x:c r="H43" s="245"/>
      <x:c r="I43" s="245"/>
      <x:c r="J43" s="245"/>
    </x:row>
  </x:sheetData>
  <x:conditionalFormatting sqref="D26:D26">
    <x:cfRule type="containsText" dxfId="0" priority="1" operator="containsText" text="不可达"/>
    <x:cfRule type="containsText" dxfId="1" priority="2" operator="containsText" text="可达"/>
  </x:conditionalFormatting>
  <x:dataValidations count="2">
    <x:dataValidation type="list" sqref="D8">
      <x:formula1>'Quote参数'!$E$14:$E$36</x:formula1>
    </x:dataValidation>
    <x:dataValidation type="decimal" operator="between" sqref="D9:D11">
      <x:formula1>0</x:formula1>
      <x:formula2>0.1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5" ySplit="7" topLeftCell="F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0" hidden="0" customWidth="1"/>
    <x:col min="4" max="4" width="24" hidden="0" customWidth="1"/>
    <x:col min="5" max="5" width="16" hidden="0" customWidth="1"/>
    <x:col min="6" max="6" width="10" hidden="0" customWidth="1"/>
    <x:col min="7" max="7" width="14" hidden="0" customWidth="1"/>
    <x:col min="8" max="8" width="14" hidden="0" customWidth="1"/>
    <x:col min="9" max="9" width="20" hidden="0" customWidth="1"/>
    <x:col min="10" max="10" width="18" hidden="0" customWidth="1"/>
    <x:col min="11" max="11" width="20" hidden="0" customWidth="1"/>
    <x:col min="12" max="12" width="15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6" hidden="0" customWidth="1"/>
    <x:col min="21" max="21" width="18" hidden="0" customWidth="1"/>
    <x:col min="22" max="22" width="15" hidden="0" customWidth="1"/>
    <x:col min="23" max="23" width="20" hidden="0" customWidth="1"/>
    <x:col min="24" max="24" width="16" hidden="0" customWidth="1"/>
    <x:col min="25" max="25" width="14" hidden="0" customWidth="1"/>
  </x:cols>
  <x:sheetData>
    <x:row r="2" ht="20" customHeight="1">
      <x:c r="C2" s="248" t="str">
        <x:v>Flap BSC 全 RWA Quote 预算</x:v>
      </x:c>
      <x:c r="D2" s="249"/>
      <x:c r="E2" s="249"/>
      <x:c r="F2" s="249"/>
      <x:c r="G2" s="249"/>
      <x:c r="H2" s="249"/>
      <x:c r="I2" s="249"/>
      <x:c r="J2" s="249"/>
      <x:c r="K2" s="249"/>
      <x:c r="L2" s="249"/>
      <x:c r="M2" s="249"/>
      <x:c r="N2" s="249"/>
      <x:c r="O2" s="249"/>
      <x:c r="P2" s="249"/>
      <x:c r="Q2" s="249"/>
      <x:c r="R2" s="249"/>
      <x:c r="S2" s="249"/>
      <x:c r="T2" s="249"/>
      <x:c r="U2" s="249"/>
      <x:c r="V2" s="249"/>
      <x:c r="W2" s="249"/>
      <x:c r="X2" s="249"/>
      <x:c r="Y2" s="249"/>
    </x:row>
    <x:row r="3" ht="20" customHeight="1">
      <x:c r="C3" s="250" t="str">
        <x:v>统一读取“单币测算”的目标控筹率、买税、卖税、地址和预留假设。每行使用各自的官方 r / h / k 参数。</x:v>
      </x:c>
      <x:c r="D3" s="250"/>
      <x:c r="E3" s="250"/>
      <x:c r="F3" s="250"/>
      <x:c r="G3" s="250"/>
      <x:c r="H3" s="250"/>
      <x:c r="I3" s="250"/>
      <x:c r="J3" s="250"/>
      <x:c r="K3" s="250"/>
      <x:c r="L3" s="250"/>
      <x:c r="M3" s="250"/>
      <x:c r="N3" s="250"/>
      <x:c r="O3" s="250"/>
      <x:c r="P3" s="250"/>
      <x:c r="Q3" s="250"/>
      <x:c r="R3" s="250"/>
      <x:c r="S3" s="250"/>
      <x:c r="T3" s="250"/>
      <x:c r="U3" s="250"/>
      <x:c r="V3" s="250"/>
      <x:c r="W3" s="250"/>
      <x:c r="X3" s="250"/>
      <x:c r="Y3" s="250"/>
    </x:row>
    <x:row r="4" ht="20" customHeight="1">
      <x:c r="C4" s="245"/>
      <x:c r="D4" s="245"/>
      <x:c r="E4" s="245"/>
      <x:c r="F4" s="245"/>
      <x:c r="G4" s="245"/>
      <x:c r="H4" s="245"/>
      <x:c r="I4" s="245"/>
      <x:c r="J4" s="245"/>
      <x:c r="K4" s="245"/>
      <x:c r="L4" s="245"/>
      <x:c r="M4" s="245"/>
      <x:c r="N4" s="245"/>
      <x:c r="O4" s="245"/>
      <x:c r="P4" s="245"/>
      <x:c r="Q4" s="245"/>
      <x:c r="R4" s="245"/>
      <x:c r="S4" s="245"/>
      <x:c r="T4" s="245"/>
      <x:c r="U4" s="245"/>
      <x:c r="V4" s="245"/>
      <x:c r="W4" s="245"/>
      <x:c r="X4" s="245"/>
      <x:c r="Y4" s="245"/>
    </x:row>
    <x:row r="5" ht="20" customHeight="1">
      <x:c r="C5" s="263" t="str">
        <x:v>目标</x:v>
      </x:c>
      <x:c r="D5" s="264" t="n">
        <x:f>'单币测算'!$D$9</x:f>
        <x:v>0.9</x:v>
      </x:c>
      <x:c r="E5" s="263" t="str">
        <x:v>买税</x:v>
      </x:c>
      <x:c r="F5" s="264" t="n">
        <x:f>'单币测算'!$D$10</x:f>
        <x:v>0</x:v>
      </x:c>
      <x:c r="G5" s="263" t="str">
        <x:v>卖税</x:v>
      </x:c>
      <x:c r="H5" s="264" t="n">
        <x:f>'单币测算'!$D$11</x:f>
        <x:v>0</x:v>
      </x:c>
      <x:c r="I5" s="263" t="str">
        <x:v>内盘套数</x:v>
      </x:c>
      <x:c r="J5" s="265" t="n">
        <x:f>'单币测算'!$D$12</x:f>
        <x:v>2</x:v>
      </x:c>
      <x:c r="K5" s="263" t="str">
        <x:v>LP 费</x:v>
      </x:c>
      <x:c r="L5" s="264" t="n">
        <x:v>0.0025</x:v>
      </x:c>
      <x:c r="M5" s="263" t="str"/>
      <x:c r="N5" s="263" t="str"/>
      <x:c r="O5" s="263" t="str"/>
      <x:c r="P5" s="263" t="str"/>
      <x:c r="Q5" s="263" t="str"/>
      <x:c r="R5" s="263" t="str"/>
      <x:c r="S5" s="263" t="str"/>
      <x:c r="T5" s="263" t="str"/>
      <x:c r="U5" s="263" t="str"/>
      <x:c r="V5" s="263" t="str"/>
      <x:c r="W5" s="263" t="str"/>
      <x:c r="X5" s="263" t="str"/>
      <x:c r="Y5" s="263" t="str"/>
    </x:row>
    <x:row r="6" ht="20" customHeight="1">
      <x:c r="C6" s="245"/>
      <x:c r="D6" s="245"/>
      <x:c r="E6" s="245"/>
      <x:c r="F6" s="245"/>
      <x:c r="G6" s="245"/>
      <x:c r="H6" s="245"/>
      <x:c r="I6" s="245"/>
      <x:c r="J6" s="245"/>
      <x:c r="K6" s="245"/>
      <x:c r="L6" s="245"/>
      <x:c r="M6" s="245"/>
      <x:c r="N6" s="245"/>
      <x:c r="O6" s="245"/>
      <x:c r="P6" s="245"/>
      <x:c r="Q6" s="245"/>
      <x:c r="R6" s="245"/>
      <x:c r="S6" s="245"/>
      <x:c r="T6" s="245"/>
      <x:c r="U6" s="245"/>
      <x:c r="V6" s="245"/>
      <x:c r="W6" s="245"/>
      <x:c r="X6" s="245"/>
      <x:c r="Y6" s="245"/>
    </x:row>
    <x:row r="7" ht="36" customHeight="1">
      <x:c r="C7" s="19" t="str">
        <x:v>Symbol</x:v>
      </x:c>
      <x:c r="D7" s="20" t="str">
        <x:v>名称</x:v>
      </x:c>
      <x:c r="E7" s="20" t="str">
        <x:v>类别</x:v>
      </x:c>
      <x:c r="F7" s="20" t="str">
        <x:v>Decimals</x:v>
      </x:c>
      <x:c r="G7" s="20" t="str">
        <x:v>r</x:v>
      </x:c>
      <x:c r="H7" s="20" t="str">
        <x:v>h</x:v>
      </x:c>
      <x:c r="I7" s="20" t="str">
        <x:v>k</x:v>
      </x:c>
      <x:c r="J7" s="20" t="str">
        <x:v>毕业真实 Quote</x:v>
      </x:c>
      <x:c r="K7" s="20" t="str">
        <x:v>Outer K</x:v>
      </x:c>
      <x:c r="L7" s="20" t="str">
        <x:v>净控筹上限</x:v>
      </x:c>
      <x:c r="M7" s="20" t="str">
        <x:v>一套内盘</x:v>
      </x:c>
      <x:c r="N7" s="20" t="str">
        <x:v>需扫出 TOKEN</x:v>
      </x:c>
      <x:c r="O7" s="20" t="str">
        <x:v>Pool TOKEN</x:v>
      </x:c>
      <x:c r="P7" s="20" t="str">
        <x:v>Pool Quote</x:v>
      </x:c>
      <x:c r="Q7" s="20" t="str">
        <x:v>外盘投入</x:v>
      </x:c>
      <x:c r="R7" s="20" t="str">
        <x:v>理论累计</x:v>
      </x:c>
      <x:c r="S7" s="20" t="str">
        <x:v>FDV</x:v>
      </x:c>
      <x:c r="T7" s="20" t="str">
        <x:v>洗筹总费率</x:v>
      </x:c>
      <x:c r="U7" s="20" t="str">
        <x:v>洗筹损耗</x:v>
      </x:c>
      <x:c r="V7" s="20" t="str">
        <x:v>预留</x:v>
      </x:c>
      <x:c r="W7" s="20" t="str">
        <x:v>建议 Quote 总资金</x:v>
      </x:c>
      <x:c r="X7" s="20" t="str">
        <x:v>Gas BNB</x:v>
      </x:c>
      <x:c r="Y7" s="21" t="str">
        <x:v>状态</x:v>
      </x:c>
    </x:row>
    <x:row r="8" ht="20" customHeight="1">
      <x:c r="C8" s="30" t="str">
        <x:v>SPCXB</x:v>
      </x:c>
      <x:c r="D8" s="30" t="str">
        <x:v>SpaceX</x:v>
      </x:c>
      <x:c r="E8" s="30" t="str">
        <x:v>股票 / ETF RWA</x:v>
      </x:c>
      <x:c r="F8" s="30" t="n">
        <x:v>18</x:v>
      </x:c>
      <x:c r="G8" s="92" t="n">
        <x:v>34.26749453</x:v>
      </x:c>
      <x:c r="H8" s="92" t="n">
        <x:v>107036751</x:v>
      </x:c>
      <x:c r="I8" s="92" t="n">
        <x:v>37935375809.401474</x:v>
      </x:c>
      <x:c r="J8" s="92" t="n">
        <x:v>89.28571428245735</x:v>
      </x:c>
      <x:c r="K8" s="92" t="n">
        <x:v>17857142856.491467</x:v>
      </x:c>
      <x:c r="L8" s="96" t="n">
        <x:f>0.8+(1-'单币测算'!$D$10)*0.19999999999999996</x:f>
        <x:v>1</x:v>
      </x:c>
      <x:c r="M8" s="93" t="n">
        <x:f>J8*(1+0.01+'单币测算'!$D$10)</x:f>
        <x:v>90.17857142528192</x:v>
      </x:c>
      <x:c r="N8" s="93" t="n">
        <x:f>IF('单币测算'!$D$9+1%&lt;L8,MAX(0,('单币测算'!$D$9+1%-0.8)*1000000000)/(1-'单币测算'!$D$10),"")</x:f>
        <x:v>109999999.99999999</x:v>
      </x:c>
      <x:c r="O8" s="93" t="n">
        <x:f>IF(N8="","",199999999.99999997-N8)</x:f>
        <x:v>89999999.99999999</x:v>
      </x:c>
      <x:c r="P8" s="93" t="n">
        <x:f>IF(O8="","",K8/O8)</x:f>
        <x:v>198.41269840546076</x:v>
      </x:c>
      <x:c r="Q8" s="93" t="n">
        <x:f>IF(P8="","",(P8-J8)*(1+0.0025))</x:f>
        <x:v>109.39980158331092</x:v>
      </x:c>
      <x:c r="R8" s="93" t="n">
        <x:f>IF(Q8="","",M8+Q8)</x:f>
        <x:v>199.57837300859285</x:v>
      </x:c>
      <x:c r="S8" s="93" t="n">
        <x:f>IF(P8="","",P8/O8*1000000000)</x:f>
        <x:v>2204.5855378384535</x:v>
      </x:c>
      <x:c r="T8" s="67" t="n">
        <x:f>0.005+'单币测算'!$D$10+'单币测算'!$D$11</x:f>
        <x:v>0.005</x:v>
      </x:c>
      <x:c r="U8" s="93" t="n">
        <x:f>IF(S8="","",S8*T8)</x:f>
        <x:v>11.022927689192269</x:v>
      </x:c>
      <x:c r="V8" s="93" t="n">
        <x:f>'单币测算'!$D$17</x:f>
        <x:v>0</x:v>
      </x:c>
      <x:c r="W8" s="102" t="n">
        <x:f>IF(R8="","",SUM(R8,M8*MAX(0,'单币测算'!$D$12-1),U8,V8))</x:f>
        <x:v>300.77987212306704</x:v>
      </x:c>
      <x:c r="X8" s="93" t="n">
        <x:f>(MAX(0,'单币测算'!$D$13)*MAX(0,'单币测算'!$D$12)+MAX(0,'单币测算'!$D$14)+MAX(0,'单币测算'!$D$15))*MAX(0,'单币测算'!$D$16)</x:f>
        <x:v>1.22</x:v>
      </x:c>
      <x:c r="Y8" s="24" t="str">
        <x:f>IF('单币测算'!$D$9+1%&gt;=L8,"不可达","可达")</x:f>
        <x:v>可达</x:v>
      </x:c>
    </x:row>
    <x:row r="9" ht="20" customHeight="1">
      <x:c r="C9" s="32" t="str">
        <x:v>SKHYB</x:v>
      </x:c>
      <x:c r="D9" s="32" t="str">
        <x:v>SK Hynix</x:v>
      </x:c>
      <x:c r="E9" s="32" t="str">
        <x:v>股票 / ETF RWA</x:v>
      </x:c>
      <x:c r="F9" s="32" t="n">
        <x:v>18</x:v>
      </x:c>
      <x:c r="G9" s="94" t="n">
        <x:v>24.38502698</x:v>
      </x:c>
      <x:c r="H9" s="94" t="n">
        <x:v>107036751</x:v>
      </x:c>
      <x:c r="I9" s="94" t="n">
        <x:v>26995121040.98654</x:v>
      </x:c>
      <x:c r="J9" s="94" t="n">
        <x:v>63.536438294320014</x:v>
      </x:c>
      <x:c r="K9" s="94" t="n">
        <x:v>12707287658.864</x:v>
      </x:c>
      <x:c r="L9" s="97" t="n">
        <x:f>0.8+(1-'单币测算'!$D$10)*0.19999999999999996</x:f>
        <x:v>1</x:v>
      </x:c>
      <x:c r="M9" s="68" t="n">
        <x:f>J9*(1+0.01+'单币测算'!$D$10)</x:f>
        <x:v>64.17180267726322</x:v>
      </x:c>
      <x:c r="N9" s="68" t="n">
        <x:f>IF('单币测算'!$D$9+1%&lt;L9,MAX(0,('单币测算'!$D$9+1%-0.8)*1000000000)/(1-'单币测算'!$D$10),"")</x:f>
        <x:v>109999999.99999999</x:v>
      </x:c>
      <x:c r="O9" s="68" t="n">
        <x:f>IF(N9="","",199999999.99999997-N9)</x:f>
        <x:v>89999999.99999999</x:v>
      </x:c>
      <x:c r="P9" s="68" t="n">
        <x:f>IF(O9="","",K9/O9)</x:f>
        <x:v>141.19208509848892</x:v>
      </x:c>
      <x:c r="Q9" s="68" t="n">
        <x:f>IF(P9="","",(P9-J9)*(1+0.0025))</x:f>
        <x:v>77.84978592117932</x:v>
      </x:c>
      <x:c r="R9" s="68" t="n">
        <x:f>IF(Q9="","",M9+Q9)</x:f>
        <x:v>142.02158859844252</x:v>
      </x:c>
      <x:c r="S9" s="68" t="n">
        <x:f>IF(P9="","",P9/O9*1000000000)</x:f>
        <x:v>1568.800945538766</x:v>
      </x:c>
      <x:c r="T9" s="69" t="n">
        <x:f>0.005+'单币测算'!$D$10+'单币测算'!$D$11</x:f>
        <x:v>0.005</x:v>
      </x:c>
      <x:c r="U9" s="68" t="n">
        <x:f>IF(S9="","",S9*T9)</x:f>
        <x:v>7.84400472769383</x:v>
      </x:c>
      <x:c r="V9" s="68" t="n">
        <x:f>'单币测算'!$D$17</x:f>
        <x:v>0</x:v>
      </x:c>
      <x:c r="W9" s="103" t="n">
        <x:f>IF(R9="","",SUM(R9,M9*MAX(0,'单币测算'!$D$12-1),U9,V9))</x:f>
        <x:v>214.03739600339955</x:v>
      </x:c>
      <x:c r="X9" s="68" t="n">
        <x:f>(MAX(0,'单币测算'!$D$13)*MAX(0,'单币测算'!$D$12)+MAX(0,'单币测算'!$D$14)+MAX(0,'单币测算'!$D$15))*MAX(0,'单币测算'!$D$16)</x:f>
        <x:v>1.22</x:v>
      </x:c>
      <x:c r="Y9" s="25" t="str">
        <x:f>IF('单币测算'!$D$9+1%&gt;=L9,"不可达","可达")</x:f>
        <x:v>可达</x:v>
      </x:c>
    </x:row>
    <x:row r="10" ht="20" customHeight="1">
      <x:c r="C10" s="32" t="str">
        <x:v>SPYB</x:v>
      </x:c>
      <x:c r="D10" s="32" t="str">
        <x:v>SPY</x:v>
      </x:c>
      <x:c r="E10" s="32" t="str">
        <x:v>股票 / ETF RWA</x:v>
      </x:c>
      <x:c r="F10" s="32" t="n">
        <x:v>18</x:v>
      </x:c>
      <x:c r="G10" s="94" t="n">
        <x:v>5.13783051</x:v>
      </x:c>
      <x:c r="H10" s="94" t="n">
        <x:v>107036751</x:v>
      </x:c>
      <x:c r="I10" s="94" t="n">
        <x:v>5687767194.979073</x:v>
      </x:c>
      <x:c r="J10" s="94" t="n">
        <x:v>13.386880868863805</x:v>
      </x:c>
      <x:c r="K10" s="94" t="n">
        <x:v>2677376173.772761</x:v>
      </x:c>
      <x:c r="L10" s="97" t="n">
        <x:f>0.8+(1-'单币测算'!$D$10)*0.19999999999999996</x:f>
        <x:v>1</x:v>
      </x:c>
      <x:c r="M10" s="68" t="n">
        <x:f>J10*(1+0.01+'单币测算'!$D$10)</x:f>
        <x:v>13.520749677552443</x:v>
      </x:c>
      <x:c r="N10" s="68" t="n">
        <x:f>IF('单币测算'!$D$9+1%&lt;L10,MAX(0,('单币测算'!$D$9+1%-0.8)*1000000000)/(1-'单币测算'!$D$10),"")</x:f>
        <x:v>109999999.99999999</x:v>
      </x:c>
      <x:c r="O10" s="68" t="n">
        <x:f>IF(N10="","",199999999.99999997-N10)</x:f>
        <x:v>89999999.99999999</x:v>
      </x:c>
      <x:c r="P10" s="68" t="n">
        <x:f>IF(O10="","",K10/O10)</x:f>
        <x:v>29.748624153030683</x:v>
      </x:c>
      <x:c r="Q10" s="68" t="n">
        <x:f>IF(P10="","",(P10-J10)*(1+0.0025))</x:f>
        <x:v>16.402647642377293</x:v>
      </x:c>
      <x:c r="R10" s="68" t="n">
        <x:f>IF(Q10="","",M10+Q10)</x:f>
        <x:v>29.923397319929734</x:v>
      </x:c>
      <x:c r="S10" s="68" t="n">
        <x:f>IF(P10="","",P10/O10*1000000000)</x:f>
        <x:v>330.5402683670076</x:v>
      </x:c>
      <x:c r="T10" s="69" t="n">
        <x:f>0.005+'单币测算'!$D$10+'单币测算'!$D$11</x:f>
        <x:v>0.005</x:v>
      </x:c>
      <x:c r="U10" s="68" t="n">
        <x:f>IF(S10="","",S10*T10)</x:f>
        <x:v>1.6527013418350383</x:v>
      </x:c>
      <x:c r="V10" s="68" t="n">
        <x:f>'单币测算'!$D$17</x:f>
        <x:v>0</x:v>
      </x:c>
      <x:c r="W10" s="103" t="n">
        <x:f>IF(R10="","",SUM(R10,M10*MAX(0,'单币测算'!$D$12-1),U10,V10))</x:f>
        <x:v>45.09684833931722</x:v>
      </x:c>
      <x:c r="X10" s="68" t="n">
        <x:f>(MAX(0,'单币测算'!$D$13)*MAX(0,'单币测算'!$D$12)+MAX(0,'单币测算'!$D$14)+MAX(0,'单币测算'!$D$15))*MAX(0,'单币测算'!$D$16)</x:f>
        <x:v>1.22</x:v>
      </x:c>
      <x:c r="Y10" s="25" t="str">
        <x:f>IF('单币测算'!$D$9+1%&gt;=L10,"不可达","可达")</x:f>
        <x:v>可达</x:v>
      </x:c>
    </x:row>
    <x:row r="11" ht="20" customHeight="1">
      <x:c r="C11" s="32" t="str">
        <x:v>XAUT</x:v>
      </x:c>
      <x:c r="D11" s="32" t="str">
        <x:v>Tether Gold</x:v>
      </x:c>
      <x:c r="E11" s="32" t="str">
        <x:v>黄金 RWA</x:v>
      </x:c>
      <x:c r="F11" s="32" t="n">
        <x:v>6</x:v>
      </x:c>
      <x:c r="G11" s="94" t="n">
        <x:v>0.94232929</x:v>
      </x:c>
      <x:c r="H11" s="94" t="n">
        <x:v>107036751</x:v>
      </x:c>
      <x:c r="I11" s="94" t="n">
        <x:v>1043193155.5737368</x:v>
      </x:c>
      <x:c r="J11" s="94" t="n">
        <x:v>2.4552872890450823</x:v>
      </x:c>
      <x:c r="K11" s="94" t="n">
        <x:v>491057457.8090164</x:v>
      </x:c>
      <x:c r="L11" s="97" t="n">
        <x:f>0.8+(1-'单币测算'!$D$10)*0.19999999999999996</x:f>
        <x:v>1</x:v>
      </x:c>
      <x:c r="M11" s="68" t="n">
        <x:f>J11*(1+0.01+'单币测算'!$D$10)</x:f>
        <x:v>2.4798401619355332</x:v>
      </x:c>
      <x:c r="N11" s="68" t="n">
        <x:f>IF('单币测算'!$D$9+1%&lt;L11,MAX(0,('单币测算'!$D$9+1%-0.8)*1000000000)/(1-'单币测算'!$D$10),"")</x:f>
        <x:v>109999999.99999999</x:v>
      </x:c>
      <x:c r="O11" s="68" t="n">
        <x:f>IF(N11="","",199999999.99999997-N11)</x:f>
        <x:v>89999999.99999999</x:v>
      </x:c>
      <x:c r="P11" s="68" t="n">
        <x:f>IF(O11="","",K11/O11)</x:f>
        <x:v>5.456193975655739</x:v>
      </x:c>
      <x:c r="Q11" s="68" t="n">
        <x:f>IF(P11="","",(P11-J11)*(1+0.0025))</x:f>
        <x:v>3.008408953327183</x:v>
      </x:c>
      <x:c r="R11" s="68" t="n">
        <x:f>IF(Q11="","",M11+Q11)</x:f>
        <x:v>5.488249115262716</x:v>
      </x:c>
      <x:c r="S11" s="68" t="n">
        <x:f>IF(P11="","",P11/O11*1000000000)</x:f>
        <x:v>60.624377507286</x:v>
      </x:c>
      <x:c r="T11" s="69" t="n">
        <x:f>0.005+'单币测算'!$D$10+'单币测算'!$D$11</x:f>
        <x:v>0.005</x:v>
      </x:c>
      <x:c r="U11" s="68" t="n">
        <x:f>IF(S11="","",S11*T11)</x:f>
        <x:v>0.30312188753643</x:v>
      </x:c>
      <x:c r="V11" s="68" t="n">
        <x:f>'单币测算'!$D$17</x:f>
        <x:v>0</x:v>
      </x:c>
      <x:c r="W11" s="103" t="n">
        <x:f>IF(R11="","",SUM(R11,M11*MAX(0,'单币测算'!$D$12-1),U11,V11))</x:f>
        <x:v>8.271211164734678</x:v>
      </x:c>
      <x:c r="X11" s="68" t="n">
        <x:f>(MAX(0,'单币测算'!$D$13)*MAX(0,'单币测算'!$D$12)+MAX(0,'单币测算'!$D$14)+MAX(0,'单币测算'!$D$15))*MAX(0,'单币测算'!$D$16)</x:f>
        <x:v>1.22</x:v>
      </x:c>
      <x:c r="Y11" s="25" t="str">
        <x:f>IF('单币测算'!$D$9+1%&gt;=L11,"不可达","可达")</x:f>
        <x:v>可达</x:v>
      </x:c>
    </x:row>
    <x:row r="12" ht="20" customHeight="1">
      <x:c r="C12" s="32" t="str">
        <x:v>QQQB</x:v>
      </x:c>
      <x:c r="D12" s="32" t="str">
        <x:v>Invesco QQQ Trust</x:v>
      </x:c>
      <x:c r="E12" s="32" t="str">
        <x:v>股票 / ETF RWA</x:v>
      </x:c>
      <x:c r="F12" s="32" t="n">
        <x:v>18</x:v>
      </x:c>
      <x:c r="G12" s="94" t="n">
        <x:v>5.68592593</x:v>
      </x:c>
      <x:c r="H12" s="94" t="n">
        <x:v>107036751</x:v>
      </x:c>
      <x:c r="I12" s="94" t="n">
        <x:v>6294528967.973853</x:v>
      </x:c>
      <x:c r="J12" s="94" t="n">
        <x:v>14.814971592765453</x:v>
      </x:c>
      <x:c r="K12" s="94" t="n">
        <x:v>2962994318.55309</x:v>
      </x:c>
      <x:c r="L12" s="97" t="n">
        <x:f>0.8+(1-'单币测算'!$D$10)*0.19999999999999996</x:f>
        <x:v>1</x:v>
      </x:c>
      <x:c r="M12" s="68" t="n">
        <x:f>J12*(1+0.01+'单币测算'!$D$10)</x:f>
        <x:v>14.963121308693108</x:v>
      </x:c>
      <x:c r="N12" s="68" t="n">
        <x:f>IF('单币测算'!$D$9+1%&lt;L12,MAX(0,('单币测算'!$D$9+1%-0.8)*1000000000)/(1-'单币测算'!$D$10),"")</x:f>
        <x:v>109999999.99999999</x:v>
      </x:c>
      <x:c r="O12" s="68" t="n">
        <x:f>IF(N12="","",199999999.99999997-N12)</x:f>
        <x:v>89999999.99999999</x:v>
      </x:c>
      <x:c r="P12" s="68" t="n">
        <x:f>IF(O12="","",K12/O12)</x:f>
        <x:v>32.92215909503434</x:v>
      </x:c>
      <x:c r="Q12" s="68" t="n">
        <x:f>IF(P12="","",(P12-J12)*(1+0.0025))</x:f>
        <x:v>18.152455471024556</x:v>
      </x:c>
      <x:c r="R12" s="68" t="n">
        <x:f>IF(Q12="","",M12+Q12)</x:f>
        <x:v>33.115576779717664</x:v>
      </x:c>
      <x:c r="S12" s="68" t="n">
        <x:f>IF(P12="","",P12/O12*1000000000)</x:f>
        <x:v>365.8017677226038</x:v>
      </x:c>
      <x:c r="T12" s="69" t="n">
        <x:f>0.005+'单币测算'!$D$10+'单币测算'!$D$11</x:f>
        <x:v>0.005</x:v>
      </x:c>
      <x:c r="U12" s="68" t="n">
        <x:f>IF(S12="","",S12*T12)</x:f>
        <x:v>1.829008838613019</x:v>
      </x:c>
      <x:c r="V12" s="68" t="n">
        <x:f>'单币测算'!$D$17</x:f>
        <x:v>0</x:v>
      </x:c>
      <x:c r="W12" s="103" t="n">
        <x:f>IF(R12="","",SUM(R12,M12*MAX(0,'单币测算'!$D$12-1),U12,V12))</x:f>
        <x:v>49.907706927023796</x:v>
      </x:c>
      <x:c r="X12" s="68" t="n">
        <x:f>(MAX(0,'单币测算'!$D$13)*MAX(0,'单币测算'!$D$12)+MAX(0,'单币测算'!$D$14)+MAX(0,'单币测算'!$D$15))*MAX(0,'单币测算'!$D$16)</x:f>
        <x:v>1.22</x:v>
      </x:c>
      <x:c r="Y12" s="25" t="str">
        <x:f>IF('单币测算'!$D$9+1%&gt;=L12,"不可达","可达")</x:f>
        <x:v>可达</x:v>
      </x:c>
    </x:row>
    <x:row r="13" ht="20" customHeight="1">
      <x:c r="C13" s="32" t="str">
        <x:v>NVDAB</x:v>
      </x:c>
      <x:c r="D13" s="32" t="str">
        <x:v>NVIDIA Corp</x:v>
      </x:c>
      <x:c r="E13" s="32" t="str">
        <x:v>股票 / ETF RWA</x:v>
      </x:c>
      <x:c r="F13" s="32" t="n">
        <x:v>18</x:v>
      </x:c>
      <x:c r="G13" s="94" t="n">
        <x:v>17.36633207</x:v>
      </x:c>
      <x:c r="H13" s="94" t="n">
        <x:v>107036751</x:v>
      </x:c>
      <x:c r="I13" s="94" t="n">
        <x:v>19225167831.559906</x:v>
      </x:c>
      <x:c r="J13" s="94" t="n">
        <x:v>45.24886877792685</x:v>
      </x:c>
      <x:c r="K13" s="94" t="n">
        <x:v>9049773755.58537</x:v>
      </x:c>
      <x:c r="L13" s="97" t="n">
        <x:f>0.8+(1-'单币测算'!$D$10)*0.19999999999999996</x:f>
        <x:v>1</x:v>
      </x:c>
      <x:c r="M13" s="68" t="n">
        <x:f>J13*(1+0.01+'单币测算'!$D$10)</x:f>
        <x:v>45.701357465706124</x:v>
      </x:c>
      <x:c r="N13" s="68" t="n">
        <x:f>IF('单币测算'!$D$9+1%&lt;L13,MAX(0,('单币测算'!$D$9+1%-0.8)*1000000000)/(1-'单币测算'!$D$10),"")</x:f>
        <x:v>109999999.99999999</x:v>
      </x:c>
      <x:c r="O13" s="68" t="n">
        <x:f>IF(N13="","",199999999.99999997-N13)</x:f>
        <x:v>89999999.99999999</x:v>
      </x:c>
      <x:c r="P13" s="68" t="n">
        <x:f>IF(O13="","",K13/O13)</x:f>
        <x:v>100.55304172872634</x:v>
      </x:c>
      <x:c r="Q13" s="68" t="n">
        <x:f>IF(P13="","",(P13-J13)*(1+0.0025))</x:f>
        <x:v>55.442433383176486</x:v>
      </x:c>
      <x:c r="R13" s="68" t="n">
        <x:f>IF(Q13="","",M13+Q13)</x:f>
        <x:v>101.14379084888262</x:v>
      </x:c>
      <x:c r="S13" s="68" t="n">
        <x:f>IF(P13="","",P13/O13*1000000000)</x:f>
        <x:v>1117.2560192080705</x:v>
      </x:c>
      <x:c r="T13" s="69" t="n">
        <x:f>0.005+'单币测算'!$D$10+'单币测算'!$D$11</x:f>
        <x:v>0.005</x:v>
      </x:c>
      <x:c r="U13" s="68" t="n">
        <x:f>IF(S13="","",S13*T13)</x:f>
        <x:v>5.586280096040353</x:v>
      </x:c>
      <x:c r="V13" s="68" t="n">
        <x:f>'单币测算'!$D$17</x:f>
        <x:v>0</x:v>
      </x:c>
      <x:c r="W13" s="103" t="n">
        <x:f>IF(R13="","",SUM(R13,M13*MAX(0,'单币测算'!$D$12-1),U13,V13))</x:f>
        <x:v>152.4314284106291</x:v>
      </x:c>
      <x:c r="X13" s="68" t="n">
        <x:f>(MAX(0,'单币测算'!$D$13)*MAX(0,'单币测算'!$D$12)+MAX(0,'单币测算'!$D$14)+MAX(0,'单币测算'!$D$15))*MAX(0,'单币测算'!$D$16)</x:f>
        <x:v>1.22</x:v>
      </x:c>
      <x:c r="Y13" s="25" t="str">
        <x:f>IF('单币测算'!$D$9+1%&gt;=L13,"不可达","可达")</x:f>
        <x:v>可达</x:v>
      </x:c>
    </x:row>
    <x:row r="14" ht="20" customHeight="1">
      <x:c r="C14" s="32" t="str">
        <x:v>AAPLB</x:v>
      </x:c>
      <x:c r="D14" s="32" t="str">
        <x:v>Apple</x:v>
      </x:c>
      <x:c r="E14" s="32" t="str">
        <x:v>股票 / ETF RWA</x:v>
      </x:c>
      <x:c r="F14" s="32" t="n">
        <x:v>18</x:v>
      </x:c>
      <x:c r="G14" s="94" t="n">
        <x:v>11.63030303</x:v>
      </x:c>
      <x:c r="H14" s="94" t="n">
        <x:v>107036751</x:v>
      </x:c>
      <x:c r="I14" s="94" t="n">
        <x:v>12875172879.476656</x:v>
      </x:c>
      <x:c r="J14" s="94" t="n">
        <x:v>30.303350962699575</x:v>
      </x:c>
      <x:c r="K14" s="94" t="n">
        <x:v>6060670192.539914</x:v>
      </x:c>
      <x:c r="L14" s="97" t="n">
        <x:f>0.8+(1-'单币测算'!$D$10)*0.19999999999999996</x:f>
        <x:v>1</x:v>
      </x:c>
      <x:c r="M14" s="68" t="n">
        <x:f>J14*(1+0.01+'单币测算'!$D$10)</x:f>
        <x:v>30.60638447232657</x:v>
      </x:c>
      <x:c r="N14" s="68" t="n">
        <x:f>IF('单币测算'!$D$9+1%&lt;L14,MAX(0,('单币测算'!$D$9+1%-0.8)*1000000000)/(1-'单币测算'!$D$10),"")</x:f>
        <x:v>109999999.99999999</x:v>
      </x:c>
      <x:c r="O14" s="68" t="n">
        <x:f>IF(N14="","",199999999.99999997-N14)</x:f>
        <x:v>89999999.99999999</x:v>
      </x:c>
      <x:c r="P14" s="68" t="n">
        <x:f>IF(O14="","",K14/O14)</x:f>
        <x:v>67.34077991711017</x:v>
      </x:c>
      <x:c r="Q14" s="68" t="n">
        <x:f>IF(P14="","",(P14-J14)*(1+0.0025))</x:f>
        <x:v>37.130022526796616</x:v>
      </x:c>
      <x:c r="R14" s="68" t="n">
        <x:f>IF(Q14="","",M14+Q14)</x:f>
        <x:v>67.73640699912319</x:v>
      </x:c>
      <x:c r="S14" s="68" t="n">
        <x:f>IF(P14="","",P14/O14*1000000000)</x:f>
        <x:v>748.2308879678909</x:v>
      </x:c>
      <x:c r="T14" s="69" t="n">
        <x:f>0.005+'单币测算'!$D$10+'单币测算'!$D$11</x:f>
        <x:v>0.005</x:v>
      </x:c>
      <x:c r="U14" s="68" t="n">
        <x:f>IF(S14="","",S14*T14)</x:f>
        <x:v>3.7411544398394545</x:v>
      </x:c>
      <x:c r="V14" s="68" t="n">
        <x:f>'单币测算'!$D$17</x:f>
        <x:v>0</x:v>
      </x:c>
      <x:c r="W14" s="103" t="n">
        <x:f>IF(R14="","",SUM(R14,M14*MAX(0,'单币测算'!$D$12-1),U14,V14))</x:f>
        <x:v>102.0839459112892</x:v>
      </x:c>
      <x:c r="X14" s="68" t="n">
        <x:f>(MAX(0,'单币测算'!$D$13)*MAX(0,'单币测算'!$D$12)+MAX(0,'单币测算'!$D$14)+MAX(0,'单币测算'!$D$15))*MAX(0,'单币测算'!$D$16)</x:f>
        <x:v>1.22</x:v>
      </x:c>
      <x:c r="Y14" s="25" t="str">
        <x:f>IF('单币测算'!$D$9+1%&gt;=L14,"不可达","可达")</x:f>
        <x:v>可达</x:v>
      </x:c>
    </x:row>
    <x:row r="15" ht="20" customHeight="1">
      <x:c r="C15" s="32" t="str">
        <x:v>TSLAB</x:v>
      </x:c>
      <x:c r="D15" s="32" t="str">
        <x:v>Tesla</x:v>
      </x:c>
      <x:c r="E15" s="32" t="str">
        <x:v>股票 / ETF RWA</x:v>
      </x:c>
      <x:c r="F15" s="32" t="n">
        <x:v>18</x:v>
      </x:c>
      <x:c r="G15" s="94" t="n">
        <x:v>12.79</x:v>
      </x:c>
      <x:c r="H15" s="94" t="n">
        <x:v>107036751</x:v>
      </x:c>
      <x:c r="I15" s="94" t="n">
        <x:v>14159000045.29</x:v>
      </x:c>
      <x:c r="J15" s="94" t="n">
        <x:v>33.32500088890011</x:v>
      </x:c>
      <x:c r="K15" s="94" t="n">
        <x:v>6665000177.780021</x:v>
      </x:c>
      <x:c r="L15" s="97" t="n">
        <x:f>0.8+(1-'单币测算'!$D$10)*0.19999999999999996</x:f>
        <x:v>1</x:v>
      </x:c>
      <x:c r="M15" s="68" t="n">
        <x:f>J15*(1+0.01+'单币测算'!$D$10)</x:f>
        <x:v>33.65825089778911</x:v>
      </x:c>
      <x:c r="N15" s="68" t="n">
        <x:f>IF('单币测算'!$D$9+1%&lt;L15,MAX(0,('单币测算'!$D$9+1%-0.8)*1000000000)/(1-'单币测算'!$D$10),"")</x:f>
        <x:v>109999999.99999999</x:v>
      </x:c>
      <x:c r="O15" s="68" t="n">
        <x:f>IF(N15="","",199999999.99999997-N15)</x:f>
        <x:v>89999999.99999999</x:v>
      </x:c>
      <x:c r="P15" s="68" t="n">
        <x:f>IF(O15="","",K15/O15)</x:f>
        <x:v>74.05555753088913</x:v>
      </x:c>
      <x:c r="Q15" s="68" t="n">
        <x:f>IF(P15="","",(P15-J15)*(1+0.0025))</x:f>
        <x:v>40.832383033594</x:v>
      </x:c>
      <x:c r="R15" s="68" t="n">
        <x:f>IF(Q15="","",M15+Q15)</x:f>
        <x:v>74.49063393138312</x:v>
      </x:c>
      <x:c r="S15" s="68" t="n">
        <x:f>IF(P15="","",P15/O15*1000000000)</x:f>
        <x:v>822.8395281209905</x:v>
      </x:c>
      <x:c r="T15" s="69" t="n">
        <x:f>0.005+'单币测算'!$D$10+'单币测算'!$D$11</x:f>
        <x:v>0.005</x:v>
      </x:c>
      <x:c r="U15" s="68" t="n">
        <x:f>IF(S15="","",S15*T15)</x:f>
        <x:v>4.114197640604953</x:v>
      </x:c>
      <x:c r="V15" s="68" t="n">
        <x:f>'单币测算'!$D$17</x:f>
        <x:v>0</x:v>
      </x:c>
      <x:c r="W15" s="103" t="n">
        <x:f>IF(R15="","",SUM(R15,M15*MAX(0,'单币测算'!$D$12-1),U15,V15))</x:f>
        <x:v>112.26308246977719</x:v>
      </x:c>
      <x:c r="X15" s="68" t="n">
        <x:f>(MAX(0,'单币测算'!$D$13)*MAX(0,'单币测算'!$D$12)+MAX(0,'单币测算'!$D$14)+MAX(0,'单币测算'!$D$15))*MAX(0,'单币测算'!$D$16)</x:f>
        <x:v>1.22</x:v>
      </x:c>
      <x:c r="Y15" s="25" t="str">
        <x:f>IF('单币测算'!$D$9+1%&gt;=L15,"不可达","可达")</x:f>
        <x:v>可达</x:v>
      </x:c>
    </x:row>
    <x:row r="16" ht="20" customHeight="1">
      <x:c r="C16" s="32" t="str">
        <x:v>MSFTB</x:v>
      </x:c>
      <x:c r="D16" s="32" t="str">
        <x:v>Microsoft</x:v>
      </x:c>
      <x:c r="E16" s="32" t="str">
        <x:v>股票 / ETF RWA</x:v>
      </x:c>
      <x:c r="F16" s="32" t="n">
        <x:v>18</x:v>
      </x:c>
      <x:c r="G16" s="94" t="n">
        <x:v>8.52666667</x:v>
      </x:c>
      <x:c r="H16" s="94" t="n">
        <x:v>107036751</x:v>
      </x:c>
      <x:c r="I16" s="94" t="n">
        <x:v>9439333367.21679</x:v>
      </x:c>
      <x:c r="J16" s="94" t="n">
        <x:v>22.216667267951905</x:v>
      </x:c>
      <x:c r="K16" s="94" t="n">
        <x:v>4443333453.590381</x:v>
      </x:c>
      <x:c r="L16" s="97" t="n">
        <x:f>0.8+(1-'单币测算'!$D$10)*0.19999999999999996</x:f>
        <x:v>1</x:v>
      </x:c>
      <x:c r="M16" s="68" t="n">
        <x:f>J16*(1+0.01+'单币测算'!$D$10)</x:f>
        <x:v>22.438833940631426</x:v>
      </x:c>
      <x:c r="N16" s="68" t="n">
        <x:f>IF('单币测算'!$D$9+1%&lt;L16,MAX(0,('单币测算'!$D$9+1%-0.8)*1000000000)/(1-'单币测算'!$D$10),"")</x:f>
        <x:v>109999999.99999999</x:v>
      </x:c>
      <x:c r="O16" s="68" t="n">
        <x:f>IF(N16="","",199999999.99999997-N16)</x:f>
        <x:v>89999999.99999999</x:v>
      </x:c>
      <x:c r="P16" s="68" t="n">
        <x:f>IF(O16="","",K16/O16)</x:f>
        <x:v>49.370371706559794</x:v>
      </x:c>
      <x:c r="Q16" s="68" t="n">
        <x:f>IF(P16="","",(P16-J16)*(1+0.0025))</x:f>
        <x:v>27.22158869970441</x:v>
      </x:c>
      <x:c r="R16" s="68" t="n">
        <x:f>IF(Q16="","",M16+Q16)</x:f>
        <x:v>49.66042264033584</x:v>
      </x:c>
      <x:c r="S16" s="68" t="n">
        <x:f>IF(P16="","",P16/O16*1000000000)</x:f>
        <x:v>548.5596856284423</x:v>
      </x:c>
      <x:c r="T16" s="69" t="n">
        <x:f>0.005+'单币测算'!$D$10+'单币测算'!$D$11</x:f>
        <x:v>0.005</x:v>
      </x:c>
      <x:c r="U16" s="68" t="n">
        <x:f>IF(S16="","",S16*T16)</x:f>
        <x:v>2.7427984281422115</x:v>
      </x:c>
      <x:c r="V16" s="68" t="n">
        <x:f>'单币测算'!$D$17</x:f>
        <x:v>0</x:v>
      </x:c>
      <x:c r="W16" s="103" t="n">
        <x:f>IF(R16="","",SUM(R16,M16*MAX(0,'单币测算'!$D$12-1),U16,V16))</x:f>
        <x:v>74.84205500910947</x:v>
      </x:c>
      <x:c r="X16" s="68" t="n">
        <x:f>(MAX(0,'单币测算'!$D$13)*MAX(0,'单币测算'!$D$12)+MAX(0,'单币测算'!$D$14)+MAX(0,'单币测算'!$D$15))*MAX(0,'单币测算'!$D$16)</x:f>
        <x:v>1.22</x:v>
      </x:c>
      <x:c r="Y16" s="25" t="str">
        <x:f>IF('单币测算'!$D$9+1%&gt;=L16,"不可达","可达")</x:f>
        <x:v>可达</x:v>
      </x:c>
    </x:row>
    <x:row r="17" ht="20" customHeight="1">
      <x:c r="C17" s="32" t="str">
        <x:v>GOOGLB</x:v>
      </x:c>
      <x:c r="D17" s="32" t="str">
        <x:v>Alphabet</x:v>
      </x:c>
      <x:c r="E17" s="32" t="str">
        <x:v>股票 / ETF RWA</x:v>
      </x:c>
      <x:c r="F17" s="32" t="n">
        <x:v>18</x:v>
      </x:c>
      <x:c r="G17" s="94" t="n">
        <x:v>11.63030303</x:v>
      </x:c>
      <x:c r="H17" s="94" t="n">
        <x:v>107036751</x:v>
      </x:c>
      <x:c r="I17" s="94" t="n">
        <x:v>12875172879.476656</x:v>
      </x:c>
      <x:c r="J17" s="94" t="n">
        <x:v>30.303350962699575</x:v>
      </x:c>
      <x:c r="K17" s="94" t="n">
        <x:v>6060670192.539914</x:v>
      </x:c>
      <x:c r="L17" s="97" t="n">
        <x:f>0.8+(1-'单币测算'!$D$10)*0.19999999999999996</x:f>
        <x:v>1</x:v>
      </x:c>
      <x:c r="M17" s="68" t="n">
        <x:f>J17*(1+0.01+'单币测算'!$D$10)</x:f>
        <x:v>30.60638447232657</x:v>
      </x:c>
      <x:c r="N17" s="68" t="n">
        <x:f>IF('单币测算'!$D$9+1%&lt;L17,MAX(0,('单币测算'!$D$9+1%-0.8)*1000000000)/(1-'单币测算'!$D$10),"")</x:f>
        <x:v>109999999.99999999</x:v>
      </x:c>
      <x:c r="O17" s="68" t="n">
        <x:f>IF(N17="","",199999999.99999997-N17)</x:f>
        <x:v>89999999.99999999</x:v>
      </x:c>
      <x:c r="P17" s="68" t="n">
        <x:f>IF(O17="","",K17/O17)</x:f>
        <x:v>67.34077991711017</x:v>
      </x:c>
      <x:c r="Q17" s="68" t="n">
        <x:f>IF(P17="","",(P17-J17)*(1+0.0025))</x:f>
        <x:v>37.130022526796616</x:v>
      </x:c>
      <x:c r="R17" s="68" t="n">
        <x:f>IF(Q17="","",M17+Q17)</x:f>
        <x:v>67.73640699912319</x:v>
      </x:c>
      <x:c r="S17" s="68" t="n">
        <x:f>IF(P17="","",P17/O17*1000000000)</x:f>
        <x:v>748.2308879678909</x:v>
      </x:c>
      <x:c r="T17" s="69" t="n">
        <x:f>0.005+'单币测算'!$D$10+'单币测算'!$D$11</x:f>
        <x:v>0.005</x:v>
      </x:c>
      <x:c r="U17" s="68" t="n">
        <x:f>IF(S17="","",S17*T17)</x:f>
        <x:v>3.7411544398394545</x:v>
      </x:c>
      <x:c r="V17" s="68" t="n">
        <x:f>'单币测算'!$D$17</x:f>
        <x:v>0</x:v>
      </x:c>
      <x:c r="W17" s="103" t="n">
        <x:f>IF(R17="","",SUM(R17,M17*MAX(0,'单币测算'!$D$12-1),U17,V17))</x:f>
        <x:v>102.0839459112892</x:v>
      </x:c>
      <x:c r="X17" s="68" t="n">
        <x:f>(MAX(0,'单币测算'!$D$13)*MAX(0,'单币测算'!$D$12)+MAX(0,'单币测算'!$D$14)+MAX(0,'单币测算'!$D$15))*MAX(0,'单币测算'!$D$16)</x:f>
        <x:v>1.22</x:v>
      </x:c>
      <x:c r="Y17" s="25" t="str">
        <x:f>IF('单币测算'!$D$9+1%&gt;=L17,"不可达","可达")</x:f>
        <x:v>可达</x:v>
      </x:c>
    </x:row>
    <x:row r="18" ht="20" customHeight="1">
      <x:c r="C18" s="32" t="str">
        <x:v>HOODB</x:v>
      </x:c>
      <x:c r="D18" s="32" t="str">
        <x:v>Robinhood</x:v>
      </x:c>
      <x:c r="E18" s="32" t="str">
        <x:v>股票 / ETF RWA</x:v>
      </x:c>
      <x:c r="F18" s="32" t="n">
        <x:v>18</x:v>
      </x:c>
      <x:c r="G18" s="94" t="n">
        <x:v>34.26749453</x:v>
      </x:c>
      <x:c r="H18" s="94" t="n">
        <x:v>107036751</x:v>
      </x:c>
      <x:c r="I18" s="94" t="n">
        <x:v>37935375809.401474</x:v>
      </x:c>
      <x:c r="J18" s="94" t="n">
        <x:v>89.28571428245735</x:v>
      </x:c>
      <x:c r="K18" s="94" t="n">
        <x:v>17857142856.491467</x:v>
      </x:c>
      <x:c r="L18" s="97" t="n">
        <x:f>0.8+(1-'单币测算'!$D$10)*0.19999999999999996</x:f>
        <x:v>1</x:v>
      </x:c>
      <x:c r="M18" s="68" t="n">
        <x:f>J18*(1+0.01+'单币测算'!$D$10)</x:f>
        <x:v>90.17857142528192</x:v>
      </x:c>
      <x:c r="N18" s="68" t="n">
        <x:f>IF('单币测算'!$D$9+1%&lt;L18,MAX(0,('单币测算'!$D$9+1%-0.8)*1000000000)/(1-'单币测算'!$D$10),"")</x:f>
        <x:v>109999999.99999999</x:v>
      </x:c>
      <x:c r="O18" s="68" t="n">
        <x:f>IF(N18="","",199999999.99999997-N18)</x:f>
        <x:v>89999999.99999999</x:v>
      </x:c>
      <x:c r="P18" s="68" t="n">
        <x:f>IF(O18="","",K18/O18)</x:f>
        <x:v>198.41269840546076</x:v>
      </x:c>
      <x:c r="Q18" s="68" t="n">
        <x:f>IF(P18="","",(P18-J18)*(1+0.0025))</x:f>
        <x:v>109.39980158331092</x:v>
      </x:c>
      <x:c r="R18" s="68" t="n">
        <x:f>IF(Q18="","",M18+Q18)</x:f>
        <x:v>199.57837300859285</x:v>
      </x:c>
      <x:c r="S18" s="68" t="n">
        <x:f>IF(P18="","",P18/O18*1000000000)</x:f>
        <x:v>2204.5855378384535</x:v>
      </x:c>
      <x:c r="T18" s="69" t="n">
        <x:f>0.005+'单币测算'!$D$10+'单币测算'!$D$11</x:f>
        <x:v>0.005</x:v>
      </x:c>
      <x:c r="U18" s="68" t="n">
        <x:f>IF(S18="","",S18*T18)</x:f>
        <x:v>11.022927689192269</x:v>
      </x:c>
      <x:c r="V18" s="68" t="n">
        <x:f>'单币测算'!$D$17</x:f>
        <x:v>0</x:v>
      </x:c>
      <x:c r="W18" s="103" t="n">
        <x:f>IF(R18="","",SUM(R18,M18*MAX(0,'单币测算'!$D$12-1),U18,V18))</x:f>
        <x:v>300.77987212306704</x:v>
      </x:c>
      <x:c r="X18" s="68" t="n">
        <x:f>(MAX(0,'单币测算'!$D$13)*MAX(0,'单币测算'!$D$12)+MAX(0,'单币测算'!$D$14)+MAX(0,'单币测算'!$D$15))*MAX(0,'单币测算'!$D$16)</x:f>
        <x:v>1.22</x:v>
      </x:c>
      <x:c r="Y18" s="25" t="str">
        <x:f>IF('单币测算'!$D$9+1%&gt;=L18,"不可达","可达")</x:f>
        <x:v>可达</x:v>
      </x:c>
    </x:row>
    <x:row r="19" ht="20" customHeight="1">
      <x:c r="C19" s="32" t="str">
        <x:v>BABAB</x:v>
      </x:c>
      <x:c r="D19" s="32" t="str">
        <x:v>Alibaba</x:v>
      </x:c>
      <x:c r="E19" s="32" t="str">
        <x:v>股票 / ETF RWA</x:v>
      </x:c>
      <x:c r="F19" s="32" t="n">
        <x:v>18</x:v>
      </x:c>
      <x:c r="G19" s="94" t="n">
        <x:v>30.696</x:v>
      </x:c>
      <x:c r="H19" s="94" t="n">
        <x:v>107036751</x:v>
      </x:c>
      <x:c r="I19" s="94" t="n">
        <x:v>33981600108.696</x:v>
      </x:c>
      <x:c r="J19" s="94" t="n">
        <x:v>79.98000213336024</x:v>
      </x:c>
      <x:c r="K19" s="94" t="n">
        <x:v>15996000426.672047</x:v>
      </x:c>
      <x:c r="L19" s="97" t="n">
        <x:f>0.8+(1-'单币测算'!$D$10)*0.19999999999999996</x:f>
        <x:v>1</x:v>
      </x:c>
      <x:c r="M19" s="68" t="n">
        <x:f>J19*(1+0.01+'单币测算'!$D$10)</x:f>
        <x:v>80.77980215469385</x:v>
      </x:c>
      <x:c r="N19" s="68" t="n">
        <x:f>IF('单币测算'!$D$9+1%&lt;L19,MAX(0,('单币测算'!$D$9+1%-0.8)*1000000000)/(1-'单币测算'!$D$10),"")</x:f>
        <x:v>109999999.99999999</x:v>
      </x:c>
      <x:c r="O19" s="68" t="n">
        <x:f>IF(N19="","",199999999.99999997-N19)</x:f>
        <x:v>89999999.99999999</x:v>
      </x:c>
      <x:c r="P19" s="68" t="n">
        <x:f>IF(O19="","",K19/O19)</x:f>
        <x:v>177.73333807413388</x:v>
      </x:c>
      <x:c r="Q19" s="68" t="n">
        <x:f>IF(P19="","",(P19-J19)*(1+0.0025))</x:f>
        <x:v>97.99771928062557</x:v>
      </x:c>
      <x:c r="R19" s="68" t="n">
        <x:f>IF(Q19="","",M19+Q19)</x:f>
        <x:v>178.77752143531944</x:v>
      </x:c>
      <x:c r="S19" s="68" t="n">
        <x:f>IF(P19="","",P19/O19*1000000000)</x:f>
        <x:v>1974.814867490377</x:v>
      </x:c>
      <x:c r="T19" s="69" t="n">
        <x:f>0.005+'单币测算'!$D$10+'单币测算'!$D$11</x:f>
        <x:v>0.005</x:v>
      </x:c>
      <x:c r="U19" s="68" t="n">
        <x:f>IF(S19="","",S19*T19)</x:f>
        <x:v>9.874074337451885</x:v>
      </x:c>
      <x:c r="V19" s="68" t="n">
        <x:f>'单币测算'!$D$17</x:f>
        <x:v>0</x:v>
      </x:c>
      <x:c r="W19" s="103" t="n">
        <x:f>IF(R19="","",SUM(R19,M19*MAX(0,'单币测算'!$D$12-1),U19,V19))</x:f>
        <x:v>269.4313979274652</x:v>
      </x:c>
      <x:c r="X19" s="68" t="n">
        <x:f>(MAX(0,'单币测算'!$D$13)*MAX(0,'单币测算'!$D$12)+MAX(0,'单币测算'!$D$14)+MAX(0,'单币测算'!$D$15))*MAX(0,'单币测算'!$D$16)</x:f>
        <x:v>1.22</x:v>
      </x:c>
      <x:c r="Y19" s="25" t="str">
        <x:f>IF('单币测算'!$D$9+1%&gt;=L19,"不可达","可达")</x:f>
        <x:v>可达</x:v>
      </x:c>
    </x:row>
    <x:row r="20" ht="20" customHeight="1">
      <x:c r="C20" s="32" t="str">
        <x:v>GMEB</x:v>
      </x:c>
      <x:c r="D20" s="32" t="str">
        <x:v>GameStop</x:v>
      </x:c>
      <x:c r="E20" s="32" t="str">
        <x:v>股票 / ETF RWA</x:v>
      </x:c>
      <x:c r="F20" s="32" t="n">
        <x:v>18</x:v>
      </x:c>
      <x:c r="G20" s="94" t="n">
        <x:v>177.68330498</x:v>
      </x:c>
      <x:c r="H20" s="94" t="n">
        <x:v>107036751</x:v>
      </x:c>
      <x:c r="I20" s="94" t="n">
        <x:v>196701948652.0013</x:v>
      </x:c>
      <x:c r="J20" s="94" t="n">
        <x:v>462.96296297116555</x:v>
      </x:c>
      <x:c r="K20" s="94" t="n">
        <x:v>92592592594.2331</x:v>
      </x:c>
      <x:c r="L20" s="97" t="n">
        <x:f>0.8+(1-'单币测算'!$D$10)*0.19999999999999996</x:f>
        <x:v>1</x:v>
      </x:c>
      <x:c r="M20" s="68" t="n">
        <x:f>J20*(1+0.01+'单币测算'!$D$10)</x:f>
        <x:v>467.5925926008772</x:v>
      </x:c>
      <x:c r="N20" s="68" t="n">
        <x:f>IF('单币测算'!$D$9+1%&lt;L20,MAX(0,('单币测算'!$D$9+1%-0.8)*1000000000)/(1-'单币测算'!$D$10),"")</x:f>
        <x:v>109999999.99999999</x:v>
      </x:c>
      <x:c r="O20" s="68" t="n">
        <x:f>IF(N20="","",199999999.99999997-N20)</x:f>
        <x:v>89999999.99999999</x:v>
      </x:c>
      <x:c r="P20" s="68" t="n">
        <x:f>IF(O20="","",K20/O20)</x:f>
        <x:v>1028.806584380368</x:v>
      </x:c>
      <x:c r="Q20" s="68" t="n">
        <x:f>IF(P20="","",(P20-J20)*(1+0.0025))</x:f>
        <x:v>567.2582304627254</x:v>
      </x:c>
      <x:c r="R20" s="68" t="n">
        <x:f>IF(Q20="","",M20+Q20)</x:f>
        <x:v>1034.8508230636025</x:v>
      </x:c>
      <x:c r="S20" s="68" t="n">
        <x:f>IF(P20="","",P20/O20*1000000000)</x:f>
        <x:v>11431.18427089298</x:v>
      </x:c>
      <x:c r="T20" s="69" t="n">
        <x:f>0.005+'单币测算'!$D$10+'单币测算'!$D$11</x:f>
        <x:v>0.005</x:v>
      </x:c>
      <x:c r="U20" s="68" t="n">
        <x:f>IF(S20="","",S20*T20)</x:f>
        <x:v>57.1559213544649</x:v>
      </x:c>
      <x:c r="V20" s="68" t="n">
        <x:f>'单币测算'!$D$17</x:f>
        <x:v>0</x:v>
      </x:c>
      <x:c r="W20" s="103" t="n">
        <x:f>IF(R20="","",SUM(R20,M20*MAX(0,'单币测算'!$D$12-1),U20,V20))</x:f>
        <x:v>1559.5993370189447</x:v>
      </x:c>
      <x:c r="X20" s="68" t="n">
        <x:f>(MAX(0,'单币测算'!$D$13)*MAX(0,'单币测算'!$D$12)+MAX(0,'单币测算'!$D$14)+MAX(0,'单币测算'!$D$15))*MAX(0,'单币测算'!$D$16)</x:f>
        <x:v>1.22</x:v>
      </x:c>
      <x:c r="Y20" s="25" t="str">
        <x:f>IF('单币测算'!$D$9+1%&gt;=L20,"不可达","可达")</x:f>
        <x:v>可达</x:v>
      </x:c>
    </x:row>
    <x:row r="21" ht="20" customHeight="1">
      <x:c r="C21" s="32" t="str">
        <x:v>NFLXB</x:v>
      </x:c>
      <x:c r="D21" s="32" t="str">
        <x:v>Netflix</x:v>
      </x:c>
      <x:c r="E21" s="32" t="str">
        <x:v>股票 / ETF RWA</x:v>
      </x:c>
      <x:c r="F21" s="32" t="n">
        <x:v>18</x:v>
      </x:c>
      <x:c r="G21" s="94" t="n">
        <x:v>51.16</x:v>
      </x:c>
      <x:c r="H21" s="94" t="n">
        <x:v>107036751</x:v>
      </x:c>
      <x:c r="I21" s="94" t="n">
        <x:v>56636000181.16</x:v>
      </x:c>
      <x:c r="J21" s="94" t="n">
        <x:v>133.30000355560043</x:v>
      </x:c>
      <x:c r="K21" s="94" t="n">
        <x:v>26660000711.120083</x:v>
      </x:c>
      <x:c r="L21" s="97" t="n">
        <x:f>0.8+(1-'单币测算'!$D$10)*0.19999999999999996</x:f>
        <x:v>1</x:v>
      </x:c>
      <x:c r="M21" s="68" t="n">
        <x:f>J21*(1+0.01+'单币测算'!$D$10)</x:f>
        <x:v>134.63300359115644</x:v>
      </x:c>
      <x:c r="N21" s="68" t="n">
        <x:f>IF('单币测算'!$D$9+1%&lt;L21,MAX(0,('单币测算'!$D$9+1%-0.8)*1000000000)/(1-'单币测算'!$D$10),"")</x:f>
        <x:v>109999999.99999999</x:v>
      </x:c>
      <x:c r="O21" s="68" t="n">
        <x:f>IF(N21="","",199999999.99999997-N21)</x:f>
        <x:v>89999999.99999999</x:v>
      </x:c>
      <x:c r="P21" s="68" t="n">
        <x:f>IF(O21="","",K21/O21)</x:f>
        <x:v>296.2222301235565</x:v>
      </x:c>
      <x:c r="Q21" s="68" t="n">
        <x:f>IF(P21="","",(P21-J21)*(1+0.0025))</x:f>
        <x:v>163.329532134376</x:v>
      </x:c>
      <x:c r="R21" s="68" t="n">
        <x:f>IF(Q21="","",M21+Q21)</x:f>
        <x:v>297.96253572553246</x:v>
      </x:c>
      <x:c r="S21" s="68" t="n">
        <x:f>IF(P21="","",P21/O21*1000000000)</x:f>
        <x:v>3291.358112483962</x:v>
      </x:c>
      <x:c r="T21" s="69" t="n">
        <x:f>0.005+'单币测算'!$D$10+'单币测算'!$D$11</x:f>
        <x:v>0.005</x:v>
      </x:c>
      <x:c r="U21" s="68" t="n">
        <x:f>IF(S21="","",S21*T21)</x:f>
        <x:v>16.456790562419812</x:v>
      </x:c>
      <x:c r="V21" s="68" t="n">
        <x:f>'单币测算'!$D$17</x:f>
        <x:v>0</x:v>
      </x:c>
      <x:c r="W21" s="103" t="n">
        <x:f>IF(R21="","",SUM(R21,M21*MAX(0,'单币测算'!$D$12-1),U21,V21))</x:f>
        <x:v>449.05232987910875</x:v>
      </x:c>
      <x:c r="X21" s="68" t="n">
        <x:f>(MAX(0,'单币测算'!$D$13)*MAX(0,'单币测算'!$D$12)+MAX(0,'单币测算'!$D$14)+MAX(0,'单币测算'!$D$15))*MAX(0,'单币测算'!$D$16)</x:f>
        <x:v>1.22</x:v>
      </x:c>
      <x:c r="Y21" s="25" t="str">
        <x:f>IF('单币测算'!$D$9+1%&gt;=L21,"不可达","可达")</x:f>
        <x:v>可达</x:v>
      </x:c>
    </x:row>
    <x:row r="22" ht="20" customHeight="1">
      <x:c r="C22" s="32" t="str">
        <x:v>MSTRB</x:v>
      </x:c>
      <x:c r="D22" s="32" t="str">
        <x:v>Strategy</x:v>
      </x:c>
      <x:c r="E22" s="32" t="str">
        <x:v>股票 / ETF RWA</x:v>
      </x:c>
      <x:c r="F22" s="32" t="n">
        <x:v>18</x:v>
      </x:c>
      <x:c r="G22" s="94" t="n">
        <x:v>34.26749453</x:v>
      </x:c>
      <x:c r="H22" s="94" t="n">
        <x:v>107036751</x:v>
      </x:c>
      <x:c r="I22" s="94" t="n">
        <x:v>37935375809.401474</x:v>
      </x:c>
      <x:c r="J22" s="94" t="n">
        <x:v>89.28571428245735</x:v>
      </x:c>
      <x:c r="K22" s="94" t="n">
        <x:v>17857142856.491467</x:v>
      </x:c>
      <x:c r="L22" s="97" t="n">
        <x:f>0.8+(1-'单币测算'!$D$10)*0.19999999999999996</x:f>
        <x:v>1</x:v>
      </x:c>
      <x:c r="M22" s="68" t="n">
        <x:f>J22*(1+0.01+'单币测算'!$D$10)</x:f>
        <x:v>90.17857142528192</x:v>
      </x:c>
      <x:c r="N22" s="68" t="n">
        <x:f>IF('单币测算'!$D$9+1%&lt;L22,MAX(0,('单币测算'!$D$9+1%-0.8)*1000000000)/(1-'单币测算'!$D$10),"")</x:f>
        <x:v>109999999.99999999</x:v>
      </x:c>
      <x:c r="O22" s="68" t="n">
        <x:f>IF(N22="","",199999999.99999997-N22)</x:f>
        <x:v>89999999.99999999</x:v>
      </x:c>
      <x:c r="P22" s="68" t="n">
        <x:f>IF(O22="","",K22/O22)</x:f>
        <x:v>198.41269840546076</x:v>
      </x:c>
      <x:c r="Q22" s="68" t="n">
        <x:f>IF(P22="","",(P22-J22)*(1+0.0025))</x:f>
        <x:v>109.39980158331092</x:v>
      </x:c>
      <x:c r="R22" s="68" t="n">
        <x:f>IF(Q22="","",M22+Q22)</x:f>
        <x:v>199.57837300859285</x:v>
      </x:c>
      <x:c r="S22" s="68" t="n">
        <x:f>IF(P22="","",P22/O22*1000000000)</x:f>
        <x:v>2204.5855378384535</x:v>
      </x:c>
      <x:c r="T22" s="69" t="n">
        <x:f>0.005+'单币测算'!$D$10+'单币测算'!$D$11</x:f>
        <x:v>0.005</x:v>
      </x:c>
      <x:c r="U22" s="68" t="n">
        <x:f>IF(S22="","",S22*T22)</x:f>
        <x:v>11.022927689192269</x:v>
      </x:c>
      <x:c r="V22" s="68" t="n">
        <x:f>'单币测算'!$D$17</x:f>
        <x:v>0</x:v>
      </x:c>
      <x:c r="W22" s="103" t="n">
        <x:f>IF(R22="","",SUM(R22,M22*MAX(0,'单币测算'!$D$12-1),U22,V22))</x:f>
        <x:v>300.77987212306704</x:v>
      </x:c>
      <x:c r="X22" s="68" t="n">
        <x:f>(MAX(0,'单币测算'!$D$13)*MAX(0,'单币测算'!$D$12)+MAX(0,'单币测算'!$D$14)+MAX(0,'单币测算'!$D$15))*MAX(0,'单币测算'!$D$16)</x:f>
        <x:v>1.22</x:v>
      </x:c>
      <x:c r="Y22" s="25" t="str">
        <x:f>IF('单币测算'!$D$9+1%&gt;=L22,"不可达","可达")</x:f>
        <x:v>可达</x:v>
      </x:c>
    </x:row>
    <x:row r="23" ht="20" customHeight="1">
      <x:c r="C23" s="32" t="str">
        <x:v>DJTB</x:v>
      </x:c>
      <x:c r="D23" s="32" t="str">
        <x:v>Trump Media &amp; Technology Group Corp</x:v>
      </x:c>
      <x:c r="E23" s="32" t="str">
        <x:v>股票 / ETF RWA</x:v>
      </x:c>
      <x:c r="F23" s="32" t="n">
        <x:v>18</x:v>
      </x:c>
      <x:c r="G23" s="94" t="n">
        <x:v>383.7</x:v>
      </x:c>
      <x:c r="H23" s="94" t="n">
        <x:v>107036751</x:v>
      </x:c>
      <x:c r="I23" s="94" t="n">
        <x:v>424770001358.7</x:v>
      </x:c>
      <x:c r="J23" s="94" t="n">
        <x:v>999.7500266670031</x:v>
      </x:c>
      <x:c r="K23" s="94" t="n">
        <x:v>199950005333.4006</x:v>
      </x:c>
      <x:c r="L23" s="97" t="n">
        <x:f>0.8+(1-'单币测算'!$D$10)*0.19999999999999996</x:f>
        <x:v>1</x:v>
      </x:c>
      <x:c r="M23" s="68" t="n">
        <x:f>J23*(1+0.01+'单币测算'!$D$10)</x:f>
        <x:v>1009.7475269336732</x:v>
      </x:c>
      <x:c r="N23" s="68" t="n">
        <x:f>IF('单币测算'!$D$9+1%&lt;L23,MAX(0,('单币测算'!$D$9+1%-0.8)*1000000000)/(1-'单币测算'!$D$10),"")</x:f>
        <x:v>109999999.99999999</x:v>
      </x:c>
      <x:c r="O23" s="68" t="n">
        <x:f>IF(N23="","",199999999.99999997-N23)</x:f>
        <x:v>89999999.99999999</x:v>
      </x:c>
      <x:c r="P23" s="68" t="n">
        <x:f>IF(O23="","",K23/O23)</x:f>
        <x:v>2221.6667259266737</x:v>
      </x:c>
      <x:c r="Q23" s="68" t="n">
        <x:f>IF(P23="","",(P23-J23)*(1+0.0025))</x:f>
        <x:v>1224.9714910078196</x:v>
      </x:c>
      <x:c r="R23" s="68" t="n">
        <x:f>IF(Q23="","",M23+Q23)</x:f>
        <x:v>2234.719017941493</x:v>
      </x:c>
      <x:c r="S23" s="68" t="n">
        <x:f>IF(P23="","",P23/O23*1000000000)</x:f>
        <x:v>24685.18584362971</x:v>
      </x:c>
      <x:c r="T23" s="69" t="n">
        <x:f>0.005+'单币测算'!$D$10+'单币测算'!$D$11</x:f>
        <x:v>0.005</x:v>
      </x:c>
      <x:c r="U23" s="68" t="n">
        <x:f>IF(S23="","",S23*T23)</x:f>
        <x:v>123.42592921814857</x:v>
      </x:c>
      <x:c r="V23" s="68" t="n">
        <x:f>'单币测算'!$D$17</x:f>
        <x:v>0</x:v>
      </x:c>
      <x:c r="W23" s="103" t="n">
        <x:f>IF(R23="","",SUM(R23,M23*MAX(0,'单币测算'!$D$12-1),U23,V23))</x:f>
        <x:v>3367.892474093315</x:v>
      </x:c>
      <x:c r="X23" s="68" t="n">
        <x:f>(MAX(0,'单币测算'!$D$13)*MAX(0,'单币测算'!$D$12)+MAX(0,'单币测算'!$D$14)+MAX(0,'单币测算'!$D$15))*MAX(0,'单币测算'!$D$16)</x:f>
        <x:v>1.22</x:v>
      </x:c>
      <x:c r="Y23" s="25" t="str">
        <x:f>IF('单币测算'!$D$9+1%&gt;=L23,"不可达","可达")</x:f>
        <x:v>可达</x:v>
      </x:c>
    </x:row>
    <x:row r="24" ht="20" customHeight="1">
      <x:c r="C24" s="32" t="str">
        <x:v>SOXSB</x:v>
      </x:c>
      <x:c r="D24" s="32" t="str">
        <x:v>Direxion Semiconductor Bear 3X ETF</x:v>
      </x:c>
      <x:c r="E24" s="32" t="str">
        <x:v>股票 / ETF RWA</x:v>
      </x:c>
      <x:c r="F24" s="32" t="n">
        <x:v>18</x:v>
      </x:c>
      <x:c r="G24" s="94" t="n">
        <x:v>76.74</x:v>
      </x:c>
      <x:c r="H24" s="94" t="n">
        <x:v>107036751</x:v>
      </x:c>
      <x:c r="I24" s="94" t="n">
        <x:v>84954000271.74</x:v>
      </x:c>
      <x:c r="J24" s="94" t="n">
        <x:v>199.9500053334006</x:v>
      </x:c>
      <x:c r="K24" s="94" t="n">
        <x:v>39990001066.680115</x:v>
      </x:c>
      <x:c r="L24" s="97" t="n">
        <x:f>0.8+(1-'单币测算'!$D$10)*0.19999999999999996</x:f>
        <x:v>1</x:v>
      </x:c>
      <x:c r="M24" s="68" t="n">
        <x:f>J24*(1+0.01+'单币测算'!$D$10)</x:f>
        <x:v>201.94950538673461</x:v>
      </x:c>
      <x:c r="N24" s="68" t="n">
        <x:f>IF('单币测算'!$D$9+1%&lt;L24,MAX(0,('单币测算'!$D$9+1%-0.8)*1000000000)/(1-'单币测算'!$D$10),"")</x:f>
        <x:v>109999999.99999999</x:v>
      </x:c>
      <x:c r="O24" s="68" t="n">
        <x:f>IF(N24="","",199999999.99999997-N24)</x:f>
        <x:v>89999999.99999999</x:v>
      </x:c>
      <x:c r="P24" s="68" t="n">
        <x:f>IF(O24="","",K24/O24)</x:f>
        <x:v>444.3333451853347</x:v>
      </x:c>
      <x:c r="Q24" s="68" t="n">
        <x:f>IF(P24="","",(P24-J24)*(1+0.0025))</x:f>
        <x:v>244.99429820156388</x:v>
      </x:c>
      <x:c r="R24" s="68" t="n">
        <x:f>IF(Q24="","",M24+Q24)</x:f>
        <x:v>446.94380358829847</x:v>
      </x:c>
      <x:c r="S24" s="68" t="n">
        <x:f>IF(P24="","",P24/O24*1000000000)</x:f>
        <x:v>4937.037168725941</x:v>
      </x:c>
      <x:c r="T24" s="69" t="n">
        <x:f>0.005+'单币测算'!$D$10+'单币测算'!$D$11</x:f>
        <x:v>0.005</x:v>
      </x:c>
      <x:c r="U24" s="68" t="n">
        <x:f>IF(S24="","",S24*T24)</x:f>
        <x:v>24.685185843629707</x:v>
      </x:c>
      <x:c r="V24" s="68" t="n">
        <x:f>'单币测算'!$D$17</x:f>
        <x:v>0</x:v>
      </x:c>
      <x:c r="W24" s="103" t="n">
        <x:f>IF(R24="","",SUM(R24,M24*MAX(0,'单币测算'!$D$12-1),U24,V24))</x:f>
        <x:v>673.5784948186628</x:v>
      </x:c>
      <x:c r="X24" s="68" t="n">
        <x:f>(MAX(0,'单币测算'!$D$13)*MAX(0,'单币测算'!$D$12)+MAX(0,'单币测算'!$D$14)+MAX(0,'单币测算'!$D$15))*MAX(0,'单币测算'!$D$16)</x:f>
        <x:v>1.22</x:v>
      </x:c>
      <x:c r="Y24" s="25" t="str">
        <x:f>IF('单币测算'!$D$9+1%&gt;=L24,"不可达","可达")</x:f>
        <x:v>可达</x:v>
      </x:c>
    </x:row>
    <x:row r="25" ht="20" customHeight="1">
      <x:c r="C25" s="32" t="str">
        <x:v>SOXLB</x:v>
      </x:c>
      <x:c r="D25" s="32" t="str">
        <x:v>Semicon Bull 3X ETF</x:v>
      </x:c>
      <x:c r="E25" s="32" t="str">
        <x:v>股票 / ETF RWA</x:v>
      </x:c>
      <x:c r="F25" s="32" t="n">
        <x:v>18</x:v>
      </x:c>
      <x:c r="G25" s="94" t="n">
        <x:v>34.88181818</x:v>
      </x:c>
      <x:c r="H25" s="94" t="n">
        <x:v>107036751</x:v>
      </x:c>
      <x:c r="I25" s="94" t="n">
        <x:v>38615454668.972725</x:v>
      </x:c>
      <x:c r="J25" s="94" t="n">
        <x:v>90.88636606245481</x:v>
      </x:c>
      <x:c r="K25" s="94" t="n">
        <x:v>18177273212.49096</x:v>
      </x:c>
      <x:c r="L25" s="97" t="n">
        <x:f>0.8+(1-'单币测算'!$D$10)*0.19999999999999996</x:f>
        <x:v>1</x:v>
      </x:c>
      <x:c r="M25" s="68" t="n">
        <x:f>J25*(1+0.01+'单币测算'!$D$10)</x:f>
        <x:v>91.79522972307936</x:v>
      </x:c>
      <x:c r="N25" s="68" t="n">
        <x:f>IF('单币测算'!$D$9+1%&lt;L25,MAX(0,('单币测算'!$D$9+1%-0.8)*1000000000)/(1-'单币测算'!$D$10),"")</x:f>
        <x:v>109999999.99999999</x:v>
      </x:c>
      <x:c r="O25" s="68" t="n">
        <x:f>IF(N25="","",199999999.99999997-N25)</x:f>
        <x:v>89999999.99999999</x:v>
      </x:c>
      <x:c r="P25" s="68" t="n">
        <x:f>IF(O25="","",K25/O25)</x:f>
        <x:v>201.9697023610107</x:v>
      </x:c>
      <x:c r="Q25" s="68" t="n">
        <x:f>IF(P25="","",(P25-J25)*(1+0.0025))</x:f>
        <x:v>111.36104463930226</x:v>
      </x:c>
      <x:c r="R25" s="68" t="n">
        <x:f>IF(Q25="","",M25+Q25)</x:f>
        <x:v>203.15627436238162</x:v>
      </x:c>
      <x:c r="S25" s="68" t="n">
        <x:f>IF(P25="","",P25/O25*1000000000)</x:f>
        <x:v>2244.10780401123</x:v>
      </x:c>
      <x:c r="T25" s="69" t="n">
        <x:f>0.005+'单币测算'!$D$10+'单币测算'!$D$11</x:f>
        <x:v>0.005</x:v>
      </x:c>
      <x:c r="U25" s="68" t="n">
        <x:f>IF(S25="","",S25*T25)</x:f>
        <x:v>11.220539020056151</x:v>
      </x:c>
      <x:c r="V25" s="68" t="n">
        <x:f>'单币测算'!$D$17</x:f>
        <x:v>0</x:v>
      </x:c>
      <x:c r="W25" s="103" t="n">
        <x:f>IF(R25="","",SUM(R25,M25*MAX(0,'单币测算'!$D$12-1),U25,V25))</x:f>
        <x:v>306.17204310551716</x:v>
      </x:c>
      <x:c r="X25" s="68" t="n">
        <x:f>(MAX(0,'单币测算'!$D$13)*MAX(0,'单币测算'!$D$12)+MAX(0,'单币测算'!$D$14)+MAX(0,'单币测算'!$D$15))*MAX(0,'单币测算'!$D$16)</x:f>
        <x:v>1.22</x:v>
      </x:c>
      <x:c r="Y25" s="25" t="str">
        <x:f>IF('单币测算'!$D$9+1%&gt;=L25,"不可达","可达")</x:f>
        <x:v>可达</x:v>
      </x:c>
    </x:row>
    <x:row r="26" ht="20" customHeight="1">
      <x:c r="C26" s="32" t="str">
        <x:v>MRNAB</x:v>
      </x:c>
      <x:c r="D26" s="32" t="str">
        <x:v>Moderna</x:v>
      </x:c>
      <x:c r="E26" s="32" t="str">
        <x:v>股票 / ETF RWA</x:v>
      </x:c>
      <x:c r="F26" s="32" t="n">
        <x:v>18</x:v>
      </x:c>
      <x:c r="G26" s="94" t="n">
        <x:v>24.38502698</x:v>
      </x:c>
      <x:c r="H26" s="94" t="n">
        <x:v>107036751</x:v>
      </x:c>
      <x:c r="I26" s="94" t="n">
        <x:v>26995121040.98654</x:v>
      </x:c>
      <x:c r="J26" s="94" t="n">
        <x:v>63.536438294320014</x:v>
      </x:c>
      <x:c r="K26" s="94" t="n">
        <x:v>12707287658.864</x:v>
      </x:c>
      <x:c r="L26" s="97" t="n">
        <x:f>0.8+(1-'单币测算'!$D$10)*0.19999999999999996</x:f>
        <x:v>1</x:v>
      </x:c>
      <x:c r="M26" s="68" t="n">
        <x:f>J26*(1+0.01+'单币测算'!$D$10)</x:f>
        <x:v>64.17180267726322</x:v>
      </x:c>
      <x:c r="N26" s="68" t="n">
        <x:f>IF('单币测算'!$D$9+1%&lt;L26,MAX(0,('单币测算'!$D$9+1%-0.8)*1000000000)/(1-'单币测算'!$D$10),"")</x:f>
        <x:v>109999999.99999999</x:v>
      </x:c>
      <x:c r="O26" s="68" t="n">
        <x:f>IF(N26="","",199999999.99999997-N26)</x:f>
        <x:v>89999999.99999999</x:v>
      </x:c>
      <x:c r="P26" s="68" t="n">
        <x:f>IF(O26="","",K26/O26)</x:f>
        <x:v>141.19208509848892</x:v>
      </x:c>
      <x:c r="Q26" s="68" t="n">
        <x:f>IF(P26="","",(P26-J26)*(1+0.0025))</x:f>
        <x:v>77.84978592117932</x:v>
      </x:c>
      <x:c r="R26" s="68" t="n">
        <x:f>IF(Q26="","",M26+Q26)</x:f>
        <x:v>142.02158859844252</x:v>
      </x:c>
      <x:c r="S26" s="68" t="n">
        <x:f>IF(P26="","",P26/O26*1000000000)</x:f>
        <x:v>1568.800945538766</x:v>
      </x:c>
      <x:c r="T26" s="69" t="n">
        <x:f>0.005+'单币测算'!$D$10+'单币测算'!$D$11</x:f>
        <x:v>0.005</x:v>
      </x:c>
      <x:c r="U26" s="68" t="n">
        <x:f>IF(S26="","",S26*T26)</x:f>
        <x:v>7.84400472769383</x:v>
      </x:c>
      <x:c r="V26" s="68" t="n">
        <x:f>'单币测算'!$D$17</x:f>
        <x:v>0</x:v>
      </x:c>
      <x:c r="W26" s="103" t="n">
        <x:f>IF(R26="","",SUM(R26,M26*MAX(0,'单币测算'!$D$12-1),U26,V26))</x:f>
        <x:v>214.03739600339955</x:v>
      </x:c>
      <x:c r="X26" s="68" t="n">
        <x:f>(MAX(0,'单币测算'!$D$13)*MAX(0,'单币测算'!$D$12)+MAX(0,'单币测算'!$D$14)+MAX(0,'单币测算'!$D$15))*MAX(0,'单币测算'!$D$16)</x:f>
        <x:v>1.22</x:v>
      </x:c>
      <x:c r="Y26" s="25" t="str">
        <x:f>IF('单币测算'!$D$9+1%&gt;=L26,"不可达","可达")</x:f>
        <x:v>可达</x:v>
      </x:c>
    </x:row>
    <x:row r="27" ht="20" customHeight="1">
      <x:c r="C27" s="32" t="str">
        <x:v>FLNCB</x:v>
      </x:c>
      <x:c r="D27" s="32" t="str">
        <x:v>Fluence Energy</x:v>
      </x:c>
      <x:c r="E27" s="32" t="str">
        <x:v>股票 / ETF RWA</x:v>
      </x:c>
      <x:c r="F27" s="32" t="n">
        <x:v>18</x:v>
      </x:c>
      <x:c r="G27" s="94" t="n">
        <x:v>383.7</x:v>
      </x:c>
      <x:c r="H27" s="94" t="n">
        <x:v>107036751</x:v>
      </x:c>
      <x:c r="I27" s="94" t="n">
        <x:v>424770001358.7</x:v>
      </x:c>
      <x:c r="J27" s="94" t="n">
        <x:v>999.7500266670031</x:v>
      </x:c>
      <x:c r="K27" s="94" t="n">
        <x:v>199950005333.4006</x:v>
      </x:c>
      <x:c r="L27" s="97" t="n">
        <x:f>0.8+(1-'单币测算'!$D$10)*0.19999999999999996</x:f>
        <x:v>1</x:v>
      </x:c>
      <x:c r="M27" s="68" t="n">
        <x:f>J27*(1+0.01+'单币测算'!$D$10)</x:f>
        <x:v>1009.7475269336732</x:v>
      </x:c>
      <x:c r="N27" s="68" t="n">
        <x:f>IF('单币测算'!$D$9+1%&lt;L27,MAX(0,('单币测算'!$D$9+1%-0.8)*1000000000)/(1-'单币测算'!$D$10),"")</x:f>
        <x:v>109999999.99999999</x:v>
      </x:c>
      <x:c r="O27" s="68" t="n">
        <x:f>IF(N27="","",199999999.99999997-N27)</x:f>
        <x:v>89999999.99999999</x:v>
      </x:c>
      <x:c r="P27" s="68" t="n">
        <x:f>IF(O27="","",K27/O27)</x:f>
        <x:v>2221.6667259266737</x:v>
      </x:c>
      <x:c r="Q27" s="68" t="n">
        <x:f>IF(P27="","",(P27-J27)*(1+0.0025))</x:f>
        <x:v>1224.9714910078196</x:v>
      </x:c>
      <x:c r="R27" s="68" t="n">
        <x:f>IF(Q27="","",M27+Q27)</x:f>
        <x:v>2234.719017941493</x:v>
      </x:c>
      <x:c r="S27" s="68" t="n">
        <x:f>IF(P27="","",P27/O27*1000000000)</x:f>
        <x:v>24685.18584362971</x:v>
      </x:c>
      <x:c r="T27" s="69" t="n">
        <x:f>0.005+'单币测算'!$D$10+'单币测算'!$D$11</x:f>
        <x:v>0.005</x:v>
      </x:c>
      <x:c r="U27" s="68" t="n">
        <x:f>IF(S27="","",S27*T27)</x:f>
        <x:v>123.42592921814857</x:v>
      </x:c>
      <x:c r="V27" s="68" t="n">
        <x:f>'单币测算'!$D$17</x:f>
        <x:v>0</x:v>
      </x:c>
      <x:c r="W27" s="103" t="n">
        <x:f>IF(R27="","",SUM(R27,M27*MAX(0,'单币测算'!$D$12-1),U27,V27))</x:f>
        <x:v>3367.892474093315</x:v>
      </x:c>
      <x:c r="X27" s="68" t="n">
        <x:f>(MAX(0,'单币测算'!$D$13)*MAX(0,'单币测算'!$D$12)+MAX(0,'单币测算'!$D$14)+MAX(0,'单币测算'!$D$15))*MAX(0,'单币测算'!$D$16)</x:f>
        <x:v>1.22</x:v>
      </x:c>
      <x:c r="Y27" s="25" t="str">
        <x:f>IF('单币测算'!$D$9+1%&gt;=L27,"不可达","可达")</x:f>
        <x:v>可达</x:v>
      </x:c>
    </x:row>
    <x:row r="28" ht="20" customHeight="1">
      <x:c r="C28" s="32" t="str">
        <x:v>FXIon</x:v>
      </x:c>
      <x:c r="D28" s="32" t="str">
        <x:v>iShares China Large-Cap ETF</x:v>
      </x:c>
      <x:c r="E28" s="32" t="str">
        <x:v>股票 / ETF RWA</x:v>
      </x:c>
      <x:c r="F28" s="32" t="n">
        <x:v>18</x:v>
      </x:c>
      <x:c r="G28" s="94" t="n">
        <x:v>109.62857143</x:v>
      </x:c>
      <x:c r="H28" s="94" t="n">
        <x:v>107036751</x:v>
      </x:c>
      <x:c r="I28" s="94" t="n">
        <x:v>121362857531.05714</x:v>
      </x:c>
      <x:c r="J28" s="94" t="n">
        <x:v>285.64286476057237</x:v>
      </x:c>
      <x:c r="K28" s="94" t="n">
        <x:v>57128572952.11446</x:v>
      </x:c>
      <x:c r="L28" s="97" t="n">
        <x:f>0.8+(1-'单币测算'!$D$10)*0.19999999999999996</x:f>
        <x:v>1</x:v>
      </x:c>
      <x:c r="M28" s="68" t="n">
        <x:f>J28*(1+0.01+'单币测算'!$D$10)</x:f>
        <x:v>288.4992934081781</x:v>
      </x:c>
      <x:c r="N28" s="68" t="n">
        <x:f>IF('单币测算'!$D$9+1%&lt;L28,MAX(0,('单币测算'!$D$9+1%-0.8)*1000000000)/(1-'单币测算'!$D$10),"")</x:f>
        <x:v>109999999.99999999</x:v>
      </x:c>
      <x:c r="O28" s="68" t="n">
        <x:f>IF(N28="","",199999999.99999997-N28)</x:f>
        <x:v>89999999.99999999</x:v>
      </x:c>
      <x:c r="P28" s="68" t="n">
        <x:f>IF(O28="","",K28/O28)</x:f>
        <x:v>634.7619216901608</x:v>
      </x:c>
      <x:c r="Q28" s="68" t="n">
        <x:f>IF(P28="","",(P28-J28)*(1+0.0025))</x:f>
        <x:v>349.99185457191237</x:v>
      </x:c>
      <x:c r="R28" s="68" t="n">
        <x:f>IF(Q28="","",M28+Q28)</x:f>
        <x:v>638.4911479800905</x:v>
      </x:c>
      <x:c r="S28" s="68" t="n">
        <x:f>IF(P28="","",P28/O28*1000000000)</x:f>
        <x:v>7052.910241001788</x:v>
      </x:c>
      <x:c r="T28" s="69" t="n">
        <x:f>0.005+'单币测算'!$D$10+'单币测算'!$D$11</x:f>
        <x:v>0.005</x:v>
      </x:c>
      <x:c r="U28" s="68" t="n">
        <x:f>IF(S28="","",S28*T28)</x:f>
        <x:v>35.26455120500894</x:v>
      </x:c>
      <x:c r="V28" s="68" t="n">
        <x:f>'单币测算'!$D$17</x:f>
        <x:v>0</x:v>
      </x:c>
      <x:c r="W28" s="103" t="n">
        <x:f>IF(R28="","",SUM(R28,M28*MAX(0,'单币测算'!$D$12-1),U28,V28))</x:f>
        <x:v>962.2549925932776</x:v>
      </x:c>
      <x:c r="X28" s="68" t="n">
        <x:f>(MAX(0,'单币测算'!$D$13)*MAX(0,'单币测算'!$D$12)+MAX(0,'单币测算'!$D$14)+MAX(0,'单币测算'!$D$15))*MAX(0,'单币测算'!$D$16)</x:f>
        <x:v>1.22</x:v>
      </x:c>
      <x:c r="Y28" s="25" t="str">
        <x:f>IF('单币测算'!$D$9+1%&gt;=L28,"不可达","可达")</x:f>
        <x:v>可达</x:v>
      </x:c>
    </x:row>
    <x:row r="29" ht="20" customHeight="1">
      <x:c r="C29" s="32" t="str">
        <x:v>BMNRB</x:v>
      </x:c>
      <x:c r="D29" s="32" t="str">
        <x:v>BitMine Immersion Technologies</x:v>
      </x:c>
      <x:c r="E29" s="32" t="str">
        <x:v>股票 / ETF RWA</x:v>
      </x:c>
      <x:c r="F29" s="32" t="n">
        <x:v>18</x:v>
      </x:c>
      <x:c r="G29" s="94" t="n">
        <x:v>153.48</x:v>
      </x:c>
      <x:c r="H29" s="94" t="n">
        <x:v>107036751</x:v>
      </x:c>
      <x:c r="I29" s="94" t="n">
        <x:v>169908000543.48</x:v>
      </x:c>
      <x:c r="J29" s="94" t="n">
        <x:v>399.9000106668012</x:v>
      </x:c>
      <x:c r="K29" s="94" t="n">
        <x:v>79980002133.36023</x:v>
      </x:c>
      <x:c r="L29" s="97" t="n">
        <x:f>0.8+(1-'单币测算'!$D$10)*0.19999999999999996</x:f>
        <x:v>1</x:v>
      </x:c>
      <x:c r="M29" s="68" t="n">
        <x:f>J29*(1+0.01+'单币测算'!$D$10)</x:f>
        <x:v>403.89901077346923</x:v>
      </x:c>
      <x:c r="N29" s="68" t="n">
        <x:f>IF('单币测算'!$D$9+1%&lt;L29,MAX(0,('单币测算'!$D$9+1%-0.8)*1000000000)/(1-'单币测算'!$D$10),"")</x:f>
        <x:v>109999999.99999999</x:v>
      </x:c>
      <x:c r="O29" s="68" t="n">
        <x:f>IF(N29="","",199999999.99999997-N29)</x:f>
        <x:v>89999999.99999999</x:v>
      </x:c>
      <x:c r="P29" s="68" t="n">
        <x:f>IF(O29="","",K29/O29)</x:f>
        <x:v>888.6666903706694</x:v>
      </x:c>
      <x:c r="Q29" s="68" t="n">
        <x:f>IF(P29="","",(P29-J29)*(1+0.0025))</x:f>
        <x:v>489.98859640312776</x:v>
      </x:c>
      <x:c r="R29" s="68" t="n">
        <x:f>IF(Q29="","",M29+Q29)</x:f>
        <x:v>893.8876071765969</x:v>
      </x:c>
      <x:c r="S29" s="68" t="n">
        <x:f>IF(P29="","",P29/O29*1000000000)</x:f>
        <x:v>9874.074337451882</x:v>
      </x:c>
      <x:c r="T29" s="69" t="n">
        <x:f>0.005+'单币测算'!$D$10+'单币测算'!$D$11</x:f>
        <x:v>0.005</x:v>
      </x:c>
      <x:c r="U29" s="68" t="n">
        <x:f>IF(S29="","",S29*T29)</x:f>
        <x:v>49.370371687259414</x:v>
      </x:c>
      <x:c r="V29" s="68" t="n">
        <x:f>'单币测算'!$D$17</x:f>
        <x:v>0</x:v>
      </x:c>
      <x:c r="W29" s="103" t="n">
        <x:f>IF(R29="","",SUM(R29,M29*MAX(0,'单币测算'!$D$12-1),U29,V29))</x:f>
        <x:v>1347.1569896373255</x:v>
      </x:c>
      <x:c r="X29" s="68" t="n">
        <x:f>(MAX(0,'单币测算'!$D$13)*MAX(0,'单币测算'!$D$12)+MAX(0,'单币测算'!$D$14)+MAX(0,'单币测算'!$D$15))*MAX(0,'单币测算'!$D$16)</x:f>
        <x:v>1.22</x:v>
      </x:c>
      <x:c r="Y29" s="25" t="str">
        <x:f>IF('单币测算'!$D$9+1%&gt;=L29,"不可达","可达")</x:f>
        <x:v>可达</x:v>
      </x:c>
    </x:row>
    <x:row r="30" ht="20" customHeight="1">
      <x:c r="C30" s="34" t="str">
        <x:v>BILIon</x:v>
      </x:c>
      <x:c r="D30" s="34" t="str">
        <x:v>Bilibili</x:v>
      </x:c>
      <x:c r="E30" s="34" t="str">
        <x:v>股票 / ETF RWA</x:v>
      </x:c>
      <x:c r="F30" s="34" t="n">
        <x:v>18</x:v>
      </x:c>
      <x:c r="G30" s="95" t="n">
        <x:v>239.8125</x:v>
      </x:c>
      <x:c r="H30" s="95" t="n">
        <x:v>107036751</x:v>
      </x:c>
      <x:c r="I30" s="95" t="n">
        <x:v>265481250849.1875</x:v>
      </x:c>
      <x:c r="J30" s="95" t="n">
        <x:v>624.843766666877</x:v>
      </x:c>
      <x:c r="K30" s="95" t="n">
        <x:v>124968753333.37537</x:v>
      </x:c>
      <x:c r="L30" s="98" t="n">
        <x:f>0.8+(1-'单币测算'!$D$10)*0.19999999999999996</x:f>
        <x:v>1</x:v>
      </x:c>
      <x:c r="M30" s="71" t="n">
        <x:f>J30*(1+0.01+'单币测算'!$D$10)</x:f>
        <x:v>631.0922043335457</x:v>
      </x:c>
      <x:c r="N30" s="71" t="n">
        <x:f>IF('单币测算'!$D$9+1%&lt;L30,MAX(0,('单币测算'!$D$9+1%-0.8)*1000000000)/(1-'单币测算'!$D$10),"")</x:f>
        <x:v>109999999.99999999</x:v>
      </x:c>
      <x:c r="O30" s="71" t="n">
        <x:f>IF(N30="","",199999999.99999997-N30)</x:f>
        <x:v>89999999.99999999</x:v>
      </x:c>
      <x:c r="P30" s="71" t="n">
        <x:f>IF(O30="","",K30/O30)</x:f>
        <x:v>1388.541703704171</x:v>
      </x:c>
      <x:c r="Q30" s="71" t="n">
        <x:f>IF(P30="","",(P30-J30)*(1+0.0025))</x:f>
        <x:v>765.6071818798872</x:v>
      </x:c>
      <x:c r="R30" s="71" t="n">
        <x:f>IF(Q30="","",M30+Q30)</x:f>
        <x:v>1396.699386213433</x:v>
      </x:c>
      <x:c r="S30" s="71" t="n">
        <x:f>IF(P30="","",P30/O30*1000000000)</x:f>
        <x:v>15428.241152268569</x:v>
      </x:c>
      <x:c r="T30" s="99" t="n">
        <x:f>0.005+'单币测算'!$D$10+'单币测算'!$D$11</x:f>
        <x:v>0.005</x:v>
      </x:c>
      <x:c r="U30" s="71" t="n">
        <x:f>IF(S30="","",S30*T30)</x:f>
        <x:v>77.14120576134285</x:v>
      </x:c>
      <x:c r="V30" s="71" t="n">
        <x:f>'单币测算'!$D$17</x:f>
        <x:v>0</x:v>
      </x:c>
      <x:c r="W30" s="104" t="n">
        <x:f>IF(R30="","",SUM(R30,M30*MAX(0,'单币测算'!$D$12-1),U30,V30))</x:f>
        <x:v>2104.9327963083215</x:v>
      </x:c>
      <x:c r="X30" s="71" t="n">
        <x:f>(MAX(0,'单币测算'!$D$13)*MAX(0,'单币测算'!$D$12)+MAX(0,'单币测算'!$D$14)+MAX(0,'单币测算'!$D$15))*MAX(0,'单币测算'!$D$16)</x:f>
        <x:v>1.22</x:v>
      </x:c>
      <x:c r="Y30" s="26" t="str">
        <x:f>IF('单币测算'!$D$9+1%&gt;=L30,"不可达","可达")</x:f>
        <x:v>可达</x:v>
      </x:c>
    </x:row>
  </x:sheetData>
  <x:conditionalFormatting sqref="Y8:Y30">
    <x:cfRule type="containsText" dxfId="2" priority="1" operator="containsText" text="不可达"/>
    <x:cfRule type="containsText" dxfId="3" priority="2" operator="containsText" text="可达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2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</x:cols>
  <x:sheetData>
    <x:row r="2" ht="20" customHeight="1">
      <x:c r="C2" s="248" t="str">
        <x:v>Flap BSC 选中 Quote 曲线</x:v>
      </x:c>
      <x:c r="D2" s="249"/>
      <x:c r="E2" s="249"/>
      <x:c r="F2" s="249"/>
      <x:c r="G2" s="249"/>
      <x:c r="H2" s="249"/>
      <x:c r="I2" s="249"/>
      <x:c r="J2" s="249"/>
      <x:c r="K2" s="249"/>
    </x:row>
    <x:row r="3" ht="20" customHeight="1">
      <x:c r="C3" s="250" t="str">
        <x:v>读取“单币测算”的 Quote 与买税。内盘税以额外 Quote 费计；外盘买税从 TOKEN 输出扣除。</x:v>
      </x:c>
      <x:c r="D3" s="250"/>
      <x:c r="E3" s="250"/>
      <x:c r="F3" s="250"/>
      <x:c r="G3" s="250"/>
      <x:c r="H3" s="250"/>
      <x:c r="I3" s="250"/>
      <x:c r="J3" s="250"/>
      <x:c r="K3" s="250"/>
    </x:row>
    <x:row r="4" ht="20" customHeight="1">
      <x:c r="C4" s="245"/>
      <x:c r="D4" s="245"/>
      <x:c r="E4" s="245"/>
      <x:c r="F4" s="245"/>
      <x:c r="G4" s="245"/>
      <x:c r="H4" s="245"/>
      <x:c r="I4" s="245"/>
      <x:c r="J4" s="245"/>
      <x:c r="K4" s="245"/>
    </x:row>
    <x:row r="5" ht="20" customHeight="1">
      <x:c r="C5" s="263" t="str">
        <x:v>当前 Quote</x:v>
      </x:c>
      <x:c r="D5" s="263" t="str">
        <x:f>'单币测算'!$D$8</x:f>
        <x:v>SPCXB</x:v>
      </x:c>
      <x:c r="E5" s="263" t="str">
        <x:v>买税</x:v>
      </x:c>
      <x:c r="F5" s="266" t="n">
        <x:f>'单币测算'!$D$10</x:f>
        <x:v>0</x:v>
      </x:c>
      <x:c r="G5" s="266" t="str">
        <x:v>卖税</x:v>
      </x:c>
      <x:c r="H5" s="266" t="n">
        <x:f>'单币测算'!$D$11</x:f>
        <x:v>0</x:v>
      </x:c>
      <x:c r="I5" s="266" t="str">
        <x:v>净控筹上限</x:v>
      </x:c>
      <x:c r="J5" s="266" t="n">
        <x:f>'单币测算'!$I$20</x:f>
        <x:v>1</x:v>
      </x:c>
      <x:c r="K5" s="263" t="str"/>
    </x:row>
    <x:row r="6" ht="20" customHeight="1">
      <x:c r="C6" s="245"/>
      <x:c r="D6" s="245"/>
      <x:c r="E6" s="245"/>
      <x:c r="F6" s="245"/>
      <x:c r="G6" s="245"/>
      <x:c r="H6" s="245"/>
      <x:c r="I6" s="245"/>
      <x:c r="J6" s="245"/>
      <x:c r="K6" s="245"/>
    </x:row>
    <x:row r="7" ht="20" customHeight="1">
      <x:c r="C7" s="41" t="str">
        <x:v>内盘联合曲线</x:v>
      </x:c>
      <x:c r="D7" s="42"/>
      <x:c r="E7" s="42"/>
      <x:c r="F7" s="42"/>
      <x:c r="G7" s="42"/>
      <x:c r="H7" s="42"/>
      <x:c r="I7" s="42"/>
      <x:c r="J7" s="43"/>
      <x:c r="K7" s="245"/>
    </x:row>
    <x:row r="8" ht="36" customHeight="1">
      <x:c r="C8" s="19" t="str">
        <x:v>控筹率</x:v>
      </x:c>
      <x:c r="D8" s="20" t="str">
        <x:v>Pool TOKEN + h</x:v>
      </x:c>
      <x:c r="E8" s="20" t="str">
        <x:v>Pool Quote + r</x:v>
      </x:c>
      <x:c r="F8" s="433" t="str">
        <x:v>价格</x:v>
      </x:c>
      <x:c r="G8" s="433" t="str">
        <x:v>价格 / USDT</x:v>
      </x:c>
      <x:c r="H8" s="433" t="str">
        <x:v>FDV（Quote）</x:v>
      </x:c>
      <x:c r="I8" s="433" t="str">
        <x:v>区间净 Quote</x:v>
      </x:c>
      <x:c r="J8" s="433" t="str">
        <x:v>区间含费</x:v>
      </x:c>
      <x:c r="K8" s="439" t="str">
        <x:v>累计含费</x:v>
      </x:c>
    </x:row>
    <x:row r="9" ht="20" customHeight="1">
      <x:c r="C9" s="106" t="n">
        <x:v>0</x:v>
      </x:c>
      <x:c r="D9" s="93" t="n">
        <x:f>1000000000+'单币测算'!$I$12-1000000000*C9</x:f>
        <x:v>1107036751</x:v>
      </x:c>
      <x:c r="E9" s="93" t="n">
        <x:f>'单币测算'!$I$13/D9</x:f>
        <x:v>34.26749453</x:v>
      </x:c>
      <x:c r="F9" s="448" t="n">
        <x:f>E9/D9</x:f>
        <x:v>3.0954251969544594e-8</x:v>
      </x:c>
      <x:c r="G9" s="451" t="n">
        <x:f>IF(OR('单币测算'!$D$18="",NOT(ISNUMBER(F9))),"",F9*'单币测算'!$D$18)</x:f>
        <x:v>0.000004740123657702666</x:v>
      </x:c>
      <x:c r="H9" s="448" t="n">
        <x:f>F9*1000000000</x:f>
        <x:v>30.954251969544593</x:v>
      </x:c>
      <x:c r="I9" s="448" t="n">
        <x:f>0</x:f>
        <x:v>0</x:v>
      </x:c>
      <x:c r="J9" s="448" t="n">
        <x:f>0</x:f>
        <x:v>0</x:v>
      </x:c>
      <x:c r="K9" s="448" t="n">
        <x:f>(E9-'单币测算'!$I$11)*(1+0.01+'单币测算'!$D$10)</x:f>
        <x:v>0</x:v>
      </x:c>
    </x:row>
    <x:row r="10" ht="20" customHeight="1">
      <x:c r="C10" s="107" t="n">
        <x:v>0.1</x:v>
      </x:c>
      <x:c r="D10" s="68" t="n">
        <x:f>1000000000+'单币测算'!$I$12-1000000000*C10</x:f>
        <x:v>1007036751</x:v>
      </x:c>
      <x:c r="E10" s="68" t="n">
        <x:f>'单币测算'!$I$13/D10</x:f>
        <x:v>37.670299293179895</x:v>
      </x:c>
      <x:c r="F10" s="460" t="n">
        <x:f>E10/D10</x:f>
        <x:v>3.740707502062146e-8</x:v>
      </x:c>
      <x:c r="G10" s="463" t="n">
        <x:f>IF(OR('单币测算'!$D$18="",NOT(ISNUMBER(F10))),"",F10*'单币测算'!$D$18)</x:f>
        <x:v>0.0000057282651005478295</x:v>
      </x:c>
      <x:c r="H10" s="460" t="n">
        <x:f>F10*1000000000</x:f>
        <x:v>37.40707502062146</x:v>
      </x:c>
      <x:c r="I10" s="460" t="n">
        <x:f>E10-E9</x:f>
        <x:v>3.402804763179894</x:v>
      </x:c>
      <x:c r="J10" s="460" t="n">
        <x:f>I10*(1+0.01+'单币测算'!$D$10)</x:f>
        <x:v>3.4368328108116932</x:v>
      </x:c>
      <x:c r="K10" s="460" t="n">
        <x:f>(E10-'单币测算'!$I$11)*(1+0.01+'单币测算'!$D$10)</x:f>
        <x:v>3.4368328108116932</x:v>
      </x:c>
    </x:row>
    <x:row r="11" ht="20" customHeight="1">
      <x:c r="C11" s="107" t="n">
        <x:v>0.2</x:v>
      </x:c>
      <x:c r="D11" s="68" t="n">
        <x:f>1000000000+'单币测算'!$I$12-1000000000*C11</x:f>
        <x:v>907036751</x:v>
      </x:c>
      <x:c r="E11" s="68" t="n">
        <x:f>'单币测算'!$I$13/D11</x:f>
        <x:v>41.82341649065273</x:v>
      </x:c>
      <x:c r="F11" s="460" t="n">
        <x:f>E11/D11</x:f>
        <x:v>4.6109946972427285e-8</x:v>
      </x:c>
      <x:c r="G11" s="463" t="n">
        <x:f>IF(OR('单币测算'!$D$18="",NOT(ISNUMBER(F11))),"",F11*'单币测算'!$D$18)</x:f>
        <x:v>0.0000070609637317181015</x:v>
      </x:c>
      <x:c r="H11" s="460" t="n">
        <x:f>F11*1000000000</x:f>
        <x:v>46.10994697242729</x:v>
      </x:c>
      <x:c r="I11" s="460" t="n">
        <x:f>E11-E10</x:f>
        <x:v>4.153117197472838</x:v>
      </x:c>
      <x:c r="J11" s="460" t="n">
        <x:f>I11*(1+0.01+'单币测算'!$D$10)</x:f>
        <x:v>4.194648369447567</x:v>
      </x:c>
      <x:c r="K11" s="460" t="n">
        <x:f>(E11-'单币测算'!$I$11)*(1+0.01+'单币测算'!$D$10)</x:f>
        <x:v>7.63148118025926</x:v>
      </x:c>
    </x:row>
    <x:row r="12" ht="20" customHeight="1">
      <x:c r="C12" s="107" t="n">
        <x:v>0.3</x:v>
      </x:c>
      <x:c r="D12" s="68" t="n">
        <x:f>1000000000+'单币测算'!$I$12-1000000000*C12</x:f>
        <x:v>807036751</x:v>
      </x:c>
      <x:c r="E12" s="68" t="n">
        <x:f>'单币测算'!$I$13/D12</x:f>
        <x:v>47.00575997610482</x:v>
      </x:c>
      <x:c r="F12" s="460" t="n">
        <x:f>E12/D12</x:f>
        <x:v>5.824488155943325e-8</x:v>
      </x:c>
      <x:c r="G12" s="463" t="n">
        <x:f>IF(OR('单币测算'!$D$18="",NOT(ISNUMBER(F12))),"",F12*'单币测算'!$D$18)</x:f>
        <x:v>0.000008919225096817004</x:v>
      </x:c>
      <x:c r="H12" s="460" t="n">
        <x:f>F12*1000000000</x:f>
        <x:v>58.244881559433246</x:v>
      </x:c>
      <x:c r="I12" s="460" t="n">
        <x:f>E12-E11</x:f>
        <x:v>5.182343485452087</x:v>
      </x:c>
      <x:c r="J12" s="460" t="n">
        <x:f>I12*(1+0.01+'单币测算'!$D$10)</x:f>
        <x:v>5.234166920306608</x:v>
      </x:c>
      <x:c r="K12" s="460" t="n">
        <x:f>(E12-'单币测算'!$I$11)*(1+0.01+'单币测算'!$D$10)</x:f>
        <x:v>12.865648100565867</x:v>
      </x:c>
    </x:row>
    <x:row r="13" ht="20" customHeight="1">
      <x:c r="C13" s="107" t="n">
        <x:v>0.4</x:v>
      </x:c>
      <x:c r="D13" s="68" t="n">
        <x:f>1000000000+'单币测算'!$I$12-1000000000*C13</x:f>
        <x:v>707036751</x:v>
      </x:c>
      <x:c r="E13" s="68" t="n">
        <x:f>'单币测算'!$I$13/D13</x:f>
        <x:v>53.65403673252831</x:v>
      </x:c>
      <x:c r="F13" s="460" t="n">
        <x:f>E13/D13</x:f>
        <x:v>7.588578197193078e-8</x:v>
      </x:c>
      <x:c r="G13" s="463" t="n">
        <x:f>IF(OR('单币测算'!$D$18="",NOT(ISNUMBER(F13))),"",F13*'单币测算'!$D$18)</x:f>
        <x:v>0.00001162063262786407</x:v>
      </x:c>
      <x:c r="H13" s="460" t="n">
        <x:f>F13*1000000000</x:f>
        <x:v>75.88578197193078</x:v>
      </x:c>
      <x:c r="I13" s="460" t="n">
        <x:f>E13-E12</x:f>
        <x:v>6.648276756423492</x:v>
      </x:c>
      <x:c r="J13" s="460" t="n">
        <x:f>I13*(1+0.01+'单币测算'!$D$10)</x:f>
        <x:v>6.714759523987727</x:v>
      </x:c>
      <x:c r="K13" s="460" t="n">
        <x:f>(E13-'单币测算'!$I$11)*(1+0.01+'单币测算'!$D$10)</x:f>
        <x:v>19.580407624553594</x:v>
      </x:c>
    </x:row>
    <x:row r="14" ht="20" customHeight="1">
      <x:c r="C14" s="107" t="n">
        <x:v>0.5</x:v>
      </x:c>
      <x:c r="D14" s="68" t="n">
        <x:f>1000000000+'单币测算'!$I$12-1000000000*C14</x:f>
        <x:v>607036751</x:v>
      </x:c>
      <x:c r="E14" s="68" t="n">
        <x:f>'单币测算'!$I$13/D14</x:f>
        <x:v>62.49271686913314</x:v>
      </x:c>
      <x:c r="F14" s="460" t="n">
        <x:f>E14/D14</x:f>
        <x:v>1.0294717208832245e-7</x:v>
      </x:c>
      <x:c r="G14" s="463" t="n">
        <x:f>IF(OR('单币测算'!$D$18="",NOT(ISNUMBER(F14))),"",F14*'单币测算'!$D$18)</x:f>
        <x:v>0.0000157646298928355</x:v>
      </x:c>
      <x:c r="H14" s="460" t="n">
        <x:f>F14*1000000000</x:f>
        <x:v>102.94717208832245</x:v>
      </x:c>
      <x:c r="I14" s="460" t="n">
        <x:f>E14-E13</x:f>
        <x:v>8.838680136604829</x:v>
      </x:c>
      <x:c r="J14" s="460" t="n">
        <x:f>I14*(1+0.01+'单币测算'!$D$10)</x:f>
        <x:v>8.927066937970878</x:v>
      </x:c>
      <x:c r="K14" s="460" t="n">
        <x:f>(E14-'单币测算'!$I$11)*(1+0.01+'单币测算'!$D$10)</x:f>
        <x:v>28.50747456252447</x:v>
      </x:c>
    </x:row>
    <x:row r="15" ht="20" customHeight="1">
      <x:c r="C15" s="107" t="n">
        <x:v>0.6</x:v>
      </x:c>
      <x:c r="D15" s="68" t="n">
        <x:f>1000000000+'单币测算'!$I$12-1000000000*C15</x:f>
        <x:v>507036751</x:v>
      </x:c>
      <x:c r="E15" s="68" t="n">
        <x:f>'单币测算'!$I$13/D15</x:f>
        <x:v>74.81780311700024</x:v>
      </x:c>
      <x:c r="F15" s="460" t="n">
        <x:f>E15/D15</x:f>
        <x:v>1.475589352634524e-7</x:v>
      </x:c>
      <x:c r="G15" s="463" t="n">
        <x:f>IF(OR('单币测算'!$D$18="",NOT(ISNUMBER(F15))),"",F15*'单币测算'!$D$18)</x:f>
        <x:v>0.000022596171945485307</x:v>
      </x:c>
      <x:c r="H15" s="460" t="n">
        <x:f>F15*1000000000</x:f>
        <x:v>147.5589352634524</x:v>
      </x:c>
      <x:c r="I15" s="460" t="n">
        <x:f>E15-E14</x:f>
        <x:v>12.325086247867098</x:v>
      </x:c>
      <x:c r="J15" s="460" t="n">
        <x:f>I15*(1+0.01+'单币测算'!$D$10)</x:f>
        <x:v>12.448337110345769</x:v>
      </x:c>
      <x:c r="K15" s="460" t="n">
        <x:f>(E15-'单币测算'!$I$11)*(1+0.01+'单币测算'!$D$10)</x:f>
        <x:v>40.95581167287024</x:v>
      </x:c>
    </x:row>
    <x:row r="16" ht="20" customHeight="1">
      <x:c r="C16" s="107" t="n">
        <x:v>0.7</x:v>
      </x:c>
      <x:c r="D16" s="68" t="n">
        <x:f>1000000000+'单币测算'!$I$12-1000000000*C16</x:f>
        <x:v>407036751</x:v>
      </x:c>
      <x:c r="E16" s="68" t="n">
        <x:f>'单币测算'!$I$13/D16</x:f>
        <x:v>93.19889596259448</x:v>
      </x:c>
      <x:c r="F16" s="460" t="n">
        <x:f>E16/D16</x:f>
        <x:v>2.289692410663785e-7</x:v>
      </x:c>
      <x:c r="G16" s="463" t="n">
        <x:f>IF(OR('单币测算'!$D$18="",NOT(ISNUMBER(F16))),"",F16*'单币测算'!$D$18)</x:f>
        <x:v>0.00003506279258606595</x:v>
      </x:c>
      <x:c r="H16" s="460" t="n">
        <x:f>F16*1000000000</x:f>
        <x:v>228.9692410663785</x:v>
      </x:c>
      <x:c r="I16" s="460" t="n">
        <x:f>E16-E15</x:f>
        <x:v>18.38109284559424</x:v>
      </x:c>
      <x:c r="J16" s="460" t="n">
        <x:f>I16*(1+0.01+'单币测算'!$D$10)</x:f>
        <x:v>18.56490377405018</x:v>
      </x:c>
      <x:c r="K16" s="460" t="n">
        <x:f>(E16-'单币测算'!$I$11)*(1+0.01+'单币测算'!$D$10)</x:f>
        <x:v>59.52071544692042</x:v>
      </x:c>
    </x:row>
    <x:row r="17" ht="20" customHeight="1">
      <x:c r="C17" s="108" t="n">
        <x:v>0.8</x:v>
      </x:c>
      <x:c r="D17" s="71" t="n">
        <x:f>1000000000+'单币测算'!$I$12-1000000000*C17</x:f>
        <x:v>307036751</x:v>
      </x:c>
      <x:c r="E17" s="71" t="n">
        <x:f>'单币测算'!$I$13/D17</x:f>
        <x:v>123.55320881245736</x:v>
      </x:c>
      <x:c r="F17" s="467" t="n">
        <x:f>E17/D17</x:f>
        <x:v>4.024052769254888e-7</x:v>
      </x:c>
      <x:c r="G17" s="470" t="n">
        <x:f>IF(OR('单币测算'!$D$18="",NOT(ISNUMBER(F17))),"",F17*'单币测算'!$D$18)</x:f>
        <x:v>0.00006162160775248626</x:v>
      </x:c>
      <x:c r="H17" s="467" t="n">
        <x:f>F17*1000000000</x:f>
        <x:v>402.4052769254888</x:v>
      </x:c>
      <x:c r="I17" s="467" t="n">
        <x:f>E17-E16</x:f>
        <x:v>30.35431284986288</x:v>
      </x:c>
      <x:c r="J17" s="467" t="n">
        <x:f>I17*(1+0.01+'单币测算'!$D$10)</x:f>
        <x:v>30.657855978361507</x:v>
      </x:c>
      <x:c r="K17" s="467" t="n">
        <x:f>(E17-'单币测算'!$I$11)*(1+0.01+'单币测算'!$D$10)</x:f>
        <x:v>90.17857142528192</x:v>
      </x:c>
    </x:row>
    <x:row r="18" ht="20" customHeight="1">
      <x:c r="C18" s="245"/>
      <x:c r="D18" s="245"/>
      <x:c r="E18" s="245"/>
      <x:c r="F18" s="245"/>
      <x:c r="G18" s="245"/>
      <x:c r="H18" s="245"/>
      <x:c r="I18" s="245"/>
      <x:c r="J18" s="245"/>
      <x:c r="K18" s="245"/>
    </x:row>
    <x:row r="19" ht="20" customHeight="1">
      <x:c r="C19" s="245"/>
      <x:c r="D19" s="245"/>
      <x:c r="E19" s="245"/>
      <x:c r="F19" s="245"/>
      <x:c r="G19" s="245"/>
      <x:c r="H19" s="245"/>
      <x:c r="I19" s="245"/>
      <x:c r="J19" s="245"/>
      <x:c r="K19" s="245"/>
    </x:row>
    <x:row r="20" ht="20" customHeight="1">
      <x:c r="C20" s="41" t="str">
        <x:v>Pancake 外盘净控筹曲线</x:v>
      </x:c>
      <x:c r="D20" s="42"/>
      <x:c r="E20" s="42"/>
      <x:c r="F20" s="42"/>
      <x:c r="G20" s="42"/>
      <x:c r="H20" s="42"/>
      <x:c r="I20" s="42"/>
      <x:c r="J20" s="42"/>
      <x:c r="K20" s="43"/>
    </x:row>
    <x:row r="21" ht="36" customHeight="1">
      <x:c r="C21" s="19" t="str">
        <x:v>控筹率</x:v>
      </x:c>
      <x:c r="D21" s="20" t="str">
        <x:v>净增 TOKEN</x:v>
      </x:c>
      <x:c r="E21" s="20" t="str">
        <x:v>需扫出 TOKEN</x:v>
      </x:c>
      <x:c r="F21" s="20" t="str">
        <x:v>Pool TOKEN</x:v>
      </x:c>
      <x:c r="G21" s="20" t="str">
        <x:v>Pool Quote</x:v>
      </x:c>
      <x:c r="H21" s="20" t="str">
        <x:v>外盘含 LP 费</x:v>
      </x:c>
      <x:c r="I21" s="20" t="str">
        <x:v>理论累计</x:v>
      </x:c>
      <x:c r="J21" s="20" t="str">
        <x:v>FDV（Quote）</x:v>
      </x:c>
      <x:c r="K21" s="21" t="str">
        <x:v>状态</x:v>
      </x:c>
    </x:row>
    <x:row r="22" ht="20" customHeight="1">
      <x:c r="C22" s="106" t="n">
        <x:v>0.8</x:v>
      </x:c>
      <x:c r="D22" s="93" t="n">
        <x:f>0</x:f>
        <x:v>0</x:v>
      </x:c>
      <x:c r="E22" s="93" t="n">
        <x:f>0</x:f>
        <x:v>0</x:v>
      </x:c>
      <x:c r="F22" s="93" t="n">
        <x:f>'单币测算'!$I$15</x:f>
        <x:v>199999999.99999997</x:v>
      </x:c>
      <x:c r="G22" s="93" t="n">
        <x:f>'单币测算'!$I$14</x:f>
        <x:v>89.28571428245735</x:v>
      </x:c>
      <x:c r="H22" s="93" t="n">
        <x:f>0</x:f>
        <x:v>0</x:v>
      </x:c>
      <x:c r="I22" s="93" t="n">
        <x:f>'单币测算'!$D$27</x:f>
        <x:v>90.17857142528192</x:v>
      </x:c>
      <x:c r="J22" s="93" t="n">
        <x:f>'单币测算'!$I$14/'单币测算'!$I$15*1000000000</x:f>
        <x:v>446.4285714122868</x:v>
      </x:c>
      <x:c r="K22" s="24" t="str">
        <x:f>"可达"</x:f>
        <x:v>可达</x:v>
      </x:c>
    </x:row>
    <x:row r="23" ht="20" customHeight="1">
      <x:c r="C23" s="107" t="n">
        <x:v>0.805</x:v>
      </x:c>
      <x:c r="D23" s="68" t="n">
        <x:f>IF(C23&lt;'单币测算'!$I$20,MAX(0,(C23-0.8)*1000000000),"")</x:f>
        <x:v>5000000.000000005</x:v>
      </x:c>
      <x:c r="E23" s="68" t="n">
        <x:f>IF(D23="","",D23/(1-'单币测算'!$D$10))</x:f>
        <x:v>5000000.000000005</x:v>
      </x:c>
      <x:c r="F23" s="68" t="n">
        <x:f>IF(E23="","",199999999.99999997-E23)</x:f>
        <x:v>194999999.99999997</x:v>
      </x:c>
      <x:c r="G23" s="68" t="n">
        <x:f>IF(F23="","",'单币测算'!$I$16/F23)</x:f>
        <x:v>91.57509157175113</x:v>
      </x:c>
      <x:c r="H23" s="68" t="n">
        <x:f>IF(G23="","",(G23-'单币测算'!$I$14)*(1+0.0025))</x:f>
        <x:v>2.295100732517016</x:v>
      </x:c>
      <x:c r="I23" s="68" t="n">
        <x:f>IF(H23="","",'单币测算'!$D$27+H23)</x:f>
        <x:v>92.47367215779893</x:v>
      </x:c>
      <x:c r="J23" s="68" t="n">
        <x:f>IF(G23="","",G23/F23*1000000000)</x:f>
        <x:v>469.6158542141084</x:v>
      </x:c>
      <x:c r="K23" s="25" t="str">
        <x:f>IF(C23&gt;='单币测算'!$I$20,"不可达","可达")</x:f>
        <x:v>可达</x:v>
      </x:c>
    </x:row>
    <x:row r="24" ht="20" customHeight="1">
      <x:c r="C24" s="107" t="n">
        <x:v>0.81</x:v>
      </x:c>
      <x:c r="D24" s="68" t="n">
        <x:f>IF(C24&lt;'单币测算'!$I$20,MAX(0,(C24-0.8)*1000000000),"")</x:f>
        <x:v>10000000.00000001</x:v>
      </x:c>
      <x:c r="E24" s="68" t="n">
        <x:f>IF(D24="","",D24/(1-'单币测算'!$D$10))</x:f>
        <x:v>10000000.00000001</x:v>
      </x:c>
      <x:c r="F24" s="68" t="n">
        <x:f>IF(E24="","",199999999.99999997-E24)</x:f>
        <x:v>189999999.99999997</x:v>
      </x:c>
      <x:c r="G24" s="68" t="n">
        <x:f>IF(F24="","",'单币测算'!$I$16/F24)</x:f>
        <x:v>93.98496240258667</x:v>
      </x:c>
      <x:c r="H24" s="68" t="n">
        <x:f>IF(G24="","",(G24-'单币测算'!$I$14)*(1+0.0025))</x:f>
        <x:v>4.710996240429649</x:v>
      </x:c>
      <x:c r="I24" s="68" t="n">
        <x:f>IF(H24="","",'单币测算'!$D$27+H24)</x:f>
        <x:v>94.88956766571157</x:v>
      </x:c>
      <x:c r="J24" s="68" t="n">
        <x:f>IF(G24="","",G24/F24*1000000000)</x:f>
        <x:v>494.65769685571945</x:v>
      </x:c>
      <x:c r="K24" s="25" t="str">
        <x:f>IF(C24&gt;='单币测算'!$I$20,"不可达","可达")</x:f>
        <x:v>可达</x:v>
      </x:c>
    </x:row>
    <x:row r="25" ht="20" customHeight="1">
      <x:c r="C25" s="107" t="n">
        <x:v>0.8150000000000001</x:v>
      </x:c>
      <x:c r="D25" s="68" t="n">
        <x:f>IF(C25&lt;'单币测算'!$I$20,MAX(0,(C25-0.8)*1000000000),"")</x:f>
        <x:v>15000000.000000013</x:v>
      </x:c>
      <x:c r="E25" s="68" t="n">
        <x:f>IF(D25="","",D25/(1-'单币测算'!$D$10))</x:f>
        <x:v>15000000.000000013</x:v>
      </x:c>
      <x:c r="F25" s="68" t="n">
        <x:f>IF(E25="","",199999999.99999997-E25)</x:f>
        <x:v>184999999.99999997</x:v>
      </x:c>
      <x:c r="G25" s="68" t="n">
        <x:f>IF(F25="","",'单币测算'!$I$16/F25)</x:f>
        <x:v>96.5250965215755</x:v>
      </x:c>
      <x:c r="H25" s="68" t="n">
        <x:f>IF(G25="","",(G25-'单币测算'!$I$14)*(1+0.0025))</x:f>
        <x:v>7.2574806947159525</x:v>
      </x:c>
      <x:c r="I25" s="68" t="n">
        <x:f>IF(H25="","",'单币测算'!$D$27+H25)</x:f>
        <x:v>97.43605211999787</x:v>
      </x:c>
      <x:c r="J25" s="68" t="n">
        <x:f>IF(G25="","",G25/F25*1000000000)</x:f>
        <x:v>521.7572784950029</x:v>
      </x:c>
      <x:c r="K25" s="25" t="str">
        <x:f>IF(C25&gt;='单币测算'!$I$20,"不可达","可达")</x:f>
        <x:v>可达</x:v>
      </x:c>
    </x:row>
    <x:row r="26" ht="20" customHeight="1">
      <x:c r="C26" s="107" t="n">
        <x:v>0.8200000000000001</x:v>
      </x:c>
      <x:c r="D26" s="68" t="n">
        <x:f>IF(C26&lt;'单币测算'!$I$20,MAX(0,(C26-0.8)*1000000000),"")</x:f>
        <x:v>20000000.00000002</x:v>
      </x:c>
      <x:c r="E26" s="68" t="n">
        <x:f>IF(D26="","",D26/(1-'单币测算'!$D$10))</x:f>
        <x:v>20000000.00000002</x:v>
      </x:c>
      <x:c r="F26" s="68" t="n">
        <x:f>IF(E26="","",199999999.99999997-E26)</x:f>
        <x:v>179999999.99999994</x:v>
      </x:c>
      <x:c r="G26" s="68" t="n">
        <x:f>IF(F26="","",'单币测算'!$I$16/F26)</x:f>
        <x:v>99.20634920273041</x:v>
      </x:c>
      <x:c r="H26" s="68" t="n">
        <x:f>IF(G26="","",(G26-'单币测算'!$I$14)*(1+0.0025))</x:f>
        <x:v>9.945436507573742</x:v>
      </x:c>
      <x:c r="I26" s="68" t="n">
        <x:f>IF(H26="","",'单币测算'!$D$27+H26)</x:f>
        <x:v>100.12400793285566</x:v>
      </x:c>
      <x:c r="J26" s="68" t="n">
        <x:f>IF(G26="","",G26/F26*1000000000)</x:f>
        <x:v>551.1463844596135</x:v>
      </x:c>
      <x:c r="K26" s="25" t="str">
        <x:f>IF(C26&gt;='单币测算'!$I$20,"不可达","可达")</x:f>
        <x:v>可达</x:v>
      </x:c>
    </x:row>
    <x:row r="27" ht="20" customHeight="1">
      <x:c r="C27" s="107" t="n">
        <x:v>0.8250000000000001</x:v>
      </x:c>
      <x:c r="D27" s="68" t="n">
        <x:f>IF(C27&lt;'单币测算'!$I$20,MAX(0,(C27-0.8)*1000000000),"")</x:f>
        <x:v>25000000.000000022</x:v>
      </x:c>
      <x:c r="E27" s="68" t="n">
        <x:f>IF(D27="","",D27/(1-'单币测算'!$D$10))</x:f>
        <x:v>25000000.000000022</x:v>
      </x:c>
      <x:c r="F27" s="68" t="n">
        <x:f>IF(E27="","",199999999.99999997-E27)</x:f>
        <x:v>174999999.99999994</x:v>
      </x:c>
      <x:c r="G27" s="68" t="n">
        <x:f>IF(F27="","",'单币测算'!$I$16/F27)</x:f>
        <x:v>102.04081632280841</x:v>
      </x:c>
      <x:c r="H27" s="68" t="n">
        <x:f>IF(G27="","",(G27-'单币测算'!$I$14)*(1+0.0025))</x:f>
        <x:v>12.78698979545194</x:v>
      </x:c>
      <x:c r="I27" s="68" t="n">
        <x:f>IF(H27="","",'单币测算'!$D$27+H27)</x:f>
        <x:v>102.96556122073386</x:v>
      </x:c>
      <x:c r="J27" s="68" t="n">
        <x:f>IF(G27="","",G27/F27*1000000000)</x:f>
        <x:v>583.0903789874768</x:v>
      </x:c>
      <x:c r="K27" s="25" t="str">
        <x:f>IF(C27&gt;='单币测算'!$I$20,"不可达","可达")</x:f>
        <x:v>可达</x:v>
      </x:c>
    </x:row>
    <x:row r="28" ht="20" customHeight="1">
      <x:c r="C28" s="107" t="n">
        <x:v>0.8300000000000001</x:v>
      </x:c>
      <x:c r="D28" s="68" t="n">
        <x:f>IF(C28&lt;'单币测算'!$I$20,MAX(0,(C28-0.8)*1000000000),"")</x:f>
        <x:v>30000000.000000026</x:v>
      </x:c>
      <x:c r="E28" s="68" t="n">
        <x:f>IF(D28="","",D28/(1-'单币测算'!$D$10))</x:f>
        <x:v>30000000.000000026</x:v>
      </x:c>
      <x:c r="F28" s="68" t="n">
        <x:f>IF(E28="","",199999999.99999997-E28)</x:f>
        <x:v>169999999.99999994</x:v>
      </x:c>
      <x:c r="G28" s="68" t="n">
        <x:f>IF(F28="","",'单币测算'!$I$16/F28)</x:f>
        <x:v>105.04201680289101</x:v>
      </x:c>
      <x:c r="H28" s="68" t="n">
        <x:f>IF(G28="","",(G28-'单币测算'!$I$14)*(1+0.0025))</x:f>
        <x:v>15.795693276734747</x:v>
      </x:c>
      <x:c r="I28" s="68" t="n">
        <x:f>IF(H28="","",'单币测算'!$D$27+H28)</x:f>
        <x:v>105.97426470201667</x:v>
      </x:c>
      <x:c r="J28" s="68" t="n">
        <x:f>IF(G28="","",G28/F28*1000000000)</x:f>
        <x:v>617.8942164875945</x:v>
      </x:c>
      <x:c r="K28" s="25" t="str">
        <x:f>IF(C28&gt;='单币测算'!$I$20,"不可达","可达")</x:f>
        <x:v>可达</x:v>
      </x:c>
    </x:row>
    <x:row r="29" ht="20" customHeight="1">
      <x:c r="C29" s="107" t="n">
        <x:v>0.8350000000000001</x:v>
      </x:c>
      <x:c r="D29" s="68" t="n">
        <x:f>IF(C29&lt;'单币测算'!$I$20,MAX(0,(C29-0.8)*1000000000),"")</x:f>
        <x:v>35000000.00000003</x:v>
      </x:c>
      <x:c r="E29" s="68" t="n">
        <x:f>IF(D29="","",D29/(1-'单币测算'!$D$10))</x:f>
        <x:v>35000000.00000003</x:v>
      </x:c>
      <x:c r="F29" s="68" t="n">
        <x:f>IF(E29="","",199999999.99999997-E29)</x:f>
        <x:v>164999999.99999994</x:v>
      </x:c>
      <x:c r="G29" s="68" t="n">
        <x:f>IF(F29="","",'单币测算'!$I$16/F29)</x:f>
        <x:v>108.22510822116044</x:v>
      </x:c>
      <x:c r="H29" s="68" t="n">
        <x:f>IF(G29="","",(G29-'单币测算'!$I$14)*(1+0.0025))</x:f>
        <x:v>18.98674242354985</x:v>
      </x:c>
      <x:c r="I29" s="68" t="n">
        <x:f>IF(H29="","",'单币测算'!$D$27+H29)</x:f>
        <x:v>109.16531384883177</x:v>
      </x:c>
      <x:c r="J29" s="68" t="n">
        <x:f>IF(G29="","",G29/F29*1000000000)</x:f>
        <x:v>655.9097467949119</x:v>
      </x:c>
      <x:c r="K29" s="25" t="str">
        <x:f>IF(C29&gt;='单币测算'!$I$20,"不可达","可达")</x:f>
        <x:v>可达</x:v>
      </x:c>
    </x:row>
    <x:row r="30" ht="20" customHeight="1">
      <x:c r="C30" s="107" t="n">
        <x:v>0.8400000000000001</x:v>
      </x:c>
      <x:c r="D30" s="68" t="n">
        <x:f>IF(C30&lt;'单币测算'!$I$20,MAX(0,(C30-0.8)*1000000000),"")</x:f>
        <x:v>40000000.00000004</x:v>
      </x:c>
      <x:c r="E30" s="68" t="n">
        <x:f>IF(D30="","",D30/(1-'单币测算'!$D$10))</x:f>
        <x:v>40000000.00000004</x:v>
      </x:c>
      <x:c r="F30" s="68" t="n">
        <x:f>IF(E30="","",199999999.99999997-E30)</x:f>
        <x:v>159999999.99999994</x:v>
      </x:c>
      <x:c r="G30" s="68" t="n">
        <x:f>IF(F30="","",'单币测算'!$I$16/F30)</x:f>
        <x:v>111.60714285307171</x:v>
      </x:c>
      <x:c r="H30" s="68" t="n">
        <x:f>IF(G30="","",(G30-'单币测算'!$I$14)*(1+0.0025))</x:f>
        <x:v>22.377232142040892</x:v>
      </x:c>
      <x:c r="I30" s="68" t="n">
        <x:f>IF(H30="","",'单币测算'!$D$27+H30)</x:f>
        <x:v>112.55580356732281</x:v>
      </x:c>
      <x:c r="J30" s="68" t="n">
        <x:f>IF(G30="","",G30/F30*1000000000)</x:f>
        <x:v>697.5446428316984</x:v>
      </x:c>
      <x:c r="K30" s="25" t="str">
        <x:f>IF(C30&gt;='单币测算'!$I$20,"不可达","可达")</x:f>
        <x:v>可达</x:v>
      </x:c>
    </x:row>
    <x:row r="31" ht="20" customHeight="1">
      <x:c r="C31" s="107" t="n">
        <x:v>0.8450000000000001</x:v>
      </x:c>
      <x:c r="D31" s="68" t="n">
        <x:f>IF(C31&lt;'单币测算'!$I$20,MAX(0,(C31-0.8)*1000000000),"")</x:f>
        <x:v>45000000.00000004</x:v>
      </x:c>
      <x:c r="E31" s="68" t="n">
        <x:f>IF(D31="","",D31/(1-'单币测算'!$D$10))</x:f>
        <x:v>45000000.00000004</x:v>
      </x:c>
      <x:c r="F31" s="68" t="n">
        <x:f>IF(E31="","",199999999.99999997-E31)</x:f>
        <x:v>154999999.99999994</x:v>
      </x:c>
      <x:c r="G31" s="68" t="n">
        <x:f>IF(F31="","",'单币测算'!$I$16/F31)</x:f>
        <x:v>115.20737326768692</x:v>
      </x:c>
      <x:c r="H31" s="68" t="n">
        <x:f>IF(G31="","",(G31-'单币测算'!$I$14)*(1+0.0025))</x:f>
        <x:v>25.98646313269264</x:v>
      </x:c>
      <x:c r="I31" s="68" t="n">
        <x:f>IF(H31="","",'单币测算'!$D$27+H31)</x:f>
        <x:v>116.16503455797456</x:v>
      </x:c>
      <x:c r="J31" s="68" t="n">
        <x:f>IF(G31="","",G31/F31*1000000000)</x:f>
        <x:v>743.2733759205611</x:v>
      </x:c>
      <x:c r="K31" s="25" t="str">
        <x:f>IF(C31&gt;='单币测算'!$I$20,"不可达","可达")</x:f>
        <x:v>可达</x:v>
      </x:c>
    </x:row>
    <x:row r="32" ht="20" customHeight="1">
      <x:c r="C32" s="107" t="n">
        <x:v>0.8500000000000001</x:v>
      </x:c>
      <x:c r="D32" s="68" t="n">
        <x:f>IF(C32&lt;'单币测算'!$I$20,MAX(0,(C32-0.8)*1000000000),"")</x:f>
        <x:v>50000000.000000045</x:v>
      </x:c>
      <x:c r="E32" s="68" t="n">
        <x:f>IF(D32="","",D32/(1-'单币测算'!$D$10))</x:f>
        <x:v>50000000.000000045</x:v>
      </x:c>
      <x:c r="F32" s="68" t="n">
        <x:f>IF(E32="","",199999999.99999997-E32)</x:f>
        <x:v>149999999.99999994</x:v>
      </x:c>
      <x:c r="G32" s="68" t="n">
        <x:f>IF(F32="","",'单币测算'!$I$16/F32)</x:f>
        <x:v>119.04761904327648</x:v>
      </x:c>
      <x:c r="H32" s="68" t="n">
        <x:f>IF(G32="","",(G32-'单币测算'!$I$14)*(1+0.0025))</x:f>
        <x:v>29.83630952272118</x:v>
      </x:c>
      <x:c r="I32" s="68" t="n">
        <x:f>IF(H32="","",'单币测算'!$D$27+H32)</x:f>
        <x:v>120.0148809480031</x:v>
      </x:c>
      <x:c r="J32" s="68" t="n">
        <x:f>IF(G32="","",G32/F32*1000000000)</x:f>
        <x:v>793.6507936218436</x:v>
      </x:c>
      <x:c r="K32" s="25" t="str">
        <x:f>IF(C32&gt;='单币测算'!$I$20,"不可达","可达")</x:f>
        <x:v>可达</x:v>
      </x:c>
    </x:row>
    <x:row r="33" ht="20" customHeight="1">
      <x:c r="C33" s="107" t="n">
        <x:v>0.8550000000000001</x:v>
      </x:c>
      <x:c r="D33" s="68" t="n">
        <x:f>IF(C33&lt;'单币测算'!$I$20,MAX(0,(C33-0.8)*1000000000),"")</x:f>
        <x:v>55000000.00000005</x:v>
      </x:c>
      <x:c r="E33" s="68" t="n">
        <x:f>IF(D33="","",D33/(1-'单币测算'!$D$10))</x:f>
        <x:v>55000000.00000005</x:v>
      </x:c>
      <x:c r="F33" s="68" t="n">
        <x:f>IF(E33="","",199999999.99999997-E33)</x:f>
        <x:v>144999999.9999999</x:v>
      </x:c>
      <x:c r="G33" s="68" t="n">
        <x:f>IF(F33="","",'单币测算'!$I$16/F33)</x:f>
        <x:v>123.15270935511364</x:v>
      </x:c>
      <x:c r="H33" s="68" t="n">
        <x:f>IF(G33="","",(G33-'单币测算'!$I$14)*(1+0.0025))</x:f>
        <x:v>33.95166256033794</x:v>
      </x:c>
      <x:c r="I33" s="68" t="n">
        <x:f>IF(H33="","",'单币测算'!$D$27+H33)</x:f>
        <x:v>124.13023398561985</x:v>
      </x:c>
      <x:c r="J33" s="68" t="n">
        <x:f>IF(G33="","",G33/F33*1000000000)</x:f>
        <x:v>849.329030035267</x:v>
      </x:c>
      <x:c r="K33" s="25" t="str">
        <x:f>IF(C33&gt;='单币测算'!$I$20,"不可达","可达")</x:f>
        <x:v>可达</x:v>
      </x:c>
    </x:row>
    <x:row r="34" ht="20" customHeight="1">
      <x:c r="C34" s="107" t="n">
        <x:v>0.8600000000000001</x:v>
      </x:c>
      <x:c r="D34" s="68" t="n">
        <x:f>IF(C34&lt;'单币测算'!$I$20,MAX(0,(C34-0.8)*1000000000),"")</x:f>
        <x:v>60000000.00000005</x:v>
      </x:c>
      <x:c r="E34" s="68" t="n">
        <x:f>IF(D34="","",D34/(1-'单币测算'!$D$10))</x:f>
        <x:v>60000000.00000005</x:v>
      </x:c>
      <x:c r="F34" s="68" t="n">
        <x:f>IF(E34="","",199999999.99999997-E34)</x:f>
        <x:v>139999999.9999999</x:v>
      </x:c>
      <x:c r="G34" s="68" t="n">
        <x:f>IF(F34="","",'单币测算'!$I$16/F34)</x:f>
        <x:v>127.55102040351056</x:v>
      </x:c>
      <x:c r="H34" s="68" t="n">
        <x:f>IF(G34="","",(G34-'单币测算'!$I$14)*(1+0.0025))</x:f>
        <x:v>38.36096938635585</x:v>
      </x:c>
      <x:c r="I34" s="68" t="n">
        <x:f>IF(H34="","",'单币测算'!$D$27+H34)</x:f>
        <x:v>128.53954081163778</x:v>
      </x:c>
      <x:c r="J34" s="68" t="n">
        <x:f>IF(G34="","",G34/F34*1000000000)</x:f>
        <x:v>911.0787171679332</x:v>
      </x:c>
      <x:c r="K34" s="25" t="str">
        <x:f>IF(C34&gt;='单币测算'!$I$20,"不可达","可达")</x:f>
        <x:v>可达</x:v>
      </x:c>
    </x:row>
    <x:row r="35" ht="20" customHeight="1">
      <x:c r="C35" s="107" t="n">
        <x:v>0.865</x:v>
      </x:c>
      <x:c r="D35" s="68" t="n">
        <x:f>IF(C35&lt;'单币测算'!$I$20,MAX(0,(C35-0.8)*1000000000),"")</x:f>
        <x:v>64999999.99999995</x:v>
      </x:c>
      <x:c r="E35" s="68" t="n">
        <x:f>IF(D35="","",D35/(1-'单币测算'!$D$10))</x:f>
        <x:v>64999999.99999995</x:v>
      </x:c>
      <x:c r="F35" s="68" t="n">
        <x:f>IF(E35="","",199999999.99999997-E35)</x:f>
        <x:v>135000000.00000003</x:v>
      </x:c>
      <x:c r="G35" s="68" t="n">
        <x:f>IF(F35="","",'单币测算'!$I$16/F35)</x:f>
        <x:v>132.27513227030713</x:v>
      </x:c>
      <x:c r="H35" s="68" t="n">
        <x:f>IF(G35="","",(G35-'单币测算'!$I$14)*(1+0.0025))</x:f>
        <x:v>43.0968915328194</x:v>
      </x:c>
      <x:c r="I35" s="68" t="n">
        <x:f>IF(H35="","",'单币测算'!$D$27+H35)</x:f>
        <x:v>133.27546295810131</x:v>
      </x:c>
      <x:c r="J35" s="68" t="n">
        <x:f>IF(G35="","",G35/F35*1000000000)</x:f>
        <x:v>979.8157945948675</x:v>
      </x:c>
      <x:c r="K35" s="25" t="str">
        <x:f>IF(C35&gt;='单币测算'!$I$20,"不可达","可达")</x:f>
        <x:v>可达</x:v>
      </x:c>
    </x:row>
    <x:row r="36" ht="20" customHeight="1">
      <x:c r="C36" s="107" t="n">
        <x:v>0.8700000000000001</x:v>
      </x:c>
      <x:c r="D36" s="68" t="n">
        <x:f>IF(C36&lt;'单币测算'!$I$20,MAX(0,(C36-0.8)*1000000000),"")</x:f>
        <x:v>70000000.00000006</x:v>
      </x:c>
      <x:c r="E36" s="68" t="n">
        <x:f>IF(D36="","",D36/(1-'单币测算'!$D$10))</x:f>
        <x:v>70000000.00000006</x:v>
      </x:c>
      <x:c r="F36" s="68" t="n">
        <x:f>IF(E36="","",199999999.99999997-E36)</x:f>
        <x:v>129999999.99999991</x:v>
      </x:c>
      <x:c r="G36" s="68" t="n">
        <x:f>IF(F36="","",'单币测算'!$I$16/F36)</x:f>
        <x:v>137.36263735762677</x:v>
      </x:c>
      <x:c r="H36" s="68" t="n">
        <x:f>IF(G36="","",(G36-'单币测算'!$I$14)*(1+0.0025))</x:f>
        <x:v>48.19711538285734</x:v>
      </x:c>
      <x:c r="I36" s="68" t="n">
        <x:f>IF(H36="","",'单币测算'!$D$27+H36)</x:f>
        <x:v>138.37568680813925</x:v>
      </x:c>
      <x:c r="J36" s="68" t="n">
        <x:f>IF(G36="","",G36/F36*1000000000)</x:f>
        <x:v>1056.6356719817452</x:v>
      </x:c>
      <x:c r="K36" s="25" t="str">
        <x:f>IF(C36&gt;='单币测算'!$I$20,"不可达","可达")</x:f>
        <x:v>可达</x:v>
      </x:c>
    </x:row>
    <x:row r="37" ht="20" customHeight="1">
      <x:c r="C37" s="107" t="n">
        <x:v>0.875</x:v>
      </x:c>
      <x:c r="D37" s="68" t="n">
        <x:f>IF(C37&lt;'单币测算'!$I$20,MAX(0,(C37-0.8)*1000000000),"")</x:f>
        <x:v>74999999.99999996</x:v>
      </x:c>
      <x:c r="E37" s="68" t="n">
        <x:f>IF(D37="","",D37/(1-'单币测算'!$D$10))</x:f>
        <x:v>74999999.99999996</x:v>
      </x:c>
      <x:c r="F37" s="68" t="n">
        <x:f>IF(E37="","",199999999.99999997-E37)</x:f>
        <x:v>125000000.00000001</x:v>
      </x:c>
      <x:c r="G37" s="68" t="n">
        <x:f>IF(F37="","",'单币测算'!$I$16/F37)</x:f>
        <x:v>142.8571428519317</x:v>
      </x:c>
      <x:c r="H37" s="68" t="n">
        <x:f>IF(G37="","",(G37-'单币测算'!$I$14)*(1+0.0025))</x:f>
        <x:v>53.705357140898045</x:v>
      </x:c>
      <x:c r="I37" s="68" t="n">
        <x:f>IF(H37="","",'单币测算'!$D$27+H37)</x:f>
        <x:v>143.88392856617997</x:v>
      </x:c>
      <x:c r="J37" s="68" t="n">
        <x:f>IF(G37="","",G37/F37*1000000000)</x:f>
        <x:v>1142.8571428154535</x:v>
      </x:c>
      <x:c r="K37" s="25" t="str">
        <x:f>IF(C37&gt;='单币测算'!$I$20,"不可达","可达")</x:f>
        <x:v>可达</x:v>
      </x:c>
    </x:row>
    <x:row r="38" ht="20" customHeight="1">
      <x:c r="C38" s="107" t="n">
        <x:v>0.88</x:v>
      </x:c>
      <x:c r="D38" s="68" t="n">
        <x:f>IF(C38&lt;'单币测算'!$I$20,MAX(0,(C38-0.8)*1000000000),"")</x:f>
        <x:v>79999999.99999996</x:v>
      </x:c>
      <x:c r="E38" s="68" t="n">
        <x:f>IF(D38="","",D38/(1-'单币测算'!$D$10))</x:f>
        <x:v>79999999.99999996</x:v>
      </x:c>
      <x:c r="F38" s="68" t="n">
        <x:f>IF(E38="","",199999999.99999997-E38)</x:f>
        <x:v>120000000.00000001</x:v>
      </x:c>
      <x:c r="G38" s="68" t="n">
        <x:f>IF(F38="","",'单币测算'!$I$16/F38)</x:f>
        <x:v>148.80952380409553</x:v>
      </x:c>
      <x:c r="H38" s="68" t="n">
        <x:f>IF(G38="","",(G38-'单币测算'!$I$14)*(1+0.0025))</x:f>
        <x:v>59.672619045442275</x:v>
      </x:c>
      <x:c r="I38" s="68" t="n">
        <x:f>IF(H38="","",'单币测算'!$D$27+H38)</x:f>
        <x:v>149.8511904707242</x:v>
      </x:c>
      <x:c r="J38" s="68" t="n">
        <x:f>IF(G38="","",G38/F38*1000000000)</x:f>
        <x:v>1240.0793650341293</x:v>
      </x:c>
      <x:c r="K38" s="25" t="str">
        <x:f>IF(C38&gt;='单币测算'!$I$20,"不可达","可达")</x:f>
        <x:v>可达</x:v>
      </x:c>
    </x:row>
    <x:row r="39" ht="20" customHeight="1">
      <x:c r="C39" s="107" t="n">
        <x:v>0.885</x:v>
      </x:c>
      <x:c r="D39" s="68" t="n">
        <x:f>IF(C39&lt;'单币测算'!$I$20,MAX(0,(C39-0.8)*1000000000),"")</x:f>
        <x:v>84999999.99999997</x:v>
      </x:c>
      <x:c r="E39" s="68" t="n">
        <x:f>IF(D39="","",D39/(1-'单币测算'!$D$10))</x:f>
        <x:v>84999999.99999997</x:v>
      </x:c>
      <x:c r="F39" s="68" t="n">
        <x:f>IF(E39="","",199999999.99999997-E39)</x:f>
        <x:v>115000000</x:v>
      </x:c>
      <x:c r="G39" s="68" t="n">
        <x:f>IF(F39="","",'单币测算'!$I$16/F39)</x:f>
        <x:v>155.2795030999258</x:v>
      </x:c>
      <x:c r="H39" s="68" t="n">
        <x:f>IF(G39="","",(G39-'单币测算'!$I$14)*(1+0.0025))</x:f>
        <x:v>66.15877328951211</x:v>
      </x:c>
      <x:c r="I39" s="68" t="n">
        <x:f>IF(H39="","",'单币测算'!$D$27+H39)</x:f>
        <x:v>156.33734471479403</x:v>
      </x:c>
      <x:c r="J39" s="68" t="n">
        <x:f>IF(G39="","",G39/F39*1000000000)</x:f>
        <x:v>1350.2565486950068</x:v>
      </x:c>
      <x:c r="K39" s="25" t="str">
        <x:f>IF(C39&gt;='单币测算'!$I$20,"不可达","可达")</x:f>
        <x:v>可达</x:v>
      </x:c>
    </x:row>
    <x:row r="40" ht="20" customHeight="1">
      <x:c r="C40" s="107" t="n">
        <x:v>0.89</x:v>
      </x:c>
      <x:c r="D40" s="68" t="n">
        <x:f>IF(C40&lt;'单币测算'!$I$20,MAX(0,(C40-0.8)*1000000000),"")</x:f>
        <x:v>89999999.99999997</x:v>
      </x:c>
      <x:c r="E40" s="68" t="n">
        <x:f>IF(D40="","",D40/(1-'单币测算'!$D$10))</x:f>
        <x:v>89999999.99999997</x:v>
      </x:c>
      <x:c r="F40" s="68" t="n">
        <x:f>IF(E40="","",199999999.99999997-E40)</x:f>
        <x:v>110000000</x:v>
      </x:c>
      <x:c r="G40" s="68" t="n">
        <x:f>IF(F40="","",'单币测算'!$I$16/F40)</x:f>
        <x:v>162.3376623317406</x:v>
      </x:c>
      <x:c r="H40" s="68" t="n">
        <x:f>IF(G40="","",(G40-'单币测算'!$I$14)*(1+0.0025))</x:f>
        <x:v>73.23457791940646</x:v>
      </x:c>
      <x:c r="I40" s="68" t="n">
        <x:f>IF(H40="","",'单币测算'!$D$27+H40)</x:f>
        <x:v>163.41314934468838</x:v>
      </x:c>
      <x:c r="J40" s="68" t="n">
        <x:f>IF(G40="","",G40/F40*1000000000)</x:f>
        <x:v>1475.7969302885508</x:v>
      </x:c>
      <x:c r="K40" s="25" t="str">
        <x:f>IF(C40&gt;='单币测算'!$I$20,"不可达","可达")</x:f>
        <x:v>可达</x:v>
      </x:c>
    </x:row>
    <x:row r="41" ht="20" customHeight="1">
      <x:c r="C41" s="107" t="n">
        <x:v>0.895</x:v>
      </x:c>
      <x:c r="D41" s="68" t="n">
        <x:f>IF(C41&lt;'单币测算'!$I$20,MAX(0,(C41-0.8)*1000000000),"")</x:f>
        <x:v>94999999.99999997</x:v>
      </x:c>
      <x:c r="E41" s="68" t="n">
        <x:f>IF(D41="","",D41/(1-'单币测算'!$D$10))</x:f>
        <x:v>94999999.99999997</x:v>
      </x:c>
      <x:c r="F41" s="68" t="n">
        <x:f>IF(E41="","",199999999.99999997-E41)</x:f>
        <x:v>105000000</x:v>
      </x:c>
      <x:c r="G41" s="68" t="n">
        <x:f>IF(F41="","",'单币测算'!$I$16/F41)</x:f>
        <x:v>170.06802720468065</x:v>
      </x:c>
      <x:c r="H41" s="68" t="n">
        <x:f>IF(G41="","",(G41-'单币测算'!$I$14)*(1+0.0025))</x:f>
        <x:v>80.98426870452886</x:v>
      </x:c>
      <x:c r="I41" s="68" t="n">
        <x:f>IF(H41="","",'单币测算'!$D$27+H41)</x:f>
        <x:v>171.16284012981077</x:v>
      </x:c>
      <x:c r="J41" s="68" t="n">
        <x:f>IF(G41="","",G41/F41*1000000000)</x:f>
        <x:v>1619.6954971874347</x:v>
      </x:c>
      <x:c r="K41" s="25" t="str">
        <x:f>IF(C41&gt;='单币测算'!$I$20,"不可达","可达")</x:f>
        <x:v>可达</x:v>
      </x:c>
    </x:row>
    <x:row r="42" ht="20" customHeight="1">
      <x:c r="C42" s="107" t="n">
        <x:v>0.9</x:v>
      </x:c>
      <x:c r="D42" s="68" t="n">
        <x:f>IF(C42&lt;'单币测算'!$I$20,MAX(0,(C42-0.8)*1000000000),"")</x:f>
        <x:v>99999999.99999999</x:v>
      </x:c>
      <x:c r="E42" s="68" t="n">
        <x:f>IF(D42="","",D42/(1-'单币测算'!$D$10))</x:f>
        <x:v>99999999.99999999</x:v>
      </x:c>
      <x:c r="F42" s="68" t="n">
        <x:f>IF(E42="","",199999999.99999997-E42)</x:f>
        <x:v>99999999.99999999</x:v>
      </x:c>
      <x:c r="G42" s="68" t="n">
        <x:f>IF(F42="","",'单币测算'!$I$16/F42)</x:f>
        <x:v>178.5714285649147</x:v>
      </x:c>
      <x:c r="H42" s="68" t="n">
        <x:f>IF(G42="","",(G42-'单币测算'!$I$14)*(1+0.0025))</x:f>
        <x:v>89.50892856816348</x:v>
      </x:c>
      <x:c r="I42" s="68" t="n">
        <x:f>IF(H42="","",'单币测算'!$D$27+H42)</x:f>
        <x:v>179.68749999344539</x:v>
      </x:c>
      <x:c r="J42" s="68" t="n">
        <x:f>IF(G42="","",G42/F42*1000000000)</x:f>
        <x:v>1785.714285649147</x:v>
      </x:c>
      <x:c r="K42" s="25" t="str">
        <x:f>IF(C42&gt;='单币测算'!$I$20,"不可达","可达")</x:f>
        <x:v>可达</x:v>
      </x:c>
    </x:row>
    <x:row r="43" ht="20" customHeight="1">
      <x:c r="C43" s="107" t="n">
        <x:v>0.905</x:v>
      </x:c>
      <x:c r="D43" s="68" t="n">
        <x:f>IF(C43&lt;'单币测算'!$I$20,MAX(0,(C43-0.8)*1000000000),"")</x:f>
        <x:v>104999999.99999999</x:v>
      </x:c>
      <x:c r="E43" s="68" t="n">
        <x:f>IF(D43="","",D43/(1-'单币测算'!$D$10))</x:f>
        <x:v>104999999.99999999</x:v>
      </x:c>
      <x:c r="F43" s="68" t="n">
        <x:f>IF(E43="","",199999999.99999997-E43)</x:f>
        <x:v>94999999.99999999</x:v>
      </x:c>
      <x:c r="G43" s="68" t="n">
        <x:f>IF(F43="","",'单币测算'!$I$16/F43)</x:f>
        <x:v>187.96992480517335</x:v>
      </x:c>
      <x:c r="H43" s="68" t="n">
        <x:f>IF(G43="","",(G43-'单币测算'!$I$14)*(1+0.0025))</x:f>
        <x:v>98.93092104902279</x:v>
      </x:c>
      <x:c r="I43" s="68" t="n">
        <x:f>IF(H43="","",'单币测算'!$D$27+H43)</x:f>
        <x:v>189.10949247430472</x:v>
      </x:c>
      <x:c r="J43" s="68" t="n">
        <x:f>IF(G43="","",G43/F43*1000000000)</x:f>
        <x:v>1978.6307874228778</x:v>
      </x:c>
      <x:c r="K43" s="25" t="str">
        <x:f>IF(C43&gt;='单币测算'!$I$20,"不可达","可达")</x:f>
        <x:v>可达</x:v>
      </x:c>
    </x:row>
    <x:row r="44" ht="20" customHeight="1">
      <x:c r="C44" s="107" t="n">
        <x:v>0.91</x:v>
      </x:c>
      <x:c r="D44" s="68" t="n">
        <x:f>IF(C44&lt;'单币测算'!$I$20,MAX(0,(C44-0.8)*1000000000),"")</x:f>
        <x:v>109999999.99999999</x:v>
      </x:c>
      <x:c r="E44" s="68" t="n">
        <x:f>IF(D44="","",D44/(1-'单币测算'!$D$10))</x:f>
        <x:v>109999999.99999999</x:v>
      </x:c>
      <x:c r="F44" s="68" t="n">
        <x:f>IF(E44="","",199999999.99999997-E44)</x:f>
        <x:v>89999999.99999999</x:v>
      </x:c>
      <x:c r="G44" s="68" t="n">
        <x:f>IF(F44="","",'单币测算'!$I$16/F44)</x:f>
        <x:v>198.41269840546076</x:v>
      </x:c>
      <x:c r="H44" s="68" t="n">
        <x:f>IF(G44="","",(G44-'单币测算'!$I$14)*(1+0.0025))</x:f>
        <x:v>109.39980158331092</x:v>
      </x:c>
      <x:c r="I44" s="68" t="n">
        <x:f>IF(H44="","",'单币测算'!$D$27+H44)</x:f>
        <x:v>199.57837300859285</x:v>
      </x:c>
      <x:c r="J44" s="68" t="n">
        <x:f>IF(G44="","",G44/F44*1000000000)</x:f>
        <x:v>2204.5855378384535</x:v>
      </x:c>
      <x:c r="K44" s="25" t="str">
        <x:f>IF(C44&gt;='单币测算'!$I$20,"不可达","可达")</x:f>
        <x:v>可达</x:v>
      </x:c>
    </x:row>
    <x:row r="45" ht="20" customHeight="1">
      <x:c r="C45" s="107" t="n">
        <x:v>0.915</x:v>
      </x:c>
      <x:c r="D45" s="68" t="n">
        <x:f>IF(C45&lt;'单币测算'!$I$20,MAX(0,(C45-0.8)*1000000000),"")</x:f>
        <x:v>114999999.99999999</x:v>
      </x:c>
      <x:c r="E45" s="68" t="n">
        <x:f>IF(D45="","",D45/(1-'单币测算'!$D$10))</x:f>
        <x:v>114999999.99999999</x:v>
      </x:c>
      <x:c r="F45" s="68" t="n">
        <x:f>IF(E45="","",199999999.99999997-E45)</x:f>
        <x:v>84999999.99999999</x:v>
      </x:c>
      <x:c r="G45" s="68" t="n">
        <x:f>IF(F45="","",'单币测算'!$I$16/F45)</x:f>
        <x:v>210.084033605782</x:v>
      </x:c>
      <x:c r="H45" s="68" t="n">
        <x:f>IF(G45="","",(G45-'单币测算'!$I$14)*(1+0.0025))</x:f>
        <x:v>121.10031512163296</x:v>
      </x:c>
      <x:c r="I45" s="68" t="n">
        <x:f>IF(H45="","",'单币测算'!$D$27+H45)</x:f>
        <x:v>211.27888654691486</x:v>
      </x:c>
      <x:c r="J45" s="68" t="n">
        <x:f>IF(G45="","",G45/F45*1000000000)</x:f>
        <x:v>2471.576865950377</x:v>
      </x:c>
      <x:c r="K45" s="25" t="str">
        <x:f>IF(C45&gt;='单币测算'!$I$20,"不可达","可达")</x:f>
        <x:v>可达</x:v>
      </x:c>
    </x:row>
    <x:row r="46" ht="20" customHeight="1">
      <x:c r="C46" s="107" t="n">
        <x:v>0.92</x:v>
      </x:c>
      <x:c r="D46" s="68" t="n">
        <x:f>IF(C46&lt;'单币测算'!$I$20,MAX(0,(C46-0.8)*1000000000),"")</x:f>
        <x:v>120000000</x:v>
      </x:c>
      <x:c r="E46" s="68" t="n">
        <x:f>IF(D46="","",D46/(1-'单币测算'!$D$10))</x:f>
        <x:v>120000000</x:v>
      </x:c>
      <x:c r="F46" s="68" t="n">
        <x:f>IF(E46="","",199999999.99999997-E46)</x:f>
        <x:v>79999999.99999997</x:v>
      </x:c>
      <x:c r="G46" s="68" t="n">
        <x:f>IF(F46="","",'单币测算'!$I$16/F46)</x:f>
        <x:v>223.21428570614341</x:v>
      </x:c>
      <x:c r="H46" s="68" t="n">
        <x:f>IF(G46="","",(G46-'单币测算'!$I$14)*(1+0.0025))</x:f>
        <x:v>134.26339285224526</x:v>
      </x:c>
      <x:c r="I46" s="68" t="n">
        <x:f>IF(H46="","",'单币测算'!$D$27+H46)</x:f>
        <x:v>224.44196427752718</x:v>
      </x:c>
      <x:c r="J46" s="68" t="n">
        <x:f>IF(G46="","",G46/F46*1000000000)</x:f>
        <x:v>2790.1785713267936</x:v>
      </x:c>
      <x:c r="K46" s="25" t="str">
        <x:f>IF(C46&gt;='单币测算'!$I$20,"不可达","可达")</x:f>
        <x:v>可达</x:v>
      </x:c>
    </x:row>
    <x:row r="47" ht="20" customHeight="1">
      <x:c r="C47" s="107" t="n">
        <x:v>0.925</x:v>
      </x:c>
      <x:c r="D47" s="68" t="n">
        <x:f>IF(C47&lt;'单币测算'!$I$20,MAX(0,(C47-0.8)*1000000000),"")</x:f>
        <x:v>125000000</x:v>
      </x:c>
      <x:c r="E47" s="68" t="n">
        <x:f>IF(D47="","",D47/(1-'单币测算'!$D$10))</x:f>
        <x:v>125000000</x:v>
      </x:c>
      <x:c r="F47" s="68" t="n">
        <x:f>IF(E47="","",199999999.99999997-E47)</x:f>
        <x:v>74999999.99999997</x:v>
      </x:c>
      <x:c r="G47" s="68" t="n">
        <x:f>IF(F47="","",'单币测算'!$I$16/F47)</x:f>
        <x:v>238.09523808655297</x:v>
      </x:c>
      <x:c r="H47" s="68" t="n">
        <x:f>IF(G47="","",(G47-'单币测算'!$I$14)*(1+0.0025))</x:f>
        <x:v>149.18154761360586</x:v>
      </x:c>
      <x:c r="I47" s="68" t="n">
        <x:f>IF(H47="","",'单币测算'!$D$27+H47)</x:f>
        <x:v>239.36011903888777</x:v>
      </x:c>
      <x:c r="J47" s="68" t="n">
        <x:f>IF(G47="","",G47/F47*1000000000)</x:f>
        <x:v>3174.6031744873744</x:v>
      </x:c>
      <x:c r="K47" s="25" t="str">
        <x:f>IF(C47&gt;='单币测算'!$I$20,"不可达","可达")</x:f>
        <x:v>可达</x:v>
      </x:c>
    </x:row>
    <x:row r="48" ht="20" customHeight="1">
      <x:c r="C48" s="107" t="n">
        <x:v>0.93</x:v>
      </x:c>
      <x:c r="D48" s="68" t="n">
        <x:f>IF(C48&lt;'单币测算'!$I$20,MAX(0,(C48-0.8)*1000000000),"")</x:f>
        <x:v>130000000</x:v>
      </x:c>
      <x:c r="E48" s="68" t="n">
        <x:f>IF(D48="","",D48/(1-'单币测算'!$D$10))</x:f>
        <x:v>130000000</x:v>
      </x:c>
      <x:c r="F48" s="68" t="n">
        <x:f>IF(E48="","",199999999.99999997-E48)</x:f>
        <x:v>69999999.99999997</x:v>
      </x:c>
      <x:c r="G48" s="68" t="n">
        <x:f>IF(F48="","",'单币测算'!$I$16/F48)</x:f>
        <x:v>255.10204080702107</x:v>
      </x:c>
      <x:c r="H48" s="68" t="n">
        <x:f>IF(G48="","",(G48-'单币测算'!$I$14)*(1+0.0025))</x:f>
        <x:v>166.2308673408751</x:v>
      </x:c>
      <x:c r="I48" s="68" t="n">
        <x:f>IF(H48="","",'单币测算'!$D$27+H48)</x:f>
        <x:v>256.409438766157</x:v>
      </x:c>
      <x:c r="J48" s="68" t="n">
        <x:f>IF(G48="","",G48/F48*1000000000)</x:f>
        <x:v>3644.3148686717313</x:v>
      </x:c>
      <x:c r="K48" s="25" t="str">
        <x:f>IF(C48&gt;='单币测算'!$I$20,"不可达","可达")</x:f>
        <x:v>可达</x:v>
      </x:c>
    </x:row>
    <x:row r="49" ht="20" customHeight="1">
      <x:c r="C49" s="107" t="n">
        <x:v>0.935</x:v>
      </x:c>
      <x:c r="D49" s="68" t="n">
        <x:f>IF(C49&lt;'单币测算'!$I$20,MAX(0,(C49-0.8)*1000000000),"")</x:f>
        <x:v>135000000</x:v>
      </x:c>
      <x:c r="E49" s="68" t="n">
        <x:f>IF(D49="","",D49/(1-'单币测算'!$D$10))</x:f>
        <x:v>135000000</x:v>
      </x:c>
      <x:c r="F49" s="68" t="n">
        <x:f>IF(E49="","",199999999.99999997-E49)</x:f>
        <x:v>64999999.99999997</x:v>
      </x:c>
      <x:c r="G49" s="68" t="n">
        <x:f>IF(F49="","",'单币测算'!$I$16/F49)</x:f>
        <x:v>274.7252747152535</x:v>
      </x:c>
      <x:c r="H49" s="68" t="n">
        <x:f>IF(G49="","",(G49-'单币测算'!$I$14)*(1+0.0025))</x:f>
        <x:v>185.9031593338781</x:v>
      </x:c>
      <x:c r="I49" s="68" t="n">
        <x:f>IF(H49="","",'单币测算'!$D$27+H49)</x:f>
        <x:v>276.08173075916</x:v>
      </x:c>
      <x:c r="J49" s="68" t="n">
        <x:f>IF(G49="","",G49/F49*1000000000)</x:f>
        <x:v>4226.542687926978</x:v>
      </x:c>
      <x:c r="K49" s="25" t="str">
        <x:f>IF(C49&gt;='单币测算'!$I$20,"不可达","可达")</x:f>
        <x:v>可达</x:v>
      </x:c>
    </x:row>
    <x:row r="50" ht="20" customHeight="1">
      <x:c r="C50" s="107" t="n">
        <x:v>0.9400000000000001</x:v>
      </x:c>
      <x:c r="D50" s="68" t="n">
        <x:f>IF(C50&lt;'单币测算'!$I$20,MAX(0,(C50-0.8)*1000000000),"")</x:f>
        <x:v>140000000</x:v>
      </x:c>
      <x:c r="E50" s="68" t="n">
        <x:f>IF(D50="","",D50/(1-'单币测算'!$D$10))</x:f>
        <x:v>140000000</x:v>
      </x:c>
      <x:c r="F50" s="68" t="n">
        <x:f>IF(E50="","",199999999.99999997-E50)</x:f>
        <x:v>59999999.99999997</x:v>
      </x:c>
      <x:c r="G50" s="68" t="n">
        <x:f>IF(F50="","",'单币测算'!$I$16/F50)</x:f>
        <x:v>297.61904760819124</x:v>
      </x:c>
      <x:c r="H50" s="68" t="n">
        <x:f>IF(G50="","",(G50-'单币测算'!$I$14)*(1+0.0025))</x:f>
        <x:v>208.85416665904822</x:v>
      </x:c>
      <x:c r="I50" s="68" t="n">
        <x:f>IF(H50="","",'单币测算'!$D$27+H50)</x:f>
        <x:v>299.03273808433016</x:v>
      </x:c>
      <x:c r="J50" s="68" t="n">
        <x:f>IF(G50="","",G50/F50*1000000000)</x:f>
        <x:v>4960.317460136523</x:v>
      </x:c>
      <x:c r="K50" s="25" t="str">
        <x:f>IF(C50&gt;='单币测算'!$I$20,"不可达","可达")</x:f>
        <x:v>可达</x:v>
      </x:c>
    </x:row>
    <x:row r="51" ht="20" customHeight="1">
      <x:c r="C51" s="107" t="n">
        <x:v>0.9450000000000001</x:v>
      </x:c>
      <x:c r="D51" s="68" t="n">
        <x:f>IF(C51&lt;'单币测算'!$I$20,MAX(0,(C51-0.8)*1000000000),"")</x:f>
        <x:v>145000000.00000003</x:v>
      </x:c>
      <x:c r="E51" s="68" t="n">
        <x:f>IF(D51="","",D51/(1-'单币测算'!$D$10))</x:f>
        <x:v>145000000.00000003</x:v>
      </x:c>
      <x:c r="F51" s="68" t="n">
        <x:f>IF(E51="","",199999999.99999997-E51)</x:f>
        <x:v>54999999.99999994</x:v>
      </x:c>
      <x:c r="G51" s="68" t="n">
        <x:f>IF(F51="","",'单币测算'!$I$16/F51)</x:f>
        <x:v>324.67532466348155</x:v>
      </x:c>
      <x:c r="H51" s="68" t="n">
        <x:f>IF(G51="","",(G51-'单币测算'!$I$14)*(1+0.0025))</x:f>
        <x:v>235.97808440697673</x:v>
      </x:c>
      <x:c r="I51" s="68" t="n">
        <x:f>IF(H51="","",'单币测算'!$D$27+H51)</x:f>
        <x:v>326.15665583225865</x:v>
      </x:c>
      <x:c r="J51" s="68" t="n">
        <x:f>IF(G51="","",G51/F51*1000000000)</x:f>
        <x:v>5903.187721154216</x:v>
      </x:c>
      <x:c r="K51" s="25" t="str">
        <x:f>IF(C51&gt;='单币测算'!$I$20,"不可达","可达")</x:f>
        <x:v>可达</x:v>
      </x:c>
    </x:row>
    <x:row r="52" ht="20" customHeight="1">
      <x:c r="C52" s="107" t="n">
        <x:v>0.9500000000000001</x:v>
      </x:c>
      <x:c r="D52" s="68" t="n">
        <x:f>IF(C52&lt;'单币测算'!$I$20,MAX(0,(C52-0.8)*1000000000),"")</x:f>
        <x:v>150000000.00000003</x:v>
      </x:c>
      <x:c r="E52" s="68" t="n">
        <x:f>IF(D52="","",D52/(1-'单币测算'!$D$10))</x:f>
        <x:v>150000000.00000003</x:v>
      </x:c>
      <x:c r="F52" s="68" t="n">
        <x:f>IF(E52="","",199999999.99999997-E52)</x:f>
        <x:v>49999999.99999994</x:v>
      </x:c>
      <x:c r="G52" s="68" t="n">
        <x:f>IF(F52="","",'单币测算'!$I$16/F52)</x:f>
        <x:v>357.14285712982974</x:v>
      </x:c>
      <x:c r="H52" s="68" t="n">
        <x:f>IF(G52="","",(G52-'单币测算'!$I$14)*(1+0.0025))</x:f>
        <x:v>268.5267857044908</x:v>
      </x:c>
      <x:c r="I52" s="68" t="n">
        <x:f>IF(H52="","",'单币测算'!$D$27+H52)</x:f>
        <x:v>358.7053571297727</x:v>
      </x:c>
      <x:c r="J52" s="68" t="n">
        <x:f>IF(G52="","",G52/F52*1000000000)</x:f>
        <x:v>7142.857142596603</x:v>
      </x:c>
      <x:c r="K52" s="25" t="str">
        <x:f>IF(C52&gt;='单币测算'!$I$20,"不可达","可达")</x:f>
        <x:v>可达</x:v>
      </x:c>
    </x:row>
    <x:row r="53" ht="20" customHeight="1">
      <x:c r="C53" s="107" t="n">
        <x:v>0.9550000000000001</x:v>
      </x:c>
      <x:c r="D53" s="68" t="n">
        <x:f>IF(C53&lt;'单币测算'!$I$20,MAX(0,(C53-0.8)*1000000000),"")</x:f>
        <x:v>155000000.00000003</x:v>
      </x:c>
      <x:c r="E53" s="68" t="n">
        <x:f>IF(D53="","",D53/(1-'单币测算'!$D$10))</x:f>
        <x:v>155000000.00000003</x:v>
      </x:c>
      <x:c r="F53" s="68" t="n">
        <x:f>IF(E53="","",199999999.99999997-E53)</x:f>
        <x:v>44999999.99999994</x:v>
      </x:c>
      <x:c r="G53" s="68" t="n">
        <x:f>IF(F53="","",'单币测算'!$I$16/F53)</x:f>
        <x:v>396.82539681092203</x:v>
      </x:c>
      <x:c r="H53" s="68" t="n">
        <x:f>IF(G53="","",(G53-'单币测算'!$I$14)*(1+0.0025))</x:f>
        <x:v>308.30853173478584</x:v>
      </x:c>
      <x:c r="I53" s="68" t="n">
        <x:f>IF(H53="","",'单币测算'!$D$27+H53)</x:f>
        <x:v>398.48710316006776</x:v>
      </x:c>
      <x:c r="J53" s="68" t="n">
        <x:f>IF(G53="","",G53/F53*1000000000)</x:f>
        <x:v>8818.342151353836</x:v>
      </x:c>
      <x:c r="K53" s="25" t="str">
        <x:f>IF(C53&gt;='单币测算'!$I$20,"不可达","可达")</x:f>
        <x:v>可达</x:v>
      </x:c>
    </x:row>
    <x:row r="54" ht="20" customHeight="1">
      <x:c r="C54" s="107" t="n">
        <x:v>0.9600000000000001</x:v>
      </x:c>
      <x:c r="D54" s="68" t="n">
        <x:f>IF(C54&lt;'单币测算'!$I$20,MAX(0,(C54-0.8)*1000000000),"")</x:f>
        <x:v>160000000.00000003</x:v>
      </x:c>
      <x:c r="E54" s="68" t="n">
        <x:f>IF(D54="","",D54/(1-'单币测算'!$D$10))</x:f>
        <x:v>160000000.00000003</x:v>
      </x:c>
      <x:c r="F54" s="68" t="n">
        <x:f>IF(E54="","",199999999.99999997-E54)</x:f>
        <x:v>39999999.99999994</x:v>
      </x:c>
      <x:c r="G54" s="68" t="n">
        <x:f>IF(F54="","",'单币测算'!$I$16/F54)</x:f>
        <x:v>446.42857141228734</x:v>
      </x:c>
      <x:c r="H54" s="68" t="n">
        <x:f>IF(G54="","",(G54-'单币测算'!$I$14)*(1+0.0025))</x:f>
        <x:v>358.0357142726545</x:v>
      </x:c>
      <x:c r="I54" s="68" t="n">
        <x:f>IF(H54="","",'单币测算'!$D$27+H54)</x:f>
        <x:v>448.2142856979364</x:v>
      </x:c>
      <x:c r="J54" s="68" t="n">
        <x:f>IF(G54="","",G54/F54*1000000000)</x:f>
        <x:v>11160.7142853072</x:v>
      </x:c>
      <x:c r="K54" s="25" t="str">
        <x:f>IF(C54&gt;='单币测算'!$I$20,"不可达","可达")</x:f>
        <x:v>可达</x:v>
      </x:c>
    </x:row>
    <x:row r="55" ht="20" customHeight="1">
      <x:c r="C55" s="107" t="n">
        <x:v>0.9650000000000001</x:v>
      </x:c>
      <x:c r="D55" s="68" t="n">
        <x:f>IF(C55&lt;'单币测算'!$I$20,MAX(0,(C55-0.8)*1000000000),"")</x:f>
        <x:v>165000000.00000003</x:v>
      </x:c>
      <x:c r="E55" s="68" t="n">
        <x:f>IF(D55="","",D55/(1-'单币测算'!$D$10))</x:f>
        <x:v>165000000.00000003</x:v>
      </x:c>
      <x:c r="F55" s="68" t="n">
        <x:f>IF(E55="","",199999999.99999997-E55)</x:f>
        <x:v>34999999.99999994</x:v>
      </x:c>
      <x:c r="G55" s="68" t="n">
        <x:f>IF(F55="","",'单币测算'!$I$16/F55)</x:f>
        <x:v>510.20408161404276</x:v>
      </x:c>
      <x:c r="H55" s="68" t="n">
        <x:f>IF(G55="","",(G55-'单币测算'!$I$14)*(1+0.0025))</x:f>
        <x:v>421.9706632499143</x:v>
      </x:c>
      <x:c r="I55" s="68" t="n">
        <x:f>IF(H55="","",'单币测算'!$D$27+H55)</x:f>
        <x:v>512.1492346751962</x:v>
      </x:c>
      <x:c r="J55" s="68" t="n">
        <x:f>IF(G55="","",G55/F55*1000000000)</x:f>
        <x:v>14577.25947468696</x:v>
      </x:c>
      <x:c r="K55" s="25" t="str">
        <x:f>IF(C55&gt;='单币测算'!$I$20,"不可达","可达")</x:f>
        <x:v>可达</x:v>
      </x:c>
    </x:row>
    <x:row r="56" ht="20" customHeight="1">
      <x:c r="C56" s="107" t="n">
        <x:v>0.9700000000000001</x:v>
      </x:c>
      <x:c r="D56" s="68" t="n">
        <x:f>IF(C56&lt;'单币测算'!$I$20,MAX(0,(C56-0.8)*1000000000),"")</x:f>
        <x:v>170000000.00000003</x:v>
      </x:c>
      <x:c r="E56" s="68" t="n">
        <x:f>IF(D56="","",D56/(1-'单币测算'!$D$10))</x:f>
        <x:v>170000000.00000003</x:v>
      </x:c>
      <x:c r="F56" s="68" t="n">
        <x:f>IF(E56="","",199999999.99999997-E56)</x:f>
        <x:v>29999999.99999994</x:v>
      </x:c>
      <x:c r="G56" s="68" t="n">
        <x:f>IF(F56="","",'单币测算'!$I$16/F56)</x:f>
        <x:v>595.2380952163834</x:v>
      </x:c>
      <x:c r="H56" s="68" t="n">
        <x:f>IF(G56="","",(G56-'单币测算'!$I$14)*(1+0.0025))</x:f>
        <x:v>507.21726188626087</x:v>
      </x:c>
      <x:c r="I56" s="68" t="n">
        <x:f>IF(H56="","",'单币测算'!$D$27+H56)</x:f>
        <x:v>597.3958333115428</x:v>
      </x:c>
      <x:c r="J56" s="68" t="n">
        <x:f>IF(G56="","",G56/F56*1000000000)</x:f>
        <x:v>19841.269840546152</x:v>
      </x:c>
      <x:c r="K56" s="25" t="str">
        <x:f>IF(C56&gt;='单币测算'!$I$20,"不可达","可达")</x:f>
        <x:v>可达</x:v>
      </x:c>
    </x:row>
    <x:row r="57" ht="20" customHeight="1">
      <x:c r="C57" s="107" t="n">
        <x:v>0.9750000000000001</x:v>
      </x:c>
      <x:c r="D57" s="68" t="n">
        <x:f>IF(C57&lt;'单币测算'!$I$20,MAX(0,(C57-0.8)*1000000000),"")</x:f>
        <x:v>175000000.00000003</x:v>
      </x:c>
      <x:c r="E57" s="68" t="n">
        <x:f>IF(D57="","",D57/(1-'单币测算'!$D$10))</x:f>
        <x:v>175000000.00000003</x:v>
      </x:c>
      <x:c r="F57" s="68" t="n">
        <x:f>IF(E57="","",199999999.99999997-E57)</x:f>
        <x:v>24999999.99999994</x:v>
      </x:c>
      <x:c r="G57" s="68" t="n">
        <x:f>IF(F57="","",'单币测算'!$I$16/F57)</x:f>
        <x:v>714.2857142596604</x:v>
      </x:c>
      <x:c r="H57" s="68" t="n">
        <x:f>IF(G57="","",(G57-'单币测算'!$I$14)*(1+0.0025))</x:f>
        <x:v>626.562499977146</x:v>
      </x:c>
      <x:c r="I57" s="68" t="n">
        <x:f>IF(H57="","",'单币测算'!$D$27+H57)</x:f>
        <x:v>716.7410714024279</x:v>
      </x:c>
      <x:c r="J57" s="68" t="n">
        <x:f>IF(G57="","",G57/F57*1000000000)</x:f>
        <x:v>28571.428570386484</x:v>
      </x:c>
      <x:c r="K57" s="25" t="str">
        <x:f>IF(C57&gt;='单币测算'!$I$20,"不可达","可达")</x:f>
        <x:v>可达</x:v>
      </x:c>
    </x:row>
    <x:row r="58" ht="20" customHeight="1">
      <x:c r="C58" s="107" t="n">
        <x:v>0.98</x:v>
      </x:c>
      <x:c r="D58" s="68" t="n">
        <x:f>IF(C58&lt;'单币测算'!$I$20,MAX(0,(C58-0.8)*1000000000),"")</x:f>
        <x:v>179999999.99999994</x:v>
      </x:c>
      <x:c r="E58" s="68" t="n">
        <x:f>IF(D58="","",D58/(1-'单币测算'!$D$10))</x:f>
        <x:v>179999999.99999994</x:v>
      </x:c>
      <x:c r="F58" s="68" t="n">
        <x:f>IF(E58="","",199999999.99999997-E58)</x:f>
        <x:v>20000000.00000003</x:v>
      </x:c>
      <x:c r="G58" s="68" t="n">
        <x:f>IF(F58="","",'单币测算'!$I$16/F58)</x:f>
        <x:v>892.857142824572</x:v>
      </x:c>
      <x:c r="H58" s="68" t="n">
        <x:f>IF(G58="","",(G58-'单币测算'!$I$14)*(1+0.0025))</x:f>
        <x:v>805.5803571134699</x:v>
      </x:c>
      <x:c r="I58" s="68" t="n">
        <x:f>IF(H58="","",'单币测算'!$D$27+H58)</x:f>
        <x:v>895.7589285387518</x:v>
      </x:c>
      <x:c r="J58" s="68" t="n">
        <x:f>IF(G58="","",G58/F58*1000000000)</x:f>
        <x:v>44642.85714122853</x:v>
      </x:c>
      <x:c r="K58" s="25" t="str">
        <x:f>IF(C58&gt;='单币测算'!$I$20,"不可达","可达")</x:f>
        <x:v>可达</x:v>
      </x:c>
    </x:row>
    <x:row r="59" ht="20" customHeight="1">
      <x:c r="C59" s="107" t="n">
        <x:v>0.9850000000000001</x:v>
      </x:c>
      <x:c r="D59" s="68" t="n">
        <x:f>IF(C59&lt;'单币测算'!$I$20,MAX(0,(C59-0.8)*1000000000),"")</x:f>
        <x:v>185000000.00000006</x:v>
      </x:c>
      <x:c r="E59" s="68" t="n">
        <x:f>IF(D59="","",D59/(1-'单币测算'!$D$10))</x:f>
        <x:v>185000000.00000006</x:v>
      </x:c>
      <x:c r="F59" s="68" t="n">
        <x:f>IF(E59="","",199999999.99999997-E59)</x:f>
        <x:v>14999999.99999991</x:v>
      </x:c>
      <x:c r="G59" s="68" t="n">
        <x:f>IF(F59="","",'单币测算'!$I$16/F59)</x:f>
        <x:v>1190.4761904327715</x:v>
      </x:c>
      <x:c r="H59" s="68" t="n">
        <x:f>IF(G59="","",(G59-'单币测算'!$I$14)*(1+0.0025))</x:f>
        <x:v>1103.9434523406899</x:v>
      </x:c>
      <x:c r="I59" s="68" t="n">
        <x:f>IF(H59="","",'单币测算'!$D$27+H59)</x:f>
        <x:v>1194.1220237659718</x:v>
      </x:c>
      <x:c r="J59" s="68" t="n">
        <x:f>IF(G59="","",G59/F59*1000000000)</x:f>
        <x:v>79365.07936218524</x:v>
      </x:c>
      <x:c r="K59" s="25" t="str">
        <x:f>IF(C59&gt;='单币测算'!$I$20,"不可达","可达")</x:f>
        <x:v>可达</x:v>
      </x:c>
    </x:row>
    <x:row r="60" ht="20" customHeight="1">
      <x:c r="C60" s="107" t="n">
        <x:v>0.99</x:v>
      </x:c>
      <x:c r="D60" s="68" t="n">
        <x:f>IF(C60&lt;'单币测算'!$I$20,MAX(0,(C60-0.8)*1000000000),"")</x:f>
        <x:v>189999999.99999994</x:v>
      </x:c>
      <x:c r="E60" s="68" t="n">
        <x:f>IF(D60="","",D60/(1-'单币测算'!$D$10))</x:f>
        <x:v>189999999.99999994</x:v>
      </x:c>
      <x:c r="F60" s="68" t="n">
        <x:f>IF(E60="","",199999999.99999997-E60)</x:f>
        <x:v>10000000.00000003</x:v>
      </x:c>
      <x:c r="G60" s="68" t="n">
        <x:f>IF(F60="","",'单币测算'!$I$16/F60)</x:f>
        <x:v>1785.7142856491414</x:v>
      </x:c>
      <x:c r="H60" s="68" t="n">
        <x:f>IF(G60="","",(G60-'单币测算'!$I$14)*(1+0.0025))</x:f>
        <x:v>1700.6696427951008</x:v>
      </x:c>
      <x:c r="I60" s="68" t="n">
        <x:f>IF(H60="","",'单币测算'!$D$27+H60)</x:f>
        <x:v>1790.8482142203827</x:v>
      </x:c>
      <x:c r="J60" s="68" t="n">
        <x:f>IF(G60="","",G60/F60*1000000000)</x:f>
        <x:v>178571.4285649136</x:v>
      </x:c>
      <x:c r="K60" s="25" t="str">
        <x:f>IF(C60&gt;='单币测算'!$I$20,"不可达","可达")</x:f>
        <x:v>可达</x:v>
      </x:c>
    </x:row>
    <x:row r="61" ht="20" customHeight="1">
      <x:c r="C61" s="107" t="n">
        <x:v>0.9950000000000001</x:v>
      </x:c>
      <x:c r="D61" s="68" t="n">
        <x:f>IF(C61&lt;'单币测算'!$I$20,MAX(0,(C61-0.8)*1000000000),"")</x:f>
        <x:v>195000000.00000006</x:v>
      </x:c>
      <x:c r="E61" s="68" t="n">
        <x:f>IF(D61="","",D61/(1-'单币测算'!$D$10))</x:f>
        <x:v>195000000.00000006</x:v>
      </x:c>
      <x:c r="F61" s="68" t="n">
        <x:f>IF(E61="","",199999999.99999997-E61)</x:f>
        <x:v>4999999.999999911</x:v>
      </x:c>
      <x:c r="G61" s="68" t="n">
        <x:f>IF(F61="","",'单币测算'!$I$16/F61)</x:f>
        <x:v>3571.4285712983574</x:v>
      </x:c>
      <x:c r="H61" s="68" t="n">
        <x:f>IF(G61="","",(G61-'单币测算'!$I$14)*(1+0.0025))</x:f>
        <x:v>3490.8482141584395</x:v>
      </x:c>
      <x:c r="I61" s="68" t="n">
        <x:f>IF(H61="","",'单币测算'!$D$27+H61)</x:f>
        <x:v>3581.0267855837214</x:v>
      </x:c>
      <x:c r="J61" s="68" t="n">
        <x:f>IF(G61="","",G61/F61*1000000000)</x:f>
        <x:v>714285.7142596842</x:v>
      </x:c>
      <x:c r="K61" s="25" t="str">
        <x:f>IF(C61&gt;='单币测算'!$I$20,"不可达","可达")</x:f>
        <x:v>可达</x:v>
      </x:c>
    </x:row>
    <x:row r="62" ht="20" customHeight="1">
      <x:c r="C62" s="108" t="n">
        <x:v>1</x:v>
      </x:c>
      <x:c r="D62" s="71" t="str">
        <x:f>IF(C62&lt;'单币测算'!$I$20,MAX(0,(C62-0.8)*1000000000),"")</x:f>
      </x:c>
      <x:c r="E62" s="71" t="str">
        <x:f>IF(D62="","",D62/(1-'单币测算'!$D$10))</x:f>
      </x:c>
      <x:c r="F62" s="71" t="str">
        <x:f>IF(E62="","",199999999.99999997-E62)</x:f>
      </x:c>
      <x:c r="G62" s="71" t="str">
        <x:f>IF(F62="","",'单币测算'!$I$16/F62)</x:f>
      </x:c>
      <x:c r="H62" s="71" t="str">
        <x:f>IF(G62="","",(G62-'单币测算'!$I$14)*(1+0.0025))</x:f>
      </x:c>
      <x:c r="I62" s="71" t="str">
        <x:f>IF(H62="","",'单币测算'!$D$27+H62)</x:f>
      </x:c>
      <x:c r="J62" s="71" t="str">
        <x:f>IF(G62="","",G62/F62*1000000000)</x:f>
      </x:c>
      <x:c r="K62" s="26" t="str">
        <x:f>IF(C62&gt;='单币测算'!$I$20,"不可达","可达")</x:f>
        <x:v>不可达</x:v>
      </x:c>
    </x:row>
  </x:sheetData>
  <x:conditionalFormatting sqref="K22:K62">
    <x:cfRule type="containsText" dxfId="4" priority="1" operator="containsText" text="不可达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20" hidden="0" customWidth="1"/>
    <x:col min="17" max="17" width="28" hidden="0" customWidth="1"/>
    <x:col min="18" max="18" width="55" hidden="0" customWidth="1"/>
    <x:col min="19" max="19" width="32" hidden="0" customWidth="1"/>
  </x:cols>
  <x:sheetData>
    <x:row r="2" ht="20" customHeight="1">
      <x:c r="C2" s="248" t="str">
        <x:v>Flap BSC RWA Quote 参数</x:v>
      </x:c>
      <x:c r="D2" s="249"/>
      <x:c r="E2" s="249"/>
      <x:c r="F2" s="249"/>
      <x:c r="G2" s="249"/>
      <x:c r="H2" s="249"/>
      <x:c r="I2" s="249"/>
      <x:c r="J2" s="249"/>
      <x:c r="K2" s="249"/>
      <x:c r="L2" s="249"/>
      <x:c r="M2" s="249"/>
      <x:c r="N2" s="249"/>
      <x:c r="O2" s="249"/>
    </x:row>
    <x:row r="3" ht="20" customHeight="1">
      <x:c r="C3" s="250" t="str">
        <x:v>2026-09-10 官方接口快照：23 个 RWA Quote。现有 Launch 参数固定；新 Launch 应重新读取官方接口。</x:v>
      </x:c>
      <x:c r="D3" s="250"/>
      <x:c r="E3" s="250"/>
      <x:c r="F3" s="250"/>
      <x:c r="G3" s="250"/>
      <x:c r="H3" s="250"/>
      <x:c r="I3" s="250"/>
      <x:c r="J3" s="250"/>
      <x:c r="K3" s="250"/>
      <x:c r="L3" s="250"/>
      <x:c r="M3" s="250"/>
      <x:c r="N3" s="250"/>
      <x:c r="O3" s="250"/>
    </x:row>
    <x:row r="4" ht="20" customHeight="1">
      <x:c r="C4" s="245"/>
      <x:c r="D4" s="245"/>
      <x:c r="E4" s="245"/>
      <x:c r="F4" s="245"/>
      <x:c r="G4" s="245"/>
      <x:c r="H4" s="245"/>
      <x:c r="I4" s="245"/>
      <x:c r="J4" s="245"/>
      <x:c r="K4" s="245"/>
      <x:c r="L4" s="245"/>
      <x:c r="M4" s="245"/>
      <x:c r="N4" s="245"/>
      <x:c r="O4" s="245"/>
    </x:row>
    <x:row r="5" ht="20" customHeight="1">
      <x:c r="C5" s="267" t="str">
        <x:v>Flap Portal</x:v>
      </x:c>
      <x:c r="D5" s="268" t="str">
        <x:v>​0xe2cE6ab80874Fa9Fa2aAE65D277Dd6B8e65C9De0 · 核验区块 121074671 · Portal 买/卖基础费 1.00% / 1.00% · 标准 Pancake V3 LP 费 0.25%</x:v>
      </x:c>
      <x:c r="E5" s="268"/>
      <x:c r="F5" s="268"/>
      <x:c r="G5" s="268"/>
      <x:c r="H5" s="268"/>
      <x:c r="I5" s="268"/>
      <x:c r="J5" s="268"/>
      <x:c r="K5" s="268"/>
      <x:c r="L5" s="268"/>
      <x:c r="M5" s="268"/>
      <x:c r="N5" s="268"/>
      <x:c r="O5" s="268"/>
      <x:c r="P5" t="str">
        <x:v>每日价格快照</x:v>
      </x:c>
      <x:c r="Q5" t="str">
        <x:v>网站下载时读取最新发布版</x:v>
      </x:c>
      <x:c r="R5" t="str">
        <x:v>切换 Quote 自动引用此页</x:v>
      </x:c>
      <x:c r="S5" t="str">
        <x:v>本地可手动更新价格</x:v>
      </x:c>
    </x:row>
    <x:row r="6" ht="20" customHeight="1">
      <x:c r="C6" s="267" t="str">
        <x:v>Quote API</x:v>
      </x:c>
      <x:c r="D6" s="268" t="str">
        <x:v>​https://flap.sh/api/launch/quote-tokens</x:v>
      </x:c>
      <x:c r="E6" s="268"/>
      <x:c r="F6" s="268"/>
      <x:c r="G6" s="268"/>
      <x:c r="H6" s="268"/>
      <x:c r="I6" s="268"/>
      <x:c r="J6" s="268"/>
      <x:c r="K6" s="268"/>
      <x:c r="L6" s="268"/>
      <x:c r="M6" s="268"/>
      <x:c r="N6" s="268"/>
      <x:c r="O6" s="268"/>
    </x:row>
    <x:row r="7" ht="20" customHeight="1">
      <x:c r="C7" s="267" t="str">
        <x:v>联合曲线文档</x:v>
      </x:c>
      <x:c r="D7" s="268" t="str">
        <x:v>​https://docs.flap.sh/flap/developers/basic-and-mechanism/bonding-curve</x:v>
      </x:c>
      <x:c r="E7" s="268"/>
      <x:c r="F7" s="268"/>
      <x:c r="G7" s="268"/>
      <x:c r="H7" s="268"/>
      <x:c r="I7" s="268"/>
      <x:c r="J7" s="268"/>
      <x:c r="K7" s="268"/>
      <x:c r="L7" s="268"/>
      <x:c r="M7" s="268"/>
      <x:c r="N7" s="268"/>
      <x:c r="O7" s="268"/>
    </x:row>
    <x:row r="8" ht="20" customHeight="1">
      <x:c r="C8" s="267" t="str">
        <x:v>PreBond Tax 文档</x:v>
      </x:c>
      <x:c r="D8" s="268" t="str">
        <x:v>​https://docs.flap.sh/flap/developers/basic-and-mechanism/flap-tax-token/prebond-tax</x:v>
      </x:c>
      <x:c r="E8" s="268"/>
      <x:c r="F8" s="268"/>
      <x:c r="G8" s="268"/>
      <x:c r="H8" s="268"/>
      <x:c r="I8" s="268"/>
      <x:c r="J8" s="268"/>
      <x:c r="K8" s="268"/>
      <x:c r="L8" s="268"/>
      <x:c r="M8" s="268"/>
      <x:c r="N8" s="268"/>
      <x:c r="O8" s="268"/>
    </x:row>
    <x:row r="9" ht="20" customHeight="1">
      <x:c r="C9" s="267" t="str">
        <x:v>Portal 接口</x:v>
      </x:c>
      <x:c r="D9" s="268" t="str">
        <x:v>​https://github.com/flap-sh/FlapVaultExample/blob/main/src/flap/IPortal.sol</x:v>
      </x:c>
      <x:c r="E9" s="268"/>
      <x:c r="F9" s="268"/>
      <x:c r="G9" s="268"/>
      <x:c r="H9" s="268"/>
      <x:c r="I9" s="268"/>
      <x:c r="J9" s="268"/>
      <x:c r="K9" s="268"/>
      <x:c r="L9" s="268"/>
      <x:c r="M9" s="268"/>
      <x:c r="N9" s="268"/>
      <x:c r="O9" s="268"/>
    </x:row>
    <x:row r="10" ht="20" customHeight="1">
      <x:c r="C10" s="267" t="str">
        <x:v>发射机制</x:v>
      </x:c>
      <x:c r="D10" s="268" t="str">
        <x:v>​10 亿总量；80% 联合曲线毕业；剩余 2 亿 TOKEN 与真实 Quote 储备进入 DEX。</x:v>
      </x:c>
      <x:c r="E10" s="268"/>
      <x:c r="F10" s="268"/>
      <x:c r="G10" s="268"/>
      <x:c r="H10" s="268"/>
      <x:c r="I10" s="268"/>
      <x:c r="J10" s="268"/>
      <x:c r="K10" s="268"/>
      <x:c r="L10" s="268"/>
      <x:c r="M10" s="268"/>
      <x:c r="N10" s="268"/>
      <x:c r="O10" s="268"/>
    </x:row>
    <x:row r="11" ht="20" customHeight="1">
      <x:c r="C11" s="267" t="str">
        <x:v>税率口径</x:v>
      </x:c>
      <x:c r="D11" s="268" t="str">
        <x:v>​Tax V3 买税/卖税逐币设置。内盘税作为额外 Quote 费；DEX 买税从 TOKEN 输出扣除。</x:v>
      </x:c>
      <x:c r="E11" s="268"/>
      <x:c r="F11" s="268"/>
      <x:c r="G11" s="268"/>
      <x:c r="H11" s="268"/>
      <x:c r="I11" s="268"/>
      <x:c r="J11" s="268"/>
      <x:c r="K11" s="268"/>
      <x:c r="L11" s="268"/>
      <x:c r="M11" s="268"/>
      <x:c r="N11" s="268"/>
      <x:c r="O11" s="268"/>
    </x:row>
    <x:row r="12" ht="20" customHeight="1">
      <x:c r="C12" s="245"/>
      <x:c r="D12" s="245"/>
      <x:c r="E12" s="245"/>
      <x:c r="F12" s="245"/>
      <x:c r="G12" s="245"/>
      <x:c r="H12" s="245"/>
      <x:c r="I12" s="245"/>
      <x:c r="J12" s="245"/>
      <x:c r="K12" s="245"/>
      <x:c r="L12" s="245"/>
      <x:c r="M12" s="245"/>
      <x:c r="N12" s="245"/>
      <x:c r="O12" s="245"/>
    </x:row>
    <x:row r="13" ht="36" customHeight="1">
      <x:c r="C13" s="19" t="str">
        <x:v>序号</x:v>
      </x:c>
      <x:c r="D13" s="20" t="str">
        <x:v>类别</x:v>
      </x:c>
      <x:c r="E13" s="20" t="str">
        <x:v>Symbol</x:v>
      </x:c>
      <x:c r="F13" s="20" t="str">
        <x:v>名称</x:v>
      </x:c>
      <x:c r="G13" s="20" t="str">
        <x:v>Quote 合约</x:v>
      </x:c>
      <x:c r="H13" s="20" t="str">
        <x:v>Decimals</x:v>
      </x:c>
      <x:c r="I13" s="20" t="str">
        <x:v>r</x:v>
      </x:c>
      <x:c r="J13" s="20" t="str">
        <x:v>h</x:v>
      </x:c>
      <x:c r="K13" s="20" t="str">
        <x:v>k</x:v>
      </x:c>
      <x:c r="L13" s="20" t="str">
        <x:v>毕业真实 Quote</x:v>
      </x:c>
      <x:c r="M13" s="20" t="str">
        <x:v>DEX 初始 TOKEN</x:v>
      </x:c>
      <x:c r="N13" s="20" t="str">
        <x:v>Outer K</x:v>
      </x:c>
      <x:c r="O13" s="21" t="str">
        <x:v>数据日期</x:v>
      </x:c>
      <x:c r="P13" s="7" t="str">
        <x:v>Quote / USDT 价格</x:v>
      </x:c>
      <x:c r="Q13" s="7" t="str">
        <x:v>价格时间 / UTC</x:v>
      </x:c>
      <x:c r="R13" s="7" t="str">
        <x:v>价格来源</x:v>
      </x:c>
      <x:c r="S13" s="7" t="str">
        <x:v>说明</x:v>
      </x:c>
    </x:row>
    <x:row r="14" ht="36" customHeight="1">
      <x:c r="C14" s="24" t="n">
        <x:v>1</x:v>
      </x:c>
      <x:c r="D14" s="24" t="str">
        <x:v>股票 / ETF RWA</x:v>
      </x:c>
      <x:c r="E14" s="30" t="str">
        <x:v>SPCXB</x:v>
      </x:c>
      <x:c r="F14" s="30" t="str">
        <x:v>SpaceX</x:v>
      </x:c>
      <x:c r="G14" s="31" t="str">
        <x:v>​0xbe9D156892E55e7154BcD3cB0FEA677F9D3103E1</x:v>
      </x:c>
      <x:c r="H14" s="31" t="n">
        <x:v>18</x:v>
      </x:c>
      <x:c r="I14" s="31" t="n">
        <x:v>34.26749453</x:v>
      </x:c>
      <x:c r="J14" s="31" t="n">
        <x:v>107036751</x:v>
      </x:c>
      <x:c r="K14" s="31" t="n">
        <x:v>37935375809.401474</x:v>
      </x:c>
      <x:c r="L14" s="31" t="n">
        <x:v>89.28571428245735</x:v>
      </x:c>
      <x:c r="M14" s="31" t="n">
        <x:v>200000000</x:v>
      </x:c>
      <x:c r="N14" s="31" t="n">
        <x:v>17857142856.491467</x:v>
      </x:c>
      <x:c r="O14" s="30" t="str">
        <x:v>2026-09-10</x:v>
      </x:c>
      <x:c r="P14" s="472" t="n">
        <x:v>153.1332</x:v>
      </x:c>
      <x:c r="Q14" s="473" t="n">
        <x:v>46282.368069421296</x:v>
      </x:c>
      <x:c r="R14" s="474" t="str">
        <x:v>https://dexscreener.com/bsc/0x977daffc095b33872e2741c19568925015c35b4d</x:v>
      </x:c>
      <x:c r="S14" s="474" t="str">
        <x:v>Quote 代币池价；可手动更新</x:v>
      </x:c>
    </x:row>
    <x:row r="15" ht="36" customHeight="1">
      <x:c r="C15" s="25" t="n">
        <x:v>2</x:v>
      </x:c>
      <x:c r="D15" s="25" t="str">
        <x:v>股票 / ETF RWA</x:v>
      </x:c>
      <x:c r="E15" s="32" t="str">
        <x:v>SKHYB</x:v>
      </x:c>
      <x:c r="F15" s="32" t="str">
        <x:v>SK Hynix</x:v>
      </x:c>
      <x:c r="G15" s="33" t="str">
        <x:v>​0xCA750eF65f295BBECd685Abf54e82CAf297BDB61</x:v>
      </x:c>
      <x:c r="H15" s="33" t="n">
        <x:v>18</x:v>
      </x:c>
      <x:c r="I15" s="33" t="n">
        <x:v>24.38502698</x:v>
      </x:c>
      <x:c r="J15" s="33" t="n">
        <x:v>107036751</x:v>
      </x:c>
      <x:c r="K15" s="33" t="n">
        <x:v>26995121040.98654</x:v>
      </x:c>
      <x:c r="L15" s="33" t="n">
        <x:v>63.536438294320014</x:v>
      </x:c>
      <x:c r="M15" s="33" t="n">
        <x:v>200000000</x:v>
      </x:c>
      <x:c r="N15" s="33" t="n">
        <x:v>12707287658.864</x:v>
      </x:c>
      <x:c r="O15" s="32" t="str">
        <x:v>2026-09-10</x:v>
      </x:c>
      <x:c r="P15" s="472" t="n">
        <x:v>178.3429</x:v>
      </x:c>
      <x:c r="Q15" s="473" t="n">
        <x:v>46282.36807510417</x:v>
      </x:c>
      <x:c r="R15" s="474" t="str">
        <x:v>https://dexscreener.com/bsc/0xd7d30f434b12f7ed9b0ae11ff1c754745a10ad52</x:v>
      </x:c>
      <x:c r="S15" s="474" t="str">
        <x:v>Quote 代币池价；可手动更新</x:v>
      </x:c>
    </x:row>
    <x:row r="16" ht="36" customHeight="1">
      <x:c r="C16" s="25" t="n">
        <x:v>3</x:v>
      </x:c>
      <x:c r="D16" s="25" t="str">
        <x:v>股票 / ETF RWA</x:v>
      </x:c>
      <x:c r="E16" s="32" t="str">
        <x:v>SPYB</x:v>
      </x:c>
      <x:c r="F16" s="32" t="str">
        <x:v>SPY</x:v>
      </x:c>
      <x:c r="G16" s="33" t="str">
        <x:v>​0x7138b48df7D98D7e3cc221BfE7192D0a178182D8</x:v>
      </x:c>
      <x:c r="H16" s="33" t="n">
        <x:v>18</x:v>
      </x:c>
      <x:c r="I16" s="33" t="n">
        <x:v>5.13783051</x:v>
      </x:c>
      <x:c r="J16" s="33" t="n">
        <x:v>107036751</x:v>
      </x:c>
      <x:c r="K16" s="33" t="n">
        <x:v>5687767194.979073</x:v>
      </x:c>
      <x:c r="L16" s="33" t="n">
        <x:v>13.386880868863805</x:v>
      </x:c>
      <x:c r="M16" s="33" t="n">
        <x:v>200000000</x:v>
      </x:c>
      <x:c r="N16" s="33" t="n">
        <x:v>2677376173.772761</x:v>
      </x:c>
      <x:c r="O16" s="32" t="str">
        <x:v>2026-09-10</x:v>
      </x:c>
      <x:c r="P16" s="472" t="n">
        <x:v>760.1404</x:v>
      </x:c>
      <x:c r="Q16" s="473" t="n">
        <x:v>46282.36807892361</x:v>
      </x:c>
      <x:c r="R16" s="474" t="str">
        <x:v>https://dexscreener.com/bsc/0x7aa6d92fc369a8c1edc631a3aac44efb0808ddbf</x:v>
      </x:c>
      <x:c r="S16" s="474" t="str">
        <x:v>Quote 代币池价；可手动更新</x:v>
      </x:c>
    </x:row>
    <x:row r="17" ht="36" customHeight="1">
      <x:c r="C17" s="25" t="n">
        <x:v>4</x:v>
      </x:c>
      <x:c r="D17" s="25" t="str">
        <x:v>黄金 RWA</x:v>
      </x:c>
      <x:c r="E17" s="32" t="str">
        <x:v>XAUT</x:v>
      </x:c>
      <x:c r="F17" s="32" t="str">
        <x:v>Tether Gold</x:v>
      </x:c>
      <x:c r="G17" s="33" t="str">
        <x:v>​0x21cAef8A43163Eea865baeE23b9C2E327696A3bf</x:v>
      </x:c>
      <x:c r="H17" s="33" t="n">
        <x:v>6</x:v>
      </x:c>
      <x:c r="I17" s="33" t="n">
        <x:v>0.94232929</x:v>
      </x:c>
      <x:c r="J17" s="33" t="n">
        <x:v>107036751</x:v>
      </x:c>
      <x:c r="K17" s="33" t="n">
        <x:v>1043193155.5737368</x:v>
      </x:c>
      <x:c r="L17" s="33" t="n">
        <x:v>2.4552872890450823</x:v>
      </x:c>
      <x:c r="M17" s="33" t="n">
        <x:v>200000000</x:v>
      </x:c>
      <x:c r="N17" s="33" t="n">
        <x:v>491057457.8090164</x:v>
      </x:c>
      <x:c r="O17" s="32" t="str">
        <x:v>2026-09-10</x:v>
      </x:c>
      <x:c r="P17" s="472" t="n">
        <x:v>4315.5556</x:v>
      </x:c>
      <x:c r="Q17" s="473" t="n">
        <x:v>46282.36808731481</x:v>
      </x:c>
      <x:c r="R17" s="474" t="str">
        <x:v>https://dexscreener.com/bsc/0x83a0a8a723262651ae9c54bbba929f167443bc59</x:v>
      </x:c>
      <x:c r="S17" s="474" t="str">
        <x:v>Quote 代币池价；可手动更新</x:v>
      </x:c>
    </x:row>
    <x:row r="18" ht="36" customHeight="1">
      <x:c r="C18" s="25" t="n">
        <x:v>5</x:v>
      </x:c>
      <x:c r="D18" s="25" t="str">
        <x:v>股票 / ETF RWA</x:v>
      </x:c>
      <x:c r="E18" s="32" t="str">
        <x:v>QQQB</x:v>
      </x:c>
      <x:c r="F18" s="32" t="str">
        <x:v>Invesco QQQ Trust</x:v>
      </x:c>
      <x:c r="G18" s="33" t="str">
        <x:v>​0x205812CdBed920aFf76C6580abD681a46D11efc7</x:v>
      </x:c>
      <x:c r="H18" s="33" t="n">
        <x:v>18</x:v>
      </x:c>
      <x:c r="I18" s="33" t="n">
        <x:v>5.68592593</x:v>
      </x:c>
      <x:c r="J18" s="33" t="n">
        <x:v>107036751</x:v>
      </x:c>
      <x:c r="K18" s="33" t="n">
        <x:v>6294528967.973853</x:v>
      </x:c>
      <x:c r="L18" s="33" t="n">
        <x:v>14.814971592765453</x:v>
      </x:c>
      <x:c r="M18" s="33" t="n">
        <x:v>200000000</x:v>
      </x:c>
      <x:c r="N18" s="33" t="n">
        <x:v>2962994318.55309</x:v>
      </x:c>
      <x:c r="O18" s="32" t="str">
        <x:v>2026-09-10</x:v>
      </x:c>
      <x:c r="P18" s="472" t="n">
        <x:v>712.1046</x:v>
      </x:c>
      <x:c r="Q18" s="473" t="n">
        <x:v>46282.36808959491</x:v>
      </x:c>
      <x:c r="R18" s="474" t="str">
        <x:v>https://dexscreener.com/bsc/0xe531fcb1f5a195de7608b9f4f9518544c2cdb693</x:v>
      </x:c>
      <x:c r="S18" s="474" t="str">
        <x:v>Quote 代币池价；可手动更新</x:v>
      </x:c>
    </x:row>
    <x:row r="19" ht="36" customHeight="1">
      <x:c r="C19" s="25" t="n">
        <x:v>6</x:v>
      </x:c>
      <x:c r="D19" s="25" t="str">
        <x:v>股票 / ETF RWA</x:v>
      </x:c>
      <x:c r="E19" s="32" t="str">
        <x:v>NVDAB</x:v>
      </x:c>
      <x:c r="F19" s="32" t="str">
        <x:v>NVIDIA Corp</x:v>
      </x:c>
      <x:c r="G19" s="33" t="str">
        <x:v>​0x02Fca66C1D1aFB4E2A7884261eB00F63598a7436</x:v>
      </x:c>
      <x:c r="H19" s="33" t="n">
        <x:v>18</x:v>
      </x:c>
      <x:c r="I19" s="33" t="n">
        <x:v>17.36633207</x:v>
      </x:c>
      <x:c r="J19" s="33" t="n">
        <x:v>107036751</x:v>
      </x:c>
      <x:c r="K19" s="33" t="n">
        <x:v>19225167831.559906</x:v>
      </x:c>
      <x:c r="L19" s="33" t="n">
        <x:v>45.24886877792685</x:v>
      </x:c>
      <x:c r="M19" s="33" t="n">
        <x:v>200000000</x:v>
      </x:c>
      <x:c r="N19" s="33" t="n">
        <x:v>9049773755.58537</x:v>
      </x:c>
      <x:c r="O19" s="32" t="str">
        <x:v>2026-09-10</x:v>
      </x:c>
      <x:c r="P19" s="472" t="n">
        <x:v>216.5922</x:v>
      </x:c>
      <x:c r="Q19" s="473" t="n">
        <x:v>46282.368099074076</x:v>
      </x:c>
      <x:c r="R19" s="474" t="str">
        <x:v>https://dexscreener.com/bsc/0x8fb4243b553ac29ba088acf00b9b7da24bd6690c</x:v>
      </x:c>
      <x:c r="S19" s="474" t="str">
        <x:v>Quote 代币池价；可手动更新</x:v>
      </x:c>
    </x:row>
    <x:row r="20" ht="36" customHeight="1">
      <x:c r="C20" s="25" t="n">
        <x:v>7</x:v>
      </x:c>
      <x:c r="D20" s="25" t="str">
        <x:v>股票 / ETF RWA</x:v>
      </x:c>
      <x:c r="E20" s="32" t="str">
        <x:v>AAPLB</x:v>
      </x:c>
      <x:c r="F20" s="32" t="str">
        <x:v>Apple</x:v>
      </x:c>
      <x:c r="G20" s="33" t="str">
        <x:v>​0x431a3BEE82E2ca41e49895CbECE5bB0F76A89b7A</x:v>
      </x:c>
      <x:c r="H20" s="33" t="n">
        <x:v>18</x:v>
      </x:c>
      <x:c r="I20" s="33" t="n">
        <x:v>11.63030303</x:v>
      </x:c>
      <x:c r="J20" s="33" t="n">
        <x:v>107036751</x:v>
      </x:c>
      <x:c r="K20" s="33" t="n">
        <x:v>12875172879.476656</x:v>
      </x:c>
      <x:c r="L20" s="33" t="n">
        <x:v>30.303350962699575</x:v>
      </x:c>
      <x:c r="M20" s="33" t="n">
        <x:v>200000000</x:v>
      </x:c>
      <x:c r="N20" s="33" t="n">
        <x:v>6060670192.539914</x:v>
      </x:c>
      <x:c r="O20" s="32" t="str">
        <x:v>2026-09-10</x:v>
      </x:c>
      <x:c r="P20" s="472" t="n">
        <x:v>334.09322</x:v>
      </x:c>
      <x:c r="Q20" s="473" t="n">
        <x:v>46282.368101203705</x:v>
      </x:c>
      <x:c r="R20" s="474" t="str">
        <x:v>https://dexscreener.com/bsc/0xe9b9998b2ec5430d2246c7f1f8d9f298c97d7365</x:v>
      </x:c>
      <x:c r="S20" s="474" t="str">
        <x:v>Quote 代币池价；可手动更新</x:v>
      </x:c>
    </x:row>
    <x:row r="21" ht="36" customHeight="1">
      <x:c r="C21" s="25" t="n">
        <x:v>8</x:v>
      </x:c>
      <x:c r="D21" s="25" t="str">
        <x:v>股票 / ETF RWA</x:v>
      </x:c>
      <x:c r="E21" s="32" t="str">
        <x:v>TSLAB</x:v>
      </x:c>
      <x:c r="F21" s="32" t="str">
        <x:v>Tesla</x:v>
      </x:c>
      <x:c r="G21" s="33" t="str">
        <x:v>​0x5b1910eAaD6450E50f816082Aa078C41F10C292f</x:v>
      </x:c>
      <x:c r="H21" s="33" t="n">
        <x:v>18</x:v>
      </x:c>
      <x:c r="I21" s="33" t="n">
        <x:v>12.79</x:v>
      </x:c>
      <x:c r="J21" s="33" t="n">
        <x:v>107036751</x:v>
      </x:c>
      <x:c r="K21" s="33" t="n">
        <x:v>14159000045.29</x:v>
      </x:c>
      <x:c r="L21" s="33" t="n">
        <x:v>33.32500088890011</x:v>
      </x:c>
      <x:c r="M21" s="33" t="n">
        <x:v>200000000</x:v>
      </x:c>
      <x:c r="N21" s="33" t="n">
        <x:v>6665000177.780021</x:v>
      </x:c>
      <x:c r="O21" s="32" t="str">
        <x:v>2026-09-10</x:v>
      </x:c>
      <x:c r="P21" s="472" t="n">
        <x:v>363.5321</x:v>
      </x:c>
      <x:c r="Q21" s="473" t="n">
        <x:v>46282.3681078588</x:v>
      </x:c>
      <x:c r="R21" s="474" t="str">
        <x:v>https://dexscreener.com/bsc/0xb0f5e5400e8f0f7c242f2b7740c004f020579c41</x:v>
      </x:c>
      <x:c r="S21" s="474" t="str">
        <x:v>Quote 代币池价；可手动更新</x:v>
      </x:c>
    </x:row>
    <x:row r="22" ht="36" customHeight="1">
      <x:c r="C22" s="25" t="n">
        <x:v>9</x:v>
      </x:c>
      <x:c r="D22" s="25" t="str">
        <x:v>股票 / ETF RWA</x:v>
      </x:c>
      <x:c r="E22" s="32" t="str">
        <x:v>MSFTB</x:v>
      </x:c>
      <x:c r="F22" s="32" t="str">
        <x:v>Microsoft</x:v>
      </x:c>
      <x:c r="G22" s="33" t="str">
        <x:v>​0x80106cb3EAD06659A5ad19DF39D9b4733863B9b0</x:v>
      </x:c>
      <x:c r="H22" s="33" t="n">
        <x:v>18</x:v>
      </x:c>
      <x:c r="I22" s="33" t="n">
        <x:v>8.52666667</x:v>
      </x:c>
      <x:c r="J22" s="33" t="n">
        <x:v>107036751</x:v>
      </x:c>
      <x:c r="K22" s="33" t="n">
        <x:v>9439333367.21679</x:v>
      </x:c>
      <x:c r="L22" s="33" t="n">
        <x:v>22.216667267951905</x:v>
      </x:c>
      <x:c r="M22" s="33" t="n">
        <x:v>200000000</x:v>
      </x:c>
      <x:c r="N22" s="33" t="n">
        <x:v>4443333453.590381</x:v>
      </x:c>
      <x:c r="O22" s="32" t="str">
        <x:v>2026-09-10</x:v>
      </x:c>
      <x:c r="P22" s="472" t="n">
        <x:v>495.08944</x:v>
      </x:c>
      <x:c r="Q22" s="473" t="n">
        <x:v>46282.36811559028</x:v>
      </x:c>
      <x:c r="R22" s="474" t="str">
        <x:v>https://dexscreener.com/bsc/0x5018b018ceb7645c927c5cf246786f89ebcbe7ea</x:v>
      </x:c>
      <x:c r="S22" s="474" t="str">
        <x:v>Quote 代币池价；可手动更新</x:v>
      </x:c>
    </x:row>
    <x:row r="23" ht="36" customHeight="1">
      <x:c r="C23" s="25" t="n">
        <x:v>10</x:v>
      </x:c>
      <x:c r="D23" s="25" t="str">
        <x:v>股票 / ETF RWA</x:v>
      </x:c>
      <x:c r="E23" s="32" t="str">
        <x:v>GOOGLB</x:v>
      </x:c>
      <x:c r="F23" s="32" t="str">
        <x:v>Alphabet</x:v>
      </x:c>
      <x:c r="G23" s="33" t="str">
        <x:v>​0x3F53De71c126BdaBAe20f9cD64848d317f6C3238</x:v>
      </x:c>
      <x:c r="H23" s="33" t="n">
        <x:v>18</x:v>
      </x:c>
      <x:c r="I23" s="33" t="n">
        <x:v>11.63030303</x:v>
      </x:c>
      <x:c r="J23" s="33" t="n">
        <x:v>107036751</x:v>
      </x:c>
      <x:c r="K23" s="33" t="n">
        <x:v>12875172879.476656</x:v>
      </x:c>
      <x:c r="L23" s="33" t="n">
        <x:v>30.303350962699575</x:v>
      </x:c>
      <x:c r="M23" s="33" t="n">
        <x:v>200000000</x:v>
      </x:c>
      <x:c r="N23" s="33" t="n">
        <x:v>6060670192.539914</x:v>
      </x:c>
      <x:c r="O23" s="32" t="str">
        <x:v>2026-09-10</x:v>
      </x:c>
      <x:c r="P23" s="472" t="n">
        <x:v>346.7362</x:v>
      </x:c>
      <x:c r="Q23" s="473" t="n">
        <x:v>46282.36811939815</x:v>
      </x:c>
      <x:c r="R23" s="474" t="str">
        <x:v>https://dexscreener.com/bsc/0x89001d846f7ca36ee089f73eefc25657e1798144</x:v>
      </x:c>
      <x:c r="S23" s="474" t="str">
        <x:v>Quote 代币池价；可手动更新</x:v>
      </x:c>
    </x:row>
    <x:row r="24" ht="36" customHeight="1">
      <x:c r="C24" s="25" t="n">
        <x:v>11</x:v>
      </x:c>
      <x:c r="D24" s="25" t="str">
        <x:v>股票 / ETF RWA</x:v>
      </x:c>
      <x:c r="E24" s="32" t="str">
        <x:v>HOODB</x:v>
      </x:c>
      <x:c r="F24" s="32" t="str">
        <x:v>Robinhood</x:v>
      </x:c>
      <x:c r="G24" s="33" t="str">
        <x:v>​0xA394dCEa3fd3847fD793afBFd163E2e3858B7c65</x:v>
      </x:c>
      <x:c r="H24" s="33" t="n">
        <x:v>18</x:v>
      </x:c>
      <x:c r="I24" s="33" t="n">
        <x:v>34.26749453</x:v>
      </x:c>
      <x:c r="J24" s="33" t="n">
        <x:v>107036751</x:v>
      </x:c>
      <x:c r="K24" s="33" t="n">
        <x:v>37935375809.401474</x:v>
      </x:c>
      <x:c r="L24" s="33" t="n">
        <x:v>89.28571428245735</x:v>
      </x:c>
      <x:c r="M24" s="33" t="n">
        <x:v>200000000</x:v>
      </x:c>
      <x:c r="N24" s="33" t="n">
        <x:v>17857142856.491467</x:v>
      </x:c>
      <x:c r="O24" s="32" t="str">
        <x:v>2026-09-10</x:v>
      </x:c>
      <x:c r="P24" s="472" t="n">
        <x:v>106.9888</x:v>
      </x:c>
      <x:c r="Q24" s="473" t="n">
        <x:v>46282.368127546295</x:v>
      </x:c>
      <x:c r="R24" s="474" t="str">
        <x:v>https://dexscreener.com/bsc/0xfeef70ff6f58f0a900e28a77e5a8945afb343923</x:v>
      </x:c>
      <x:c r="S24" s="474" t="str">
        <x:v>Quote 代币池价；可手动更新</x:v>
      </x:c>
    </x:row>
    <x:row r="25" ht="36" customHeight="1">
      <x:c r="C25" s="25" t="n">
        <x:v>12</x:v>
      </x:c>
      <x:c r="D25" s="25" t="str">
        <x:v>股票 / ETF RWA</x:v>
      </x:c>
      <x:c r="E25" s="32" t="str">
        <x:v>BABAB</x:v>
      </x:c>
      <x:c r="F25" s="32" t="str">
        <x:v>Alibaba</x:v>
      </x:c>
      <x:c r="G25" s="33" t="str">
        <x:v>​0x4eF9d3062c7F6ebA4AAE4990c5036598C6eff4ec</x:v>
      </x:c>
      <x:c r="H25" s="33" t="n">
        <x:v>18</x:v>
      </x:c>
      <x:c r="I25" s="33" t="n">
        <x:v>30.696</x:v>
      </x:c>
      <x:c r="J25" s="33" t="n">
        <x:v>107036751</x:v>
      </x:c>
      <x:c r="K25" s="33" t="n">
        <x:v>33981600108.696</x:v>
      </x:c>
      <x:c r="L25" s="33" t="n">
        <x:v>79.98000213336024</x:v>
      </x:c>
      <x:c r="M25" s="33" t="n">
        <x:v>200000000</x:v>
      </x:c>
      <x:c r="N25" s="33" t="n">
        <x:v>15996000426.672047</x:v>
      </x:c>
      <x:c r="O25" s="32" t="str">
        <x:v>2026-09-10</x:v>
      </x:c>
      <x:c r="P25" s="472" t="n">
        <x:v>107.3996</x:v>
      </x:c>
      <x:c r="Q25" s="473" t="n">
        <x:v>46282.36813019676</x:v>
      </x:c>
      <x:c r="R25" s="474" t="str">
        <x:v>https://dexscreener.com/bsc/0xfd95cb1391999006eb91797a7c62acfe88b20292</x:v>
      </x:c>
      <x:c r="S25" s="474" t="str">
        <x:v>Quote 代币池价；可手动更新</x:v>
      </x:c>
    </x:row>
    <x:row r="26" ht="36" customHeight="1">
      <x:c r="C26" s="25" t="n">
        <x:v>13</x:v>
      </x:c>
      <x:c r="D26" s="25" t="str">
        <x:v>股票 / ETF RWA</x:v>
      </x:c>
      <x:c r="E26" s="32" t="str">
        <x:v>GMEB</x:v>
      </x:c>
      <x:c r="F26" s="32" t="str">
        <x:v>GameStop</x:v>
      </x:c>
      <x:c r="G26" s="33" t="str">
        <x:v>​0x46cEeFDa28Dd7207059ed19B0acdc026955bb15C</x:v>
      </x:c>
      <x:c r="H26" s="33" t="n">
        <x:v>18</x:v>
      </x:c>
      <x:c r="I26" s="33" t="n">
        <x:v>177.68330498</x:v>
      </x:c>
      <x:c r="J26" s="33" t="n">
        <x:v>107036751</x:v>
      </x:c>
      <x:c r="K26" s="33" t="n">
        <x:v>196701948652.0013</x:v>
      </x:c>
      <x:c r="L26" s="33" t="n">
        <x:v>462.96296297116555</x:v>
      </x:c>
      <x:c r="M26" s="33" t="n">
        <x:v>200000000</x:v>
      </x:c>
      <x:c r="N26" s="33" t="n">
        <x:v>92592592594.2331</x:v>
      </x:c>
      <x:c r="O26" s="32" t="str">
        <x:v>2026-09-10</x:v>
      </x:c>
      <x:c r="P26" s="472" t="n">
        <x:v>22.07063</x:v>
      </x:c>
      <x:c r="Q26" s="473" t="n">
        <x:v>46282.36814023148</x:v>
      </x:c>
      <x:c r="R26" s="474" t="str">
        <x:v>https://dexscreener.com/bsc/0x908d49048eb3a7bedfd238972403842805eaf2be</x:v>
      </x:c>
      <x:c r="S26" s="474" t="str">
        <x:v>Quote 代币池价；可手动更新</x:v>
      </x:c>
    </x:row>
    <x:row r="27" ht="36" customHeight="1">
      <x:c r="C27" s="25" t="n">
        <x:v>14</x:v>
      </x:c>
      <x:c r="D27" s="25" t="str">
        <x:v>股票 / ETF RWA</x:v>
      </x:c>
      <x:c r="E27" s="32" t="str">
        <x:v>NFLXB</x:v>
      </x:c>
      <x:c r="F27" s="32" t="str">
        <x:v>Netflix</x:v>
      </x:c>
      <x:c r="G27" s="33" t="str">
        <x:v>​0xD6829Ea836b6FA224d099D40E54B31262f874631</x:v>
      </x:c>
      <x:c r="H27" s="33" t="n">
        <x:v>18</x:v>
      </x:c>
      <x:c r="I27" s="33" t="n">
        <x:v>51.16</x:v>
      </x:c>
      <x:c r="J27" s="33" t="n">
        <x:v>107036751</x:v>
      </x:c>
      <x:c r="K27" s="33" t="n">
        <x:v>56636000181.16</x:v>
      </x:c>
      <x:c r="L27" s="33" t="n">
        <x:v>133.30000355560043</x:v>
      </x:c>
      <x:c r="M27" s="33" t="n">
        <x:v>200000000</x:v>
      </x:c>
      <x:c r="N27" s="33" t="n">
        <x:v>26660000711.120083</x:v>
      </x:c>
      <x:c r="O27" s="32" t="str">
        <x:v>2026-09-10</x:v>
      </x:c>
      <x:c r="P27" s="472" t="n">
        <x:v>76.9043</x:v>
      </x:c>
      <x:c r="Q27" s="473" t="n">
        <x:v>46282.36814337963</x:v>
      </x:c>
      <x:c r="R27" s="474" t="str">
        <x:v>https://dexscreener.com/bsc/0xafab4441d8b354bba790229c0e235e7e6187b3d0</x:v>
      </x:c>
      <x:c r="S27" s="474" t="str">
        <x:v>Quote 代币池价；可手动更新</x:v>
      </x:c>
    </x:row>
    <x:row r="28" ht="36" customHeight="1">
      <x:c r="C28" s="25" t="n">
        <x:v>15</x:v>
      </x:c>
      <x:c r="D28" s="25" t="str">
        <x:v>股票 / ETF RWA</x:v>
      </x:c>
      <x:c r="E28" s="32" t="str">
        <x:v>MSTRB</x:v>
      </x:c>
      <x:c r="F28" s="32" t="str">
        <x:v>Strategy</x:v>
      </x:c>
      <x:c r="G28" s="33" t="str">
        <x:v>​0xE87afb3076AeB0f9B14E368DE8145ae6a2826A14</x:v>
      </x:c>
      <x:c r="H28" s="33" t="n">
        <x:v>18</x:v>
      </x:c>
      <x:c r="I28" s="33" t="n">
        <x:v>34.26749453</x:v>
      </x:c>
      <x:c r="J28" s="33" t="n">
        <x:v>107036751</x:v>
      </x:c>
      <x:c r="K28" s="33" t="n">
        <x:v>37935375809.401474</x:v>
      </x:c>
      <x:c r="L28" s="33" t="n">
        <x:v>89.28571428245735</x:v>
      </x:c>
      <x:c r="M28" s="33" t="n">
        <x:v>200000000</x:v>
      </x:c>
      <x:c r="N28" s="33" t="n">
        <x:v>17857142856.491467</x:v>
      </x:c>
      <x:c r="O28" s="32" t="str">
        <x:v>2026-09-10</x:v>
      </x:c>
      <x:c r="P28" s="472" t="n">
        <x:v>129.7784</x:v>
      </x:c>
      <x:c r="Q28" s="473" t="n">
        <x:v>46282.36815155092</x:v>
      </x:c>
      <x:c r="R28" s="474" t="str">
        <x:v>https://dexscreener.com/bsc/0x692081209619735f25700557078ab084d3e5d007</x:v>
      </x:c>
      <x:c r="S28" s="474" t="str">
        <x:v>Quote 代币池价；可手动更新</x:v>
      </x:c>
    </x:row>
    <x:row r="29" ht="36" customHeight="1">
      <x:c r="C29" s="25" t="n">
        <x:v>16</x:v>
      </x:c>
      <x:c r="D29" s="25" t="str">
        <x:v>股票 / ETF RWA</x:v>
      </x:c>
      <x:c r="E29" s="32" t="str">
        <x:v>DJTB</x:v>
      </x:c>
      <x:c r="F29" s="32" t="str">
        <x:v>Trump Media &amp; Technology Group Corp</x:v>
      </x:c>
      <x:c r="G29" s="33" t="str">
        <x:v>​0xF2ec508422174Ee564de98187db9359D318AFB6b</x:v>
      </x:c>
      <x:c r="H29" s="33" t="n">
        <x:v>18</x:v>
      </x:c>
      <x:c r="I29" s="33" t="n">
        <x:v>383.7</x:v>
      </x:c>
      <x:c r="J29" s="33" t="n">
        <x:v>107036751</x:v>
      </x:c>
      <x:c r="K29" s="33" t="n">
        <x:v>424770001358.7</x:v>
      </x:c>
      <x:c r="L29" s="33" t="n">
        <x:v>999.7500266670031</x:v>
      </x:c>
      <x:c r="M29" s="33" t="n">
        <x:v>200000000</x:v>
      </x:c>
      <x:c r="N29" s="33" t="n">
        <x:v>199950005333.4006</x:v>
      </x:c>
      <x:c r="O29" s="32" t="str">
        <x:v>2026-09-10</x:v>
      </x:c>
      <x:c r="P29" s="472" t="n">
        <x:v>8.6045</x:v>
      </x:c>
      <x:c r="Q29" s="473" t="n">
        <x:v>46282.36815398148</x:v>
      </x:c>
      <x:c r="R29" s="474" t="str">
        <x:v>https://dexscreener.com/bsc/0x9aadbd51515432dbb77c0a7f69c2b2c211f0c837</x:v>
      </x:c>
      <x:c r="S29" s="474" t="str">
        <x:v>Quote 代币池价；可手动更新</x:v>
      </x:c>
    </x:row>
    <x:row r="30" ht="36" customHeight="1">
      <x:c r="C30" s="25" t="n">
        <x:v>17</x:v>
      </x:c>
      <x:c r="D30" s="25" t="str">
        <x:v>股票 / ETF RWA</x:v>
      </x:c>
      <x:c r="E30" s="32" t="str">
        <x:v>SOXSB</x:v>
      </x:c>
      <x:c r="F30" s="32" t="str">
        <x:v>Direxion Semiconductor Bear 3X ETF</x:v>
      </x:c>
      <x:c r="G30" s="33" t="str">
        <x:v>​0xE28Cd11C99AF2df76bb8aDA4Cd0ef3904378280F</x:v>
      </x:c>
      <x:c r="H30" s="33" t="n">
        <x:v>18</x:v>
      </x:c>
      <x:c r="I30" s="33" t="n">
        <x:v>76.74</x:v>
      </x:c>
      <x:c r="J30" s="33" t="n">
        <x:v>107036751</x:v>
      </x:c>
      <x:c r="K30" s="33" t="n">
        <x:v>84954000271.74</x:v>
      </x:c>
      <x:c r="L30" s="33" t="n">
        <x:v>199.9500053334006</x:v>
      </x:c>
      <x:c r="M30" s="33" t="n">
        <x:v>200000000</x:v>
      </x:c>
      <x:c r="N30" s="33" t="n">
        <x:v>39990001066.680115</x:v>
      </x:c>
      <x:c r="O30" s="32" t="str">
        <x:v>2026-09-10</x:v>
      </x:c>
      <x:c r="P30" s="472" t="n">
        <x:v>47.8765</x:v>
      </x:c>
      <x:c r="Q30" s="473" t="n">
        <x:v>46282.36816232639</x:v>
      </x:c>
      <x:c r="R30" s="474" t="str">
        <x:v>https://dexscreener.com/bsc/0xd5c0572126a707196aaba2b6952d67fc2a140651</x:v>
      </x:c>
      <x:c r="S30" s="474" t="str">
        <x:v>Quote 代币池价；可手动更新</x:v>
      </x:c>
    </x:row>
    <x:row r="31" ht="36" customHeight="1">
      <x:c r="C31" s="25" t="n">
        <x:v>18</x:v>
      </x:c>
      <x:c r="D31" s="25" t="str">
        <x:v>股票 / ETF RWA</x:v>
      </x:c>
      <x:c r="E31" s="32" t="str">
        <x:v>SOXLB</x:v>
      </x:c>
      <x:c r="F31" s="32" t="str">
        <x:v>Semicon Bull 3X ETF</x:v>
      </x:c>
      <x:c r="G31" s="33" t="str">
        <x:v>​0xd97d097a89113fa59b76c572E5b2Eb647E8eefaf</x:v>
      </x:c>
      <x:c r="H31" s="33" t="n">
        <x:v>18</x:v>
      </x:c>
      <x:c r="I31" s="33" t="n">
        <x:v>34.88181818</x:v>
      </x:c>
      <x:c r="J31" s="33" t="n">
        <x:v>107036751</x:v>
      </x:c>
      <x:c r="K31" s="33" t="n">
        <x:v>38615454668.972725</x:v>
      </x:c>
      <x:c r="L31" s="33" t="n">
        <x:v>90.88636606245481</x:v>
      </x:c>
      <x:c r="M31" s="33" t="n">
        <x:v>200000000</x:v>
      </x:c>
      <x:c r="N31" s="33" t="n">
        <x:v>18177273212.49096</x:v>
      </x:c>
      <x:c r="O31" s="32" t="str">
        <x:v>2026-09-10</x:v>
      </x:c>
      <x:c r="P31" s="472" t="n">
        <x:v>109.1225</x:v>
      </x:c>
      <x:c r="Q31" s="473" t="n">
        <x:v>46282.3681678588</x:v>
      </x:c>
      <x:c r="R31" s="474" t="str">
        <x:v>https://dexscreener.com/bsc/0x3d7d950377eca7b4af7233716ff17def00ab2045</x:v>
      </x:c>
      <x:c r="S31" s="474" t="str">
        <x:v>Quote 代币池价；可手动更新</x:v>
      </x:c>
    </x:row>
    <x:row r="32" ht="36" customHeight="1">
      <x:c r="C32" s="25" t="n">
        <x:v>19</x:v>
      </x:c>
      <x:c r="D32" s="25" t="str">
        <x:v>股票 / ETF RWA</x:v>
      </x:c>
      <x:c r="E32" s="32" t="str">
        <x:v>MRNAB</x:v>
      </x:c>
      <x:c r="F32" s="32" t="str">
        <x:v>Moderna</x:v>
      </x:c>
      <x:c r="G32" s="33" t="str">
        <x:v>​0x5fd86da9B05abE396fe9d02a4A213A7c00556503</x:v>
      </x:c>
      <x:c r="H32" s="33" t="n">
        <x:v>18</x:v>
      </x:c>
      <x:c r="I32" s="33" t="n">
        <x:v>24.38502698</x:v>
      </x:c>
      <x:c r="J32" s="33" t="n">
        <x:v>107036751</x:v>
      </x:c>
      <x:c r="K32" s="33" t="n">
        <x:v>26995121040.98654</x:v>
      </x:c>
      <x:c r="L32" s="33" t="n">
        <x:v>63.536438294320014</x:v>
      </x:c>
      <x:c r="M32" s="33" t="n">
        <x:v>200000000</x:v>
      </x:c>
      <x:c r="N32" s="33" t="n">
        <x:v>12707287658.864</x:v>
      </x:c>
      <x:c r="O32" s="32" t="str">
        <x:v>2026-09-10</x:v>
      </x:c>
      <x:c r="P32" s="472" t="n">
        <x:v>149.5817</x:v>
      </x:c>
      <x:c r="Q32" s="473" t="n">
        <x:v>46282.3681715625</x:v>
      </x:c>
      <x:c r="R32" s="474" t="str">
        <x:v>https://dexscreener.com/bsc/0xcc992887e9cee37a698541e2f6d1675453fbcfcc</x:v>
      </x:c>
      <x:c r="S32" s="474" t="str">
        <x:v>Quote 代币池价；可手动更新</x:v>
      </x:c>
    </x:row>
    <x:row r="33" ht="36" customHeight="1">
      <x:c r="C33" s="25" t="n">
        <x:v>20</x:v>
      </x:c>
      <x:c r="D33" s="25" t="str">
        <x:v>股票 / ETF RWA</x:v>
      </x:c>
      <x:c r="E33" s="32" t="str">
        <x:v>FLNCB</x:v>
      </x:c>
      <x:c r="F33" s="32" t="str">
        <x:v>Fluence Energy</x:v>
      </x:c>
      <x:c r="G33" s="33" t="str">
        <x:v>​0x4af1D41cd9dD950dcA43984b43aaA2A8702714Ac</x:v>
      </x:c>
      <x:c r="H33" s="33" t="n">
        <x:v>18</x:v>
      </x:c>
      <x:c r="I33" s="33" t="n">
        <x:v>383.7</x:v>
      </x:c>
      <x:c r="J33" s="33" t="n">
        <x:v>107036751</x:v>
      </x:c>
      <x:c r="K33" s="33" t="n">
        <x:v>424770001358.7</x:v>
      </x:c>
      <x:c r="L33" s="33" t="n">
        <x:v>999.7500266670031</x:v>
      </x:c>
      <x:c r="M33" s="33" t="n">
        <x:v>200000000</x:v>
      </x:c>
      <x:c r="N33" s="33" t="n">
        <x:v>199950005333.4006</x:v>
      </x:c>
      <x:c r="O33" s="32" t="str">
        <x:v>2026-09-10</x:v>
      </x:c>
      <x:c r="P33" s="472" t="n">
        <x:v>7.3593</x:v>
      </x:c>
      <x:c r="Q33" s="473" t="n">
        <x:v>46282.36817722222</x:v>
      </x:c>
      <x:c r="R33" s="474" t="str">
        <x:v>https://dexscreener.com/bsc/0x1f7083a138f980b60eb1582f01ca3b1d6c46ad10</x:v>
      </x:c>
      <x:c r="S33" s="474" t="str">
        <x:v>Quote 代币池价；可手动更新</x:v>
      </x:c>
    </x:row>
    <x:row r="34" ht="36" customHeight="1">
      <x:c r="C34" s="25" t="n">
        <x:v>21</x:v>
      </x:c>
      <x:c r="D34" s="25" t="str">
        <x:v>股票 / ETF RWA</x:v>
      </x:c>
      <x:c r="E34" s="32" t="str">
        <x:v>FXIon</x:v>
      </x:c>
      <x:c r="F34" s="32" t="str">
        <x:v>iShares China Large-Cap ETF</x:v>
      </x:c>
      <x:c r="G34" s="33" t="str">
        <x:v>​0x9b8E987e6fEc8Cf1380C4dcA7071e2C7853AEEA1</x:v>
      </x:c>
      <x:c r="H34" s="33" t="n">
        <x:v>18</x:v>
      </x:c>
      <x:c r="I34" s="33" t="n">
        <x:v>109.62857143</x:v>
      </x:c>
      <x:c r="J34" s="33" t="n">
        <x:v>107036751</x:v>
      </x:c>
      <x:c r="K34" s="33" t="n">
        <x:v>121362857531.05714</x:v>
      </x:c>
      <x:c r="L34" s="33" t="n">
        <x:v>285.64286476057237</x:v>
      </x:c>
      <x:c r="M34" s="33" t="n">
        <x:v>200000000</x:v>
      </x:c>
      <x:c r="N34" s="33" t="n">
        <x:v>57128572952.11446</x:v>
      </x:c>
      <x:c r="O34" s="32" t="str">
        <x:v>2026-09-10</x:v>
      </x:c>
      <x:c r="P34" s="472" t="n">
        <x:v>34.2693</x:v>
      </x:c>
      <x:c r="Q34" s="473" t="n">
        <x:v>46282.36818631944</x:v>
      </x:c>
      <x:c r="R34" s="474" t="str">
        <x:v>https://dexscreener.com/bsc/0x8768c8969e177575e37435b8295afa2dfb231c86</x:v>
      </x:c>
      <x:c r="S34" s="474" t="str">
        <x:v>Quote 代币池价；可手动更新</x:v>
      </x:c>
    </x:row>
    <x:row r="35" ht="36" customHeight="1">
      <x:c r="C35" s="25" t="n">
        <x:v>22</x:v>
      </x:c>
      <x:c r="D35" s="25" t="str">
        <x:v>股票 / ETF RWA</x:v>
      </x:c>
      <x:c r="E35" s="32" t="str">
        <x:v>BMNRB</x:v>
      </x:c>
      <x:c r="F35" s="32" t="str">
        <x:v>BitMine Immersion Technologies</x:v>
      </x:c>
      <x:c r="G35" s="33" t="str">
        <x:v>​0x3548Da95a9eFFE481e8604664d75e95821e557F5</x:v>
      </x:c>
      <x:c r="H35" s="33" t="n">
        <x:v>18</x:v>
      </x:c>
      <x:c r="I35" s="33" t="n">
        <x:v>153.48</x:v>
      </x:c>
      <x:c r="J35" s="33" t="n">
        <x:v>107036751</x:v>
      </x:c>
      <x:c r="K35" s="33" t="n">
        <x:v>169908000543.48</x:v>
      </x:c>
      <x:c r="L35" s="33" t="n">
        <x:v>399.9000106668012</x:v>
      </x:c>
      <x:c r="M35" s="33" t="n">
        <x:v>200000000</x:v>
      </x:c>
      <x:c r="N35" s="33" t="n">
        <x:v>79980002133.36023</x:v>
      </x:c>
      <x:c r="O35" s="32" t="str">
        <x:v>2026-09-10</x:v>
      </x:c>
      <x:c r="P35" s="472" t="n">
        <x:v>23.5135</x:v>
      </x:c>
      <x:c r="Q35" s="473" t="n">
        <x:v>46282.36818875</x:v>
      </x:c>
      <x:c r="R35" s="474" t="str">
        <x:v>https://dexscreener.com/bsc/0x52a427db0b2d9154a5f4ad09d22f3792f754b6fc</x:v>
      </x:c>
      <x:c r="S35" s="474" t="str">
        <x:v>Quote 代币池价；可手动更新</x:v>
      </x:c>
    </x:row>
    <x:row r="36" ht="36" customHeight="1">
      <x:c r="C36" s="26" t="n">
        <x:v>23</x:v>
      </x:c>
      <x:c r="D36" s="26" t="str">
        <x:v>股票 / ETF RWA</x:v>
      </x:c>
      <x:c r="E36" s="34" t="str">
        <x:v>BILIon</x:v>
      </x:c>
      <x:c r="F36" s="34" t="str">
        <x:v>Bilibili</x:v>
      </x:c>
      <x:c r="G36" s="35" t="str">
        <x:v>​0x91fc7371d6dE682A1e8CFcB4EB7dA693312A03a4</x:v>
      </x:c>
      <x:c r="H36" s="35" t="n">
        <x:v>18</x:v>
      </x:c>
      <x:c r="I36" s="35" t="n">
        <x:v>239.8125</x:v>
      </x:c>
      <x:c r="J36" s="35" t="n">
        <x:v>107036751</x:v>
      </x:c>
      <x:c r="K36" s="35" t="n">
        <x:v>265481250849.1875</x:v>
      </x:c>
      <x:c r="L36" s="35" t="n">
        <x:v>624.843766666877</x:v>
      </x:c>
      <x:c r="M36" s="35" t="n">
        <x:v>200000000</x:v>
      </x:c>
      <x:c r="N36" s="35" t="n">
        <x:v>124968753333.37537</x:v>
      </x:c>
      <x:c r="O36" s="34" t="str">
        <x:v>2026-09-10</x:v>
      </x:c>
      <x:c r="P36" s="472"/>
      <x:c r="Q36" s="473" t="n">
        <x:v>46282.36819392361</x:v>
      </x:c>
      <x:c r="R36" s="474"/>
      <x:c r="S36" s="474" t="str">
        <x:v>暂无合格池价；可手动输入</x:v>
      </x:c>
    </x:row>
  </x:sheetData>
  <x:mergeCells>
    <x:mergeCell ref="D5:O5"/>
    <x:mergeCell ref="D6:O6"/>
    <x:mergeCell ref="D7:O7"/>
    <x:mergeCell ref="D8:O8"/>
    <x:mergeCell ref="D9:O9"/>
    <x:mergeCell ref="D10:O10"/>
    <x:mergeCell ref="D11:O11"/>
  </x:mergeCells>
  <x:pageMargins left="0.7" right="0.7" top="0.75" bottom="0.75" header="0.3" footer="0.3"/>
</x:worksheet>
</file>