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209ebc318648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e00aa08619b444e4"/>
    <x:sheet xmlns:r="http://schemas.openxmlformats.org/officeDocument/2006/relationships" name="Quote参数" sheetId="2" r:id="R9873abdba5834a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1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b/>
      <x:sz val="13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EAF3FA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9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4" borderId="2" xfId="0" applyNumberFormat="1" applyFont="1" applyFill="1" applyBorder="1" applyAlignment="1">
      <x:alignment vertical="center"/>
    </x:xf>
    <x:xf numFmtId="202" fontId="1" fillId="4" borderId="3" xfId="0" applyNumberFormat="1" applyFont="1" applyFill="1" applyBorder="1" applyAlignment="1">
      <x:alignment vertical="center"/>
    </x:xf>
    <x:xf numFmtId="202" fontId="1" fillId="4" borderId="4" xfId="0" applyNumberFormat="1" applyFont="1" applyFill="1" applyBorder="1" applyAlignment="1">
      <x:alignment vertical="center"/>
    </x:xf>
    <x:xf numFmtId="202" fontId="10" fillId="4" borderId="2" xfId="0" applyNumberFormat="1" applyFont="1" applyFill="1" applyBorder="1" applyAlignment="1">
      <x:alignment vertical="center"/>
    </x:xf>
    <x:xf numFmtId="202" fontId="10" fillId="4" borderId="3" xfId="0" applyNumberFormat="1" applyFont="1" applyFill="1" applyBorder="1" applyAlignment="1">
      <x:alignment vertical="center"/>
    </x:xf>
    <x:xf numFmtId="202" fontId="10" fillId="4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378d13a33e409e" /><Relationship Type="http://schemas.openxmlformats.org/officeDocument/2006/relationships/theme" Target="/xl/theme/theme1.xml" Id="R0f0aefdff21c4214" /><Relationship Type="http://schemas.openxmlformats.org/officeDocument/2006/relationships/sharedStrings" Target="/xl/sharedStrings.xml" Id="R38b2f3e3690242f6" /><Relationship Type="http://schemas.openxmlformats.org/officeDocument/2006/relationships/worksheet" Target="/xl/worksheets/sheet1.xml" Id="Re00aa08619b444e4" /><Relationship Type="http://schemas.openxmlformats.org/officeDocument/2006/relationships/worksheet" Target="/xl/worksheets/sheet2.xml" Id="R9873abdba5834a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5" hidden="0" customWidth="1"/>
    <x:col min="4" max="4" width="21" hidden="0" customWidth="1"/>
    <x:col min="5" max="5" width="14" hidden="0" customWidth="1"/>
    <x:col min="6" max="6" width="25" hidden="0" customWidth="1"/>
    <x:col min="7" max="7" width="21" hidden="0" customWidth="1"/>
    <x:col min="8" max="8" width="14" hidden="0" customWidth="1"/>
    <x:col min="9" max="9" width="25" hidden="0" customWidth="1"/>
    <x:col min="10" max="10" width="21" hidden="0" customWidth="1"/>
    <x:col min="11" max="11" width="14" hidden="0" customWidth="1"/>
    <x:col min="12" max="12" width="17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2"/>
      <x:c r="B2" s="2"/>
      <x:c r="C2" s="4" t="str">
        <x:v>Flap BSC 控筹模型</x:v>
      </x:c>
      <x:c r="D2" s="3"/>
      <x:c r="E2" s="3"/>
      <x:c r="F2" s="3"/>
      <x:c r="G2" s="3"/>
      <x:c r="H2" s="3"/>
      <x:c r="I2" s="3"/>
      <x:c r="J2" s="3"/>
      <x:c r="K2" s="3"/>
      <x:c r="L2" s="3"/>
    </x:row>
    <x:row r="3" ht="24" customHeight="1">
      <x:c r="A3" s="2"/>
      <x:c r="B3" s="2"/>
      <x:c r="C3" s="5" t="str">
        <x:v>蓝色格可编辑。Quote / USDT 资金不含 Gas，Gas 单独以 BNB 计价。</x:v>
      </x:c>
      <x:c r="D3" s="5"/>
      <x:c r="E3" s="5"/>
      <x:c r="F3" s="5"/>
      <x:c r="G3" s="5"/>
      <x:c r="H3" s="5"/>
      <x:c r="I3" s="5"/>
      <x:c r="J3" s="5"/>
      <x:c r="K3" s="5"/>
      <x:c r="L3" s="5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7" customHeight="1">
      <x:c r="A5" s="2"/>
      <x:c r="B5" s="2"/>
      <x:c r="C5" s="8" t="str">
        <x:v>一、可编辑参数</x:v>
      </x:c>
      <x:c r="D5" s="8"/>
      <x:c r="E5" s="8"/>
      <x:c r="F5" s="8"/>
      <x:c r="G5" s="8"/>
      <x:c r="H5" s="8"/>
      <x:c r="I5" s="8"/>
      <x:c r="J5" s="8"/>
      <x:c r="K5" s="8"/>
      <x:c r="L5" s="8"/>
    </x:row>
    <x:row r="6" ht="26" customHeight="1">
      <x:c r="A6" s="2"/>
      <x:c r="B6" s="2"/>
      <x:c r="C6" s="42" t="str">
        <x:v>交易参数</x:v>
      </x:c>
      <x:c r="D6" s="2"/>
      <x:c r="E6" s="2"/>
      <x:c r="F6" s="42" t="str">
        <x:v>地址与 Gas</x:v>
      </x:c>
      <x:c r="G6" s="2"/>
      <x:c r="H6" s="2"/>
      <x:c r="I6" s="42" t="str">
        <x:v>平台设置</x:v>
      </x:c>
      <x:c r="J6" s="2"/>
      <x:c r="K6" s="2"/>
      <x:c r="L6" s="2"/>
    </x:row>
    <x:row r="7" ht="26" customHeight="1">
      <x:c r="A7" s="2"/>
      <x:c r="B7" s="2"/>
      <x:c r="C7" s="35" t="str">
        <x:v>Quote</x:v>
      </x:c>
      <x:c r="D7" s="45" t="str">
        <x:v>SPCXB</x:v>
      </x:c>
      <x:c r="E7" s="2"/>
      <x:c r="F7" s="35" t="str">
        <x:v>内盘套数</x:v>
      </x:c>
      <x:c r="G7" s="45" t="n">
        <x:v>2</x:v>
      </x:c>
      <x:c r="H7" s="2"/>
      <x:c r="I7" s="35" t="str">
        <x:v>买入税率</x:v>
      </x:c>
      <x:c r="J7" s="46" t="n">
        <x:v>0</x:v>
      </x:c>
      <x:c r="K7" s="2"/>
      <x:c r="L7" s="2"/>
    </x:row>
    <x:row r="8" ht="26" customHeight="1">
      <x:c r="A8" s="2"/>
      <x:c r="B8" s="2"/>
      <x:c r="C8" s="35" t="str">
        <x:v>目标控筹率</x:v>
      </x:c>
      <x:c r="D8" s="46" t="n">
        <x:v>0.9</x:v>
      </x:c>
      <x:c r="E8" s="35" t="str">
        <x:v>预算沿用 +1%</x:v>
      </x:c>
      <x:c r="F8" s="35" t="str">
        <x:v>内盘地址 / 套</x:v>
      </x:c>
      <x:c r="G8" s="45" t="n">
        <x:v>10</x:v>
      </x:c>
      <x:c r="H8" s="2"/>
      <x:c r="I8" s="35" t="str">
        <x:v>卖出税率</x:v>
      </x:c>
      <x:c r="J8" s="46" t="n">
        <x:v>0</x:v>
      </x:c>
      <x:c r="K8" s="2"/>
      <x:c r="L8" s="2"/>
    </x:row>
    <x:row r="9" ht="26" customHeight="1">
      <x:c r="A9" s="2"/>
      <x:c r="B9" s="2"/>
      <x:c r="C9" s="35" t="str">
        <x:v>手动价格 / USDT</x:v>
      </x:c>
      <x:c r="D9" s="47"/>
      <x:c r="E9" s="35" t="str">
        <x:v>留空用日更价</x:v>
      </x:c>
      <x:c r="F9" s="35" t="str">
        <x:v>外盘地址数</x:v>
      </x:c>
      <x:c r="G9" s="45" t="n">
        <x:v>2</x:v>
      </x:c>
      <x:c r="H9" s="2"/>
      <x:c r="I9" s="2"/>
      <x:c r="J9" s="2"/>
      <x:c r="K9" s="2"/>
      <x:c r="L9" s="2"/>
    </x:row>
    <x:row r="10" ht="26" customHeight="1">
      <x:c r="A10" s="2"/>
      <x:c r="B10" s="2"/>
      <x:c r="C10" s="35" t="str">
        <x:v>资金预留 / Quote</x:v>
      </x:c>
      <x:c r="D10" s="47" t="n">
        <x:v>0</x:v>
      </x:c>
      <x:c r="E10" s="2"/>
      <x:c r="F10" s="35" t="str">
        <x:v>Holder 地址数</x:v>
      </x:c>
      <x:c r="G10" s="45" t="n">
        <x:v>100</x:v>
      </x:c>
      <x:c r="H10" s="2"/>
      <x:c r="I10" s="2"/>
      <x:c r="J10" s="2"/>
      <x:c r="K10" s="2"/>
      <x:c r="L10" s="2"/>
    </x:row>
    <x:row r="11" ht="26" customHeight="1">
      <x:c r="A11" s="2"/>
      <x:c r="B11" s="2"/>
      <x:c r="C11" s="2"/>
      <x:c r="D11" s="2"/>
      <x:c r="E11" s="2"/>
      <x:c r="F11" s="35" t="str">
        <x:v>单地址 Gas / BNB</x:v>
      </x:c>
      <x:c r="G11" s="47" t="n">
        <x:v>0.01</x:v>
      </x:c>
      <x:c r="H11" s="2"/>
      <x:c r="I11" s="2"/>
      <x:c r="J11" s="2"/>
      <x:c r="K11" s="2"/>
      <x:c r="L11" s="2"/>
    </x:row>
    <x:row r="12" ht="26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26" customHeight="1">
      <x:c r="A13" s="2"/>
      <x:c r="B13" s="2"/>
      <x:c r="C13" s="48" t="str">
        <x:v>手动价格只用于 USDT 换算，不改变 Quote 控筹预算。清空覆盖格后恢复自动取价。</x:v>
      </x:c>
      <x:c r="D13" s="48"/>
      <x:c r="E13" s="48"/>
      <x:c r="F13" s="48"/>
      <x:c r="G13" s="48"/>
      <x:c r="H13" s="48"/>
      <x:c r="I13" s="48"/>
      <x:c r="J13" s="48"/>
      <x:c r="K13" s="48"/>
      <x:c r="L13" s="48"/>
    </x:row>
    <x:row r="14" ht="26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26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26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27" customHeight="1">
      <x:c r="A17" s="2"/>
      <x:c r="B17" s="2"/>
      <x:c r="C17" s="8" t="str">
        <x:v>二、测算结果</x:v>
      </x:c>
      <x:c r="D17" s="8"/>
      <x:c r="E17" s="8"/>
      <x:c r="F17" s="8"/>
      <x:c r="G17" s="8"/>
      <x:c r="H17" s="8"/>
      <x:c r="I17" s="8"/>
      <x:c r="J17" s="8"/>
      <x:c r="K17" s="8"/>
      <x:c r="L17" s="8"/>
    </x:row>
    <x:row r="18" ht="38" customHeight="1">
      <x:c r="A18" s="2"/>
      <x:c r="B18" s="2"/>
      <x:c r="C18" s="35" t="str">
        <x:v>建议总资金 / Quote</x:v>
      </x:c>
      <x:c r="D18" s="64" t="n">
        <x:f>IF(LEFT($D$23,2)&lt;&gt;"可达","",IF($D$21="","",SUM($D$21,$G$21,$J$21,$D$22)))</x:f>
        <x:v>300.77987212306704</x:v>
      </x:c>
      <x:c r="E18" s="50" t="str">
        <x:f>$D$7</x:f>
        <x:v>SPCXB</x:v>
      </x:c>
      <x:c r="F18" s="35" t="str">
        <x:v>折合 USDT（不含 Gas）</x:v>
      </x:c>
      <x:c r="G18" s="64" t="n">
        <x:f>IF(OR($D$18="",$D$24=""),"",$D$18*$D$24)</x:f>
        <x:v>46634.27691457976</x:v>
      </x:c>
      <x:c r="H18" s="50" t="str">
        <x:v>USDT</x:v>
      </x:c>
      <x:c r="I18" s="35" t="str">
        <x:v>Gas 储备 / BNB</x:v>
      </x:c>
      <x:c r="J18" s="64" t="n">
        <x:f>$G$22*MAX(0,$G$11)</x:f>
        <x:v>1.22</x:v>
      </x:c>
      <x:c r="K18" s="50" t="str">
        <x:v>BNB</x:v>
      </x:c>
      <x:c r="L18" s="50"/>
    </x:row>
    <x:row r="19" ht="26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6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26" customHeight="1">
      <x:c r="A21" s="2"/>
      <x:c r="B21" s="2"/>
      <x:c r="C21" s="35" t="str">
        <x:v>理论累计投入 / Quote</x:v>
      </x:c>
      <x:c r="D21" s="51" t="n">
        <x:f>IF(LEFT($D$23,2)&lt;&gt;"可达","",IF($J$35="","",$J$31+$J$35))</x:f>
        <x:v>199.57837300859285</x:v>
      </x:c>
      <x:c r="E21" s="2"/>
      <x:c r="F21" s="35" t="str">
        <x:v>额外内盘资金 / Quote</x:v>
      </x:c>
      <x:c r="G21" s="51" t="n">
        <x:f>IF(LEFT($D$23,2)&lt;&gt;"可达","",$J$31*MAX(0,$G$7-1))</x:f>
        <x:v>90.17857142528192</x:v>
      </x:c>
      <x:c r="H21" s="2"/>
      <x:c r="I21" s="35" t="str">
        <x:v>洗筹预算 / Quote</x:v>
      </x:c>
      <x:c r="J21" s="51" t="n">
        <x:f>IF(LEFT($D$23,2)&lt;&gt;"可达","",IF($J$36="","",$J$36*$J$37))</x:f>
        <x:v>11.022927689192269</x:v>
      </x:c>
      <x:c r="K21" s="2"/>
      <x:c r="L21" s="2"/>
    </x:row>
    <x:row r="22" ht="26" customHeight="1">
      <x:c r="A22" s="2"/>
      <x:c r="B22" s="2"/>
      <x:c r="C22" s="35" t="str">
        <x:v>资金预留 / Quote</x:v>
      </x:c>
      <x:c r="D22" s="51" t="n">
        <x:f>MAX(0,$D$10)</x:f>
        <x:v>0</x:v>
      </x:c>
      <x:c r="E22" s="2"/>
      <x:c r="F22" s="35" t="str">
        <x:v>地址总数</x:v>
      </x:c>
      <x:c r="G22" s="54" t="n">
        <x:f>MAX(0,$G$8)*MAX(0,$G$7)+MAX(0,$G$9)+MAX(0,$G$10)</x:f>
        <x:v>122</x:v>
      </x:c>
      <x:c r="H22" s="2"/>
      <x:c r="I22" s="35" t="str">
        <x:v>预算使用控筹率</x:v>
      </x:c>
      <x:c r="J22" s="52" t="n">
        <x:f>$D$8+1%</x:f>
        <x:v>0.91</x:v>
      </x:c>
      <x:c r="K22" s="2"/>
      <x:c r="L22" s="2"/>
    </x:row>
    <x:row r="23" ht="40" customHeight="1">
      <x:c r="A23" s="2"/>
      <x:c r="B23" s="2"/>
      <x:c r="C23" s="35" t="str">
        <x:v>目标是否可达</x:v>
      </x:c>
      <x:c r="D23" s="56" t="str">
        <x:f>IF($J$41&lt;&gt;"参数有效",$J$41,IF(OR($D$8&lt;80%,$D$8&gt;=100%),"目标控筹率无效",IF(OR($J$7&lt;0,$J$7&gt;10%,$J$8&lt;0,$J$8&gt;10%),"税率无效",IF($J$22&gt;=$G$23,"目标+1%不可达","可达"))))</x:f>
        <x:v>可达</x:v>
      </x:c>
      <x:c r="E23" s="2"/>
      <x:c r="F23" s="35" t="str">
        <x:v>当前控筹上限</x:v>
      </x:c>
      <x:c r="G23" s="53" t="n">
        <x:f>$G$33+(1-$J$7)*$G$38/1000000000</x:f>
        <x:v>1</x:v>
      </x:c>
      <x:c r="H23" s="2"/>
      <x:c r="I23" s="35" t="str">
        <x:v>资金口径</x:v>
      </x:c>
      <x:c r="J23" s="51" t="str">
        <x:v>Quote 预算 + 单独 Gas</x:v>
      </x:c>
      <x:c r="K23" s="2"/>
      <x:c r="L23" s="2"/>
    </x:row>
    <x:row r="24" ht="40" customHeight="1">
      <x:c r="A24" s="2"/>
      <x:c r="B24" s="2"/>
      <x:c r="C24" s="35" t="str">
        <x:v>使用价格 / USDT</x:v>
      </x:c>
      <x:c r="D24" s="51" t="n">
        <x:f>IF($D$9&lt;&gt;"",IF(AND(ISNUMBER($D$9),$D$9&gt;0),$D$9,""),IF(VLOOKUP($D$7,'Quote参数'!$E$14:$P$36,12,FALSE)&gt;0,VLOOKUP($D$7,'Quote参数'!$E$14:$P$36,12,FALSE),""))</x:f>
        <x:v>155.04454</x:v>
      </x:c>
      <x:c r="E24" s="2"/>
      <x:c r="F24" s="35" t="str">
        <x:v>行情时间 / UTC</x:v>
      </x:c>
      <x:c r="G24" s="55" t="n">
        <x:f>IF(VLOOKUP($D$7,'Quote参数'!$E$14:$Q$36,13,FALSE)=0,"",VLOOKUP($D$7,'Quote参数'!$E$14:$Q$36,13,FALSE))</x:f>
        <x:v>46283.2286428125</x:v>
      </x:c>
      <x:c r="H24" s="2"/>
      <x:c r="I24" s="35" t="str">
        <x:v>价格状态</x:v>
      </x:c>
      <x:c r="J24" s="51" t="str">
        <x:f>IF($D$9&lt;&gt;"",IF($D$24="","手动价格无效","手动价格"),IF($D$24="","缺少价格","每日行情"))</x:f>
        <x:v>每日行情</x:v>
      </x:c>
      <x:c r="K24" s="2"/>
      <x:c r="L24" s="2"/>
    </x:row>
    <x:row r="25" ht="26" customHeight="1">
      <x:c r="A25" s="2"/>
      <x:c r="B25" s="2"/>
      <x:c r="C25" s="35" t="str">
        <x:v>价格采用方式</x:v>
      </x:c>
      <x:c r="D25" s="51" t="str">
        <x:f>IF($D$9&lt;&gt;"","手动覆盖","每日行情")</x:f>
        <x:v>每日行情</x:v>
      </x:c>
      <x:c r="E25" s="2"/>
      <x:c r="F25" s="2"/>
      <x:c r="G25" s="51"/>
      <x:c r="H25" s="2"/>
      <x:c r="I25" s="2" t="str">
        <x:v>价格缺失时 USDT 结果留空</x:v>
      </x:c>
      <x:c r="J25" s="51"/>
      <x:c r="K25" s="2"/>
      <x:c r="L25" s="2"/>
    </x:row>
    <x:row r="26" ht="26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6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6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27" customHeight="1">
      <x:c r="A29" s="2"/>
      <x:c r="B29" s="2"/>
      <x:c r="C29" s="8" t="str">
        <x:v>三、模型信息与计算口径</x:v>
      </x:c>
      <x:c r="D29" s="8"/>
      <x:c r="E29" s="8"/>
      <x:c r="F29" s="8"/>
      <x:c r="G29" s="8"/>
      <x:c r="H29" s="8"/>
      <x:c r="I29" s="8"/>
      <x:c r="J29" s="8"/>
      <x:c r="K29" s="8"/>
      <x:c r="L29" s="8"/>
    </x:row>
    <x:row r="30" ht="26" customHeight="1">
      <x:c r="A30" s="2"/>
      <x:c r="B30" s="2"/>
      <x:c r="C30" s="42" t="str">
        <x:v>Quote 信息</x:v>
      </x:c>
      <x:c r="D30" s="2"/>
      <x:c r="E30" s="2"/>
      <x:c r="F30" s="42" t="str">
        <x:v>协议与曲线参数</x:v>
      </x:c>
      <x:c r="G30" s="2"/>
      <x:c r="H30" s="2"/>
      <x:c r="I30" s="42" t="str">
        <x:v>预算中间计算</x:v>
      </x:c>
      <x:c r="J30" s="2"/>
      <x:c r="K30" s="2"/>
      <x:c r="L30" s="2"/>
    </x:row>
    <x:row r="31" ht="36" customHeight="1">
      <x:c r="A31" s="2"/>
      <x:c r="B31" s="2"/>
      <x:c r="C31" s="35" t="str">
        <x:v>Quote 名称</x:v>
      </x:c>
      <x:c r="D31" s="56" t="str">
        <x:f>VLOOKUP($D$7,'Quote参数'!$E$14:$M$36,2,FALSE)</x:f>
        <x:v>SpaceX</x:v>
      </x:c>
      <x:c r="E31" s="35"/>
      <x:c r="F31" s="35" t="str">
        <x:v>内盘基础费</x:v>
      </x:c>
      <x:c r="G31" s="53" t="n">
        <x:f>0.01</x:f>
        <x:v>0.01</x:v>
      </x:c>
      <x:c r="H31" s="2"/>
      <x:c r="I31" s="35" t="str">
        <x:v>一套内盘打满 / Quote</x:v>
      </x:c>
      <x:c r="J31" s="51" t="n">
        <x:f>$G$34*(1+$G$31+$J$7)</x:f>
        <x:v>90.17857142528192</x:v>
      </x:c>
      <x:c r="K31" s="2"/>
      <x:c r="L31" s="2"/>
    </x:row>
    <x:row r="32" ht="36" customHeight="1">
      <x:c r="A32" s="2"/>
      <x:c r="B32" s="2"/>
      <x:c r="C32" s="35" t="str">
        <x:v>Quote 合约</x:v>
      </x:c>
      <x:c r="D32" s="59" t="str">
        <x:f>VLOOKUP($D$7,'Quote参数'!$E$14:$M$36,3,FALSE)</x:f>
        <x:v>​0xbe9D156892E55e7154BcD3cB0FEA677F9D3103E1</x:v>
      </x:c>
      <x:c r="E32" s="35"/>
      <x:c r="F32" s="35" t="str">
        <x:v>外盘 LP 费</x:v>
      </x:c>
      <x:c r="G32" s="53" t="n">
        <x:f>0.0025</x:f>
        <x:v>0.0025</x:v>
      </x:c>
      <x:c r="H32" s="2"/>
      <x:c r="I32" s="35" t="str">
        <x:v>目标+1% Pool TOKEN</x:v>
      </x:c>
      <x:c r="J32" s="61" t="n">
        <x:f>IF($J$39="","",$G$38-$J$39)</x:f>
        <x:v>89999999.99999999</x:v>
      </x:c>
      <x:c r="K32" s="2"/>
      <x:c r="L32" s="2"/>
    </x:row>
    <x:row r="33" ht="26" customHeight="1">
      <x:c r="A33" s="2"/>
      <x:c r="B33" s="2"/>
      <x:c r="C33" s="2"/>
      <x:c r="D33" s="56"/>
      <x:c r="E33" s="35"/>
      <x:c r="F33" s="35" t="str">
        <x:v>毕业控筹率</x:v>
      </x:c>
      <x:c r="G33" s="53" t="n">
        <x:f>0.8</x:f>
        <x:v>0.8</x:v>
      </x:c>
      <x:c r="H33" s="2"/>
      <x:c r="I33" s="35" t="str">
        <x:v>目标+1% Pool Quote</x:v>
      </x:c>
      <x:c r="J33" s="51" t="n">
        <x:f>IF($J$32="","",$G$40/$J$32)</x:f>
        <x:v>198.41269840546076</x:v>
      </x:c>
      <x:c r="K33" s="2"/>
      <x:c r="L33" s="2"/>
    </x:row>
    <x:row r="34" ht="26" customHeight="1">
      <x:c r="A34" s="2"/>
      <x:c r="B34" s="2"/>
      <x:c r="C34" s="35" t="str">
        <x:v>Decimals</x:v>
      </x:c>
      <x:c r="D34" s="57" t="n">
        <x:f>VLOOKUP($D$7,'Quote参数'!$E$14:$M$36,4,FALSE)</x:f>
        <x:v>18</x:v>
      </x:c>
      <x:c r="E34" s="2"/>
      <x:c r="F34" s="35" t="str">
        <x:v>毕业真实 Quote</x:v>
      </x:c>
      <x:c r="G34" s="51" t="n">
        <x:f>VLOOKUP($D$7,'Quote参数'!$E$14:$M$36,8,FALSE)</x:f>
        <x:v>89.28571428245735</x:v>
      </x:c>
      <x:c r="H34" s="2"/>
      <x:c r="I34" s="35" t="str">
        <x:v>外盘净增加 / Quote</x:v>
      </x:c>
      <x:c r="J34" s="51" t="n">
        <x:f>IF($J$33="","",MAX(0,$J$33-$G$34))</x:f>
        <x:v>109.12698412300341</x:v>
      </x:c>
      <x:c r="K34" s="2"/>
      <x:c r="L34" s="2"/>
    </x:row>
    <x:row r="35" ht="26" customHeight="1">
      <x:c r="A35" s="2"/>
      <x:c r="B35" s="2"/>
      <x:c r="C35" s="35" t="str">
        <x:v>总供应量</x:v>
      </x:c>
      <x:c r="D35" s="54" t="n">
        <x:v>1000000000</x:v>
      </x:c>
      <x:c r="E35" s="2"/>
      <x:c r="F35" s="35" t="str">
        <x:v>内盘初始 TOKEN</x:v>
      </x:c>
      <x:c r="G35" s="61" t="n">
        <x:f>$D$35+$G$42</x:f>
        <x:v>1107036751</x:v>
      </x:c>
      <x:c r="H35" s="2"/>
      <x:c r="I35" s="35" t="str">
        <x:v>外盘含费投入 / Quote</x:v>
      </x:c>
      <x:c r="J35" s="51" t="n">
        <x:f>IF($J$34="","",$J$34*(1+$G$32))</x:f>
        <x:v>109.39980158331092</x:v>
      </x:c>
      <x:c r="K35" s="2"/>
      <x:c r="L35" s="2"/>
    </x:row>
    <x:row r="36" ht="36" customHeight="1">
      <x:c r="A36" s="2"/>
      <x:c r="B36" s="2"/>
      <x:c r="C36" s="35" t="str">
        <x:v>协议参数时点</x:v>
      </x:c>
      <x:c r="D36" s="60" t="str">
        <x:v>2026-09-10 / block 121074671</x:v>
      </x:c>
      <x:c r="E36" s="35"/>
      <x:c r="F36" s="35" t="str">
        <x:v>虚拟 Quote r</x:v>
      </x:c>
      <x:c r="G36" s="51" t="n">
        <x:f>VLOOKUP($D$7,'Quote参数'!$E$14:$M$36,5,FALSE)</x:f>
        <x:v>34.26749453</x:v>
      </x:c>
      <x:c r="H36" s="2"/>
      <x:c r="I36" s="35" t="str">
        <x:v>目标+1% FDV / Quote</x:v>
      </x:c>
      <x:c r="J36" s="51" t="n">
        <x:f>IF($J$33="","",$J$33/$J$32*1000000000)</x:f>
        <x:v>2204.5855378384535</x:v>
      </x:c>
      <x:c r="K36" s="2"/>
      <x:c r="L36" s="2"/>
    </x:row>
    <x:row r="37" ht="26" customHeight="1">
      <x:c r="A37" s="2"/>
      <x:c r="B37" s="2"/>
      <x:c r="C37" s="35" t="str">
        <x:v>外盘机制</x:v>
      </x:c>
      <x:c r="D37" s="56" t="str">
        <x:v>Pancake V3</x:v>
      </x:c>
      <x:c r="E37" s="35"/>
      <x:c r="F37" s="35" t="str">
        <x:v>内盘 k</x:v>
      </x:c>
      <x:c r="G37" s="58" t="n">
        <x:f>VLOOKUP($D$7,'Quote参数'!$E$14:$M$36,7,FALSE)</x:f>
        <x:v>37935375809.401474</x:v>
      </x:c>
      <x:c r="H37" s="2"/>
      <x:c r="I37" s="35" t="str">
        <x:v>洗筹总费率</x:v>
      </x:c>
      <x:c r="J37" s="53" t="n">
        <x:f>$G$32*2+$J$7+$J$8</x:f>
        <x:v>0.005</x:v>
      </x:c>
      <x:c r="K37" s="2"/>
      <x:c r="L37" s="2"/>
    </x:row>
    <x:row r="38" ht="36" customHeight="1">
      <x:c r="A38" s="2"/>
      <x:c r="B38" s="2"/>
      <x:c r="C38" s="35" t="str">
        <x:v>费用方向</x:v>
      </x:c>
      <x:c r="D38" s="56" t="str">
        <x:v>内盘买税加收 Quote；DEX 买税扣 TOKEN 输出</x:v>
      </x:c>
      <x:c r="E38" s="35"/>
      <x:c r="F38" s="35" t="str">
        <x:v>外盘初始 TOKEN</x:v>
      </x:c>
      <x:c r="G38" s="61" t="n">
        <x:f>1000000000*(1-0.8)</x:f>
        <x:v>199999999.99999997</x:v>
      </x:c>
      <x:c r="H38" s="2"/>
      <x:c r="I38" s="35" t="str">
        <x:v>外盘净控筹 TOKEN</x:v>
      </x:c>
      <x:c r="J38" s="61" t="n">
        <x:f>IF($J$22&lt;$G$23,MAX(0,($J$22-$G$33)*1000000000),"")</x:f>
        <x:v>109999999.99999999</x:v>
      </x:c>
      <x:c r="K38" s="2"/>
      <x:c r="L38" s="2"/>
    </x:row>
    <x:row r="39" ht="36" customHeight="1">
      <x:c r="A39" s="2"/>
      <x:c r="B39" s="2"/>
      <x:c r="C39" s="35" t="str">
        <x:v>洗筹口径</x:v>
      </x:c>
      <x:c r="D39" s="56" t="str">
        <x:v>目标+1% FDV ×（2×LP费 + 买税 + 卖税）</x:v>
      </x:c>
      <x:c r="E39" s="35"/>
      <x:c r="F39" s="35" t="str">
        <x:v>外盘初始 Quote</x:v>
      </x:c>
      <x:c r="G39" s="51" t="n">
        <x:f>$G$34</x:f>
        <x:v>89.28571428245735</x:v>
      </x:c>
      <x:c r="H39" s="2"/>
      <x:c r="I39" s="35" t="str">
        <x:v>外盘需扫 TOKEN</x:v>
      </x:c>
      <x:c r="J39" s="61" t="n">
        <x:f>IF($J$38="","",$J$38/(1-$J$7))</x:f>
        <x:v>109999999.99999999</x:v>
      </x:c>
      <x:c r="K39" s="2"/>
      <x:c r="L39" s="2"/>
    </x:row>
    <x:row r="40" ht="26" customHeight="1">
      <x:c r="A40" s="2"/>
      <x:c r="B40" s="2"/>
      <x:c r="C40" s="2"/>
      <x:c r="D40" s="56"/>
      <x:c r="E40" s="35"/>
      <x:c r="F40" s="35" t="str">
        <x:v>外盘 k</x:v>
      </x:c>
      <x:c r="G40" s="58" t="n">
        <x:f>VLOOKUP($D$7,'Quote参数'!$E$14:$N$36,10,FALSE)</x:f>
        <x:v>17857142856.491467</x:v>
      </x:c>
      <x:c r="H40" s="2"/>
      <x:c r="I40" s="2"/>
      <x:c r="J40" s="51"/>
      <x:c r="K40" s="2"/>
      <x:c r="L40" s="2"/>
    </x:row>
    <x:row r="41" ht="36" customHeight="1">
      <x:c r="A41" s="2"/>
      <x:c r="B41" s="2"/>
      <x:c r="C41" s="2"/>
      <x:c r="D41" s="51"/>
      <x:c r="E41" s="2"/>
      <x:c r="F41" s="35" t="str">
        <x:v>协议来源</x:v>
      </x:c>
      <x:c r="G41" s="62" t="str">
        <x:v>Quote参数页</x:v>
      </x:c>
      <x:c r="H41" s="2"/>
      <x:c r="I41" s="35" t="str">
        <x:v>输入检查</x:v>
      </x:c>
      <x:c r="J41" s="56" t="str">
        <x:f>IF(COUNT($D$8,$D$10,$G$7:$G$11,$J$7:$J$8)&lt;&gt;9,"缺少或非数值参数",IF(OR($G$7&lt;1,$G$8&lt;0,$G$9&lt;0,$G$10&lt;0,$G$11&lt;0,$D$10&lt;0,$G$7&lt;&gt;INT($G$7),$G$8&lt;&gt;INT($G$8),$G$9&lt;&gt;INT($G$9),$G$10&lt;&gt;INT($G$10)),"地址/Gas/预留参数无效","参数有效"))</x:f>
        <x:v>参数有效</x:v>
      </x:c>
      <x:c r="K41" s="35"/>
      <x:c r="L41" s="35"/>
    </x:row>
    <x:row r="42" ht="36" customHeight="1">
      <x:c r="A42" s="2"/>
      <x:c r="B42" s="2"/>
      <x:c r="C42" s="2"/>
      <x:c r="D42" s="51"/>
      <x:c r="E42" s="2"/>
      <x:c r="F42" s="35" t="str">
        <x:v>虚拟 TOKEN h</x:v>
      </x:c>
      <x:c r="G42" s="62" t="n">
        <x:f>VLOOKUP($D$7,'Quote参数'!$E$14:$M$36,6,FALSE)</x:f>
        <x:v>107036751</x:v>
      </x:c>
      <x:c r="H42" s="2"/>
      <x:c r="I42" s="2"/>
      <x:c r="J42" s="51"/>
      <x:c r="K42" s="2"/>
      <x:c r="L42" s="2"/>
    </x:row>
    <x:row r="43" ht="36" customHeight="1">
      <x:c r="A43" s="2"/>
      <x:c r="B43" s="2"/>
      <x:c r="C43" s="2"/>
      <x:c r="D43" s="51"/>
      <x:c r="E43" s="2"/>
      <x:c r="F43" s="35" t="str">
        <x:v>买税方向</x:v>
      </x:c>
      <x:c r="G43" s="63" t="str">
        <x:v>TOKEN 输出端</x:v>
      </x:c>
      <x:c r="H43" s="2"/>
      <x:c r="I43" s="2"/>
      <x:c r="J43" s="51"/>
      <x:c r="K43" s="2"/>
      <x:c r="L43" s="2"/>
    </x:row>
    <x:row r="44" ht="26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6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6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7" customHeight="1">
      <x:c r="A47" s="2"/>
      <x:c r="B47" s="2"/>
      <x:c r="C47" s="8" t="str">
        <x:v>内盘曲线</x:v>
      </x:c>
      <x:c r="D47" s="8"/>
      <x:c r="E47" s="8"/>
      <x:c r="F47" s="8"/>
      <x:c r="G47" s="8"/>
      <x:c r="H47" s="8"/>
      <x:c r="I47" s="8"/>
      <x:c r="J47" s="8"/>
      <x:c r="K47" s="8"/>
      <x:c r="L47" s="8"/>
    </x:row>
    <x:row r="48" ht="38" customHeight="1">
      <x:c r="A48" s="2"/>
      <x:c r="B48" s="2"/>
      <x:c r="C48" s="68" t="str">
        <x:v>控筹率</x:v>
      </x:c>
      <x:c r="D48" s="68" t="str">
        <x:v>pooled TOKEN</x:v>
      </x:c>
      <x:c r="E48" s="68" t="str">
        <x:v>pooled Quote</x:v>
      </x:c>
      <x:c r="F48" s="68" t="str">
        <x:v>价格 / Quote</x:v>
      </x:c>
      <x:c r="G48" s="68" t="str">
        <x:v>价格 / USDT</x:v>
      </x:c>
      <x:c r="H48" s="68" t="str">
        <x:v>市值 / Quote</x:v>
      </x:c>
      <x:c r="I48" s="68" t="str">
        <x:v>市值 / USDT</x:v>
      </x:c>
      <x:c r="J48" s="68" t="str">
        <x:v>区间净投入
/ Quote</x:v>
      </x:c>
      <x:c r="K48" s="68" t="str">
        <x:v>区间含费
/ Quote</x:v>
      </x:c>
      <x:c r="L48" s="68" t="str">
        <x:v>理论累计所需
/ Quote</x:v>
      </x:c>
    </x:row>
    <x:row r="49" ht="26" customHeight="1">
      <x:c r="A49" s="2"/>
      <x:c r="B49" s="2"/>
      <x:c r="C49" s="69" t="n">
        <x:v>0</x:v>
      </x:c>
      <x:c r="D49" s="72" t="n">
        <x:f>$D$35+$G$42-$D$35*C49</x:f>
        <x:v>1107036751</x:v>
      </x:c>
      <x:c r="E49" s="26" t="n">
        <x:f>$G$37/D49</x:f>
        <x:v>34.26749453</x:v>
      </x:c>
      <x:c r="F49" s="75" t="n">
        <x:f>IF(OR(D49="",E49=""),"",E49/D49)</x:f>
        <x:v>3.0954251969544594e-8</x:v>
      </x:c>
      <x:c r="G49" s="75" t="n">
        <x:f>IF(OR($D$24="",NOT(ISNUMBER(F49))),"",F49*$D$24)</x:f>
        <x:v>0.000004799287757662136</x:v>
      </x:c>
      <x:c r="H49" s="26" t="n">
        <x:f>IF(NOT(ISNUMBER(F49)),"",F49*$D$35)</x:f>
        <x:v>30.954251969544593</x:v>
      </x:c>
      <x:c r="I49" s="26" t="n">
        <x:f>IF(OR($D$24="",NOT(ISNUMBER(H49))),"",H49*$D$24)</x:f>
        <x:v>4799.287757662136</x:v>
      </x:c>
      <x:c r="J49" s="26" t="n">
        <x:f>0</x:f>
        <x:v>0</x:v>
      </x:c>
      <x:c r="K49" s="26" t="n">
        <x:f>J49*(1+$G$31+$J$7)</x:f>
        <x:v>0</x:v>
      </x:c>
      <x:c r="L49" s="81" t="n">
        <x:f>(E49-$G$36)*(1+$G$31+$J$7)</x:f>
        <x:v>0</x:v>
      </x:c>
    </x:row>
    <x:row r="50" ht="26" customHeight="1">
      <x:c r="A50" s="2"/>
      <x:c r="B50" s="2"/>
      <x:c r="C50" s="70" t="n">
        <x:v>0.1</x:v>
      </x:c>
      <x:c r="D50" s="73" t="n">
        <x:f>$D$35+$G$42-$D$35*C50</x:f>
        <x:v>1007036751</x:v>
      </x:c>
      <x:c r="E50" s="27" t="n">
        <x:f>$G$37/D50</x:f>
        <x:v>37.670299293179895</x:v>
      </x:c>
      <x:c r="F50" s="76" t="n">
        <x:f>IF(OR(D50="",E50=""),"",E50/D50)</x:f>
        <x:v>3.740707502062146e-8</x:v>
      </x:c>
      <x:c r="G50" s="76" t="n">
        <x:f>IF(OR($D$24="",NOT(ISNUMBER(F50))),"",F50*$D$24)</x:f>
        <x:v>0.000005799762739317745</x:v>
      </x:c>
      <x:c r="H50" s="27" t="n">
        <x:f>IF(NOT(ISNUMBER(F50)),"",F50*$D$35)</x:f>
        <x:v>37.40707502062146</x:v>
      </x:c>
      <x:c r="I50" s="27" t="n">
        <x:f>IF(OR($D$24="",NOT(ISNUMBER(H50))),"",H50*$D$24)</x:f>
        <x:v>5799.762739317745</x:v>
      </x:c>
      <x:c r="J50" s="27" t="n">
        <x:f>E50-E49</x:f>
        <x:v>3.402804763179894</x:v>
      </x:c>
      <x:c r="K50" s="27" t="n">
        <x:f>J50*(1+$G$31+$J$7)</x:f>
        <x:v>3.4368328108116932</x:v>
      </x:c>
      <x:c r="L50" s="82" t="n">
        <x:f>(E50-$G$36)*(1+$G$31+$J$7)</x:f>
        <x:v>3.4368328108116932</x:v>
      </x:c>
    </x:row>
    <x:row r="51" ht="26" customHeight="1">
      <x:c r="A51" s="2"/>
      <x:c r="B51" s="2"/>
      <x:c r="C51" s="70" t="n">
        <x:v>0.2</x:v>
      </x:c>
      <x:c r="D51" s="73" t="n">
        <x:f>$D$35+$G$42-$D$35*C51</x:f>
        <x:v>907036751</x:v>
      </x:c>
      <x:c r="E51" s="27" t="n">
        <x:f>$G$37/D51</x:f>
        <x:v>41.82341649065273</x:v>
      </x:c>
      <x:c r="F51" s="76" t="n">
        <x:f>IF(OR(D51="",E51=""),"",E51/D51)</x:f>
        <x:v>4.6109946972427285e-8</x:v>
      </x:c>
      <x:c r="G51" s="76" t="n">
        <x:f>IF(OR($D$24="",NOT(ISNUMBER(F51))),"",F51*$D$24)</x:f>
        <x:v>0.000007149095517764382</x:v>
      </x:c>
      <x:c r="H51" s="27" t="n">
        <x:f>IF(NOT(ISNUMBER(F51)),"",F51*$D$35)</x:f>
        <x:v>46.10994697242729</x:v>
      </x:c>
      <x:c r="I51" s="27" t="n">
        <x:f>IF(OR($D$24="",NOT(ISNUMBER(H51))),"",H51*$D$24)</x:f>
        <x:v>7149.095517764382</x:v>
      </x:c>
      <x:c r="J51" s="27" t="n">
        <x:f>E51-E50</x:f>
        <x:v>4.153117197472838</x:v>
      </x:c>
      <x:c r="K51" s="27" t="n">
        <x:f>J51*(1+$G$31+$J$7)</x:f>
        <x:v>4.194648369447567</x:v>
      </x:c>
      <x:c r="L51" s="82" t="n">
        <x:f>(E51-$G$36)*(1+$G$31+$J$7)</x:f>
        <x:v>7.63148118025926</x:v>
      </x:c>
    </x:row>
    <x:row r="52" ht="26" customHeight="1">
      <x:c r="A52" s="2"/>
      <x:c r="B52" s="2"/>
      <x:c r="C52" s="70" t="n">
        <x:v>0.3</x:v>
      </x:c>
      <x:c r="D52" s="73" t="n">
        <x:f>$D$35+$G$42-$D$35*C52</x:f>
        <x:v>807036751</x:v>
      </x:c>
      <x:c r="E52" s="27" t="n">
        <x:f>$G$37/D52</x:f>
        <x:v>47.00575997610482</x:v>
      </x:c>
      <x:c r="F52" s="76" t="n">
        <x:f>IF(OR(D52="",E52=""),"",E52/D52)</x:f>
        <x:v>5.824488155943325e-8</x:v>
      </x:c>
      <x:c r="G52" s="76" t="n">
        <x:f>IF(OR($D$24="",NOT(ISNUMBER(F52))),"",F52*$D$24)</x:f>
        <x:v>0.00000903055086873681</x:v>
      </x:c>
      <x:c r="H52" s="27" t="n">
        <x:f>IF(NOT(ISNUMBER(F52)),"",F52*$D$35)</x:f>
        <x:v>58.244881559433246</x:v>
      </x:c>
      <x:c r="I52" s="27" t="n">
        <x:f>IF(OR($D$24="",NOT(ISNUMBER(H52))),"",H52*$D$24)</x:f>
        <x:v>9030.550868736811</x:v>
      </x:c>
      <x:c r="J52" s="27" t="n">
        <x:f>E52-E51</x:f>
        <x:v>5.182343485452087</x:v>
      </x:c>
      <x:c r="K52" s="27" t="n">
        <x:f>J52*(1+$G$31+$J$7)</x:f>
        <x:v>5.234166920306608</x:v>
      </x:c>
      <x:c r="L52" s="82" t="n">
        <x:f>(E52-$G$36)*(1+$G$31+$J$7)</x:f>
        <x:v>12.865648100565867</x:v>
      </x:c>
    </x:row>
    <x:row r="53" ht="26" customHeight="1">
      <x:c r="A53" s="2"/>
      <x:c r="B53" s="2"/>
      <x:c r="C53" s="70" t="n">
        <x:v>0.4</x:v>
      </x:c>
      <x:c r="D53" s="73" t="n">
        <x:f>$D$35+$G$42-$D$35*C53</x:f>
        <x:v>707036751</x:v>
      </x:c>
      <x:c r="E53" s="27" t="n">
        <x:f>$G$37/D53</x:f>
        <x:v>53.65403673252831</x:v>
      </x:c>
      <x:c r="F53" s="76" t="n">
        <x:f>IF(OR(D53="",E53=""),"",E53/D53)</x:f>
        <x:v>7.588578197193078e-8</x:v>
      </x:c>
      <x:c r="G53" s="76" t="n">
        <x:f>IF(OR($D$24="",NOT(ISNUMBER(F53))),"",F53*$D$24)</x:f>
        <x:v>0.000011765676158378303</x:v>
      </x:c>
      <x:c r="H53" s="27" t="n">
        <x:f>IF(NOT(ISNUMBER(F53)),"",F53*$D$35)</x:f>
        <x:v>75.88578197193078</x:v>
      </x:c>
      <x:c r="I53" s="27" t="n">
        <x:f>IF(OR($D$24="",NOT(ISNUMBER(H53))),"",H53*$D$24)</x:f>
        <x:v>11765.676158378303</x:v>
      </x:c>
      <x:c r="J53" s="27" t="n">
        <x:f>E53-E52</x:f>
        <x:v>6.648276756423492</x:v>
      </x:c>
      <x:c r="K53" s="27" t="n">
        <x:f>J53*(1+$G$31+$J$7)</x:f>
        <x:v>6.714759523987727</x:v>
      </x:c>
      <x:c r="L53" s="82" t="n">
        <x:f>(E53-$G$36)*(1+$G$31+$J$7)</x:f>
        <x:v>19.580407624553594</x:v>
      </x:c>
    </x:row>
    <x:row r="54" ht="26" customHeight="1">
      <x:c r="A54" s="2"/>
      <x:c r="B54" s="2"/>
      <x:c r="C54" s="70" t="n">
        <x:v>0.5</x:v>
      </x:c>
      <x:c r="D54" s="73" t="n">
        <x:f>$D$35+$G$42-$D$35*C54</x:f>
        <x:v>607036751</x:v>
      </x:c>
      <x:c r="E54" s="27" t="n">
        <x:f>$G$37/D54</x:f>
        <x:v>62.49271686913314</x:v>
      </x:c>
      <x:c r="F54" s="76" t="n">
        <x:f>IF(OR(D54="",E54=""),"",E54/D54)</x:f>
        <x:v>1.0294717208832245e-7</x:v>
      </x:c>
      <x:c r="G54" s="76" t="n">
        <x:f>IF(OR($D$24="",NOT(ISNUMBER(F54))),"",F54*$D$24)</x:f>
        <x:v>0.000015961396940734793</x:v>
      </x:c>
      <x:c r="H54" s="27" t="n">
        <x:f>IF(NOT(ISNUMBER(F54)),"",F54*$D$35)</x:f>
        <x:v>102.94717208832245</x:v>
      </x:c>
      <x:c r="I54" s="27" t="n">
        <x:f>IF(OR($D$24="",NOT(ISNUMBER(H54))),"",H54*$D$24)</x:f>
        <x:v>15961.396940734794</x:v>
      </x:c>
      <x:c r="J54" s="27" t="n">
        <x:f>E54-E53</x:f>
        <x:v>8.838680136604829</x:v>
      </x:c>
      <x:c r="K54" s="27" t="n">
        <x:f>J54*(1+$G$31+$J$7)</x:f>
        <x:v>8.927066937970878</x:v>
      </x:c>
      <x:c r="L54" s="82" t="n">
        <x:f>(E54-$G$36)*(1+$G$31+$J$7)</x:f>
        <x:v>28.50747456252447</x:v>
      </x:c>
    </x:row>
    <x:row r="55" ht="26" customHeight="1">
      <x:c r="A55" s="2"/>
      <x:c r="B55" s="2"/>
      <x:c r="C55" s="70" t="n">
        <x:v>0.6</x:v>
      </x:c>
      <x:c r="D55" s="73" t="n">
        <x:f>$D$35+$G$42-$D$35*C55</x:f>
        <x:v>507036751</x:v>
      </x:c>
      <x:c r="E55" s="27" t="n">
        <x:f>$G$37/D55</x:f>
        <x:v>74.81780311700024</x:v>
      </x:c>
      <x:c r="F55" s="76" t="n">
        <x:f>IF(OR(D55="",E55=""),"",E55/D55)</x:f>
        <x:v>1.475589352634524e-7</x:v>
      </x:c>
      <x:c r="G55" s="76" t="n">
        <x:f>IF(OR($D$24="",NOT(ISNUMBER(F55))),"",F55*$D$24)</x:f>
        <x:v>0.000022878207240811758</x:v>
      </x:c>
      <x:c r="H55" s="27" t="n">
        <x:f>IF(NOT(ISNUMBER(F55)),"",F55*$D$35)</x:f>
        <x:v>147.5589352634524</x:v>
      </x:c>
      <x:c r="I55" s="27" t="n">
        <x:f>IF(OR($D$24="",NOT(ISNUMBER(H55))),"",H55*$D$24)</x:f>
        <x:v>22878.20724081176</x:v>
      </x:c>
      <x:c r="J55" s="27" t="n">
        <x:f>E55-E54</x:f>
        <x:v>12.325086247867098</x:v>
      </x:c>
      <x:c r="K55" s="27" t="n">
        <x:f>J55*(1+$G$31+$J$7)</x:f>
        <x:v>12.448337110345769</x:v>
      </x:c>
      <x:c r="L55" s="82" t="n">
        <x:f>(E55-$G$36)*(1+$G$31+$J$7)</x:f>
        <x:v>40.95581167287024</x:v>
      </x:c>
    </x:row>
    <x:row r="56" ht="26" customHeight="1">
      <x:c r="A56" s="2"/>
      <x:c r="B56" s="2"/>
      <x:c r="C56" s="70" t="n">
        <x:v>0.7</x:v>
      </x:c>
      <x:c r="D56" s="73" t="n">
        <x:f>$D$35+$G$42-$D$35*C56</x:f>
        <x:v>407036751</x:v>
      </x:c>
      <x:c r="E56" s="27" t="n">
        <x:f>$G$37/D56</x:f>
        <x:v>93.19889596259448</x:v>
      </x:c>
      <x:c r="F56" s="76" t="n">
        <x:f>IF(OR(D56="",E56=""),"",E56/D56)</x:f>
        <x:v>2.289692410663785e-7</x:v>
      </x:c>
      <x:c r="G56" s="76" t="n">
        <x:f>IF(OR($D$24="",NOT(ISNUMBER(F56))),"",F56*$D$24)</x:f>
        <x:v>0.00003550043065528577</x:v>
      </x:c>
      <x:c r="H56" s="27" t="n">
        <x:f>IF(NOT(ISNUMBER(F56)),"",F56*$D$35)</x:f>
        <x:v>228.9692410663785</x:v>
      </x:c>
      <x:c r="I56" s="27" t="n">
        <x:f>IF(OR($D$24="",NOT(ISNUMBER(H56))),"",H56*$D$24)</x:f>
        <x:v>35500.43065528577</x:v>
      </x:c>
      <x:c r="J56" s="27" t="n">
        <x:f>E56-E55</x:f>
        <x:v>18.38109284559424</x:v>
      </x:c>
      <x:c r="K56" s="27" t="n">
        <x:f>J56*(1+$G$31+$J$7)</x:f>
        <x:v>18.56490377405018</x:v>
      </x:c>
      <x:c r="L56" s="82" t="n">
        <x:f>(E56-$G$36)*(1+$G$31+$J$7)</x:f>
        <x:v>59.52071544692042</x:v>
      </x:c>
    </x:row>
    <x:row r="57" ht="26" customHeight="1">
      <x:c r="A57" s="2"/>
      <x:c r="B57" s="2"/>
      <x:c r="C57" s="84" t="n">
        <x:f>$G$33</x:f>
        <x:v>0.8</x:v>
      </x:c>
      <x:c r="D57" s="85" t="n">
        <x:f>$D$35+$G$42-$D$35*C57</x:f>
        <x:v>307036751</x:v>
      </x:c>
      <x:c r="E57" s="86" t="n">
        <x:f>$G$37/D57</x:f>
        <x:v>123.55320881245736</x:v>
      </x:c>
      <x:c r="F57" s="87" t="n">
        <x:f>IF(OR(D57="",E57=""),"",E57/D57)</x:f>
        <x:v>4.024052769254888e-7</x:v>
      </x:c>
      <x:c r="G57" s="87" t="n">
        <x:f>IF(OR($D$24="",NOT(ISNUMBER(F57))),"",F57*$D$24)</x:f>
        <x:v>0.00006239074105448503</x:v>
      </x:c>
      <x:c r="H57" s="86" t="n">
        <x:f>IF(NOT(ISNUMBER(F57)),"",F57*$D$35)</x:f>
        <x:v>402.4052769254888</x:v>
      </x:c>
      <x:c r="I57" s="86" t="n">
        <x:f>IF(OR($D$24="",NOT(ISNUMBER(H57))),"",H57*$D$24)</x:f>
        <x:v>62390.74105448503</x:v>
      </x:c>
      <x:c r="J57" s="86" t="n">
        <x:f>E57-E56</x:f>
        <x:v>30.35431284986288</x:v>
      </x:c>
      <x:c r="K57" s="86" t="n">
        <x:f>J57*(1+$G$31+$J$7)</x:f>
        <x:v>30.657855978361507</x:v>
      </x:c>
      <x:c r="L57" s="83" t="n">
        <x:f>(E57-$G$36)*(1+$G$31+$J$7)</x:f>
        <x:v>90.17857142528192</x:v>
      </x:c>
    </x:row>
    <x:row r="58" ht="26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26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27" customHeight="1">
      <x:c r="A60" s="2"/>
      <x:c r="B60" s="2"/>
      <x:c r="C60" s="8" t="str">
        <x:v>外盘曲线</x:v>
      </x:c>
      <x:c r="D60" s="8"/>
      <x:c r="E60" s="8"/>
      <x:c r="F60" s="8"/>
      <x:c r="G60" s="8"/>
      <x:c r="H60" s="8"/>
      <x:c r="I60" s="8"/>
      <x:c r="J60" s="8"/>
      <x:c r="K60" s="8"/>
      <x:c r="L60" s="8"/>
    </x:row>
    <x:row r="61" ht="38" customHeight="1">
      <x:c r="A61" s="2"/>
      <x:c r="B61" s="2"/>
      <x:c r="C61" s="68" t="str">
        <x:v>控筹率</x:v>
      </x:c>
      <x:c r="D61" s="68" t="str">
        <x:v>pooled TOKEN</x:v>
      </x:c>
      <x:c r="E61" s="68" t="str">
        <x:v>pooled Quote</x:v>
      </x:c>
      <x:c r="F61" s="68" t="str">
        <x:v>价格 / Quote</x:v>
      </x:c>
      <x:c r="G61" s="68" t="str">
        <x:v>价格 / USDT</x:v>
      </x:c>
      <x:c r="H61" s="68" t="str">
        <x:v>市值 / Quote</x:v>
      </x:c>
      <x:c r="I61" s="68" t="str">
        <x:v>市值 / USDT</x:v>
      </x:c>
      <x:c r="J61" s="68" t="str">
        <x:v>外盘净投入
/ Quote</x:v>
      </x:c>
      <x:c r="K61" s="68" t="str">
        <x:v>外盘含费
/ Quote</x:v>
      </x:c>
      <x:c r="L61" s="68" t="str">
        <x:v>理论累计所需
/ Quote</x:v>
      </x:c>
    </x:row>
    <x:row r="62" ht="26" customHeight="1">
      <x:c r="A62" s="2"/>
      <x:c r="B62" s="2"/>
      <x:c r="C62" s="88" t="n">
        <x:f>$G$33</x:f>
        <x:v>0.8</x:v>
      </x:c>
      <x:c r="D62" s="89" t="n">
        <x:f>$G$38</x:f>
        <x:v>199999999.99999997</x:v>
      </x:c>
      <x:c r="E62" s="90" t="n">
        <x:f>$G$34</x:f>
        <x:v>89.28571428245735</x:v>
      </x:c>
      <x:c r="F62" s="91" t="n">
        <x:f>IF(OR(D62="",E62=""),"",E62/D62)</x:f>
        <x:v>4.464285714122868e-7</x:v>
      </x:c>
      <x:c r="G62" s="91" t="n">
        <x:f>IF(OR($D$24="",NOT(ISNUMBER(F62))),"",F62*$D$24)</x:f>
        <x:v>0.00006921631249747516</x:v>
      </x:c>
      <x:c r="H62" s="90" t="n">
        <x:f>IF(NOT(ISNUMBER(F62)),"",F62*$D$35)</x:f>
        <x:v>446.4285714122868</x:v>
      </x:c>
      <x:c r="I62" s="90" t="n">
        <x:f>IF(OR($D$24="",NOT(ISNUMBER(H62))),"",H62*$D$24)</x:f>
        <x:v>69216.31249747516</x:v>
      </x:c>
      <x:c r="J62" s="90" t="n">
        <x:f>0</x:f>
        <x:v>0</x:v>
      </x:c>
      <x:c r="K62" s="90" t="n">
        <x:f>0</x:f>
        <x:v>0</x:v>
      </x:c>
      <x:c r="L62" s="81" t="n">
        <x:f>$J$31</x:f>
        <x:v>90.17857142528192</x:v>
      </x:c>
    </x:row>
    <x:row r="63" ht="26" customHeight="1">
      <x:c r="A63" s="2"/>
      <x:c r="B63" s="2"/>
      <x:c r="C63" s="70" t="n">
        <x:v>0.805</x:v>
      </x:c>
      <x:c r="D63" s="73" t="n">
        <x:f>IF(C63&lt;$G$23,$G$38-MAX(0,(C63-$G$33)*$D$35)/(1-$J$7),"")</x:f>
        <x:v>194999999.99999997</x:v>
      </x:c>
      <x:c r="E63" s="27" t="n">
        <x:f>IF(D63="","",$G$40/D63)</x:f>
        <x:v>91.57509157175113</x:v>
      </x:c>
      <x:c r="F63" s="76" t="n">
        <x:f>IF(OR(D63="",E63=""),"",E63/D63)</x:f>
        <x:v>4.696158542141084e-7</x:v>
      </x:c>
      <x:c r="G63" s="76" t="n">
        <x:f>IF(OR($D$24="",NOT(ISNUMBER(F63))),"",F63*$D$24)</x:f>
        <x:v>0.0000728113740933335</x:v>
      </x:c>
      <x:c r="H63" s="27" t="n">
        <x:f>IF(NOT(ISNUMBER(F63)),"",F63*$D$35)</x:f>
        <x:v>469.6158542141084</x:v>
      </x:c>
      <x:c r="I63" s="27" t="n">
        <x:f>IF(OR($D$24="",NOT(ISNUMBER(H63))),"",H63*$D$24)</x:f>
        <x:v>72811.3740933335</x:v>
      </x:c>
      <x:c r="J63" s="27" t="n">
        <x:f>IF(E63="","",MAX(0,E63-$G$34))</x:f>
        <x:v>2.289377289293782</x:v>
      </x:c>
      <x:c r="K63" s="27" t="n">
        <x:f>IF(J63="","",J63*(1+$G$32))</x:f>
        <x:v>2.295100732517016</x:v>
      </x:c>
      <x:c r="L63" s="82" t="n">
        <x:f>IF(K63="","",$J$31+K63)</x:f>
        <x:v>92.47367215779893</x:v>
      </x:c>
    </x:row>
    <x:row r="64" ht="26" customHeight="1">
      <x:c r="A64" s="2"/>
      <x:c r="B64" s="2"/>
      <x:c r="C64" s="70" t="n">
        <x:v>0.81</x:v>
      </x:c>
      <x:c r="D64" s="73" t="n">
        <x:f>IF(C64&lt;$G$23,$G$38-MAX(0,(C64-$G$33)*$D$35)/(1-$J$7),"")</x:f>
        <x:v>189999999.99999997</x:v>
      </x:c>
      <x:c r="E64" s="27" t="n">
        <x:f>IF(D64="","",$G$40/D64)</x:f>
        <x:v>93.98496240258667</x:v>
      </x:c>
      <x:c r="F64" s="76" t="n">
        <x:f>IF(OR(D64="",E64=""),"",E64/D64)</x:f>
        <x:v>4.946576968557194e-7</x:v>
      </x:c>
      <x:c r="G64" s="76" t="n">
        <x:f>IF(OR($D$24="",NOT(ISNUMBER(F64))),"",F64*$D$24)</x:f>
        <x:v>0.00007669397506645448</x:v>
      </x:c>
      <x:c r="H64" s="27" t="n">
        <x:f>IF(NOT(ISNUMBER(F64)),"",F64*$D$35)</x:f>
        <x:v>494.65769685571945</x:v>
      </x:c>
      <x:c r="I64" s="27" t="n">
        <x:f>IF(OR($D$24="",NOT(ISNUMBER(H64))),"",H64*$D$24)</x:f>
        <x:v>76693.97506645447</x:v>
      </x:c>
      <x:c r="J64" s="27" t="n">
        <x:f>IF(E64="","",MAX(0,E64-$G$34))</x:f>
        <x:v>4.699248120129326</x:v>
      </x:c>
      <x:c r="K64" s="27" t="n">
        <x:f>IF(J64="","",J64*(1+$G$32))</x:f>
        <x:v>4.710996240429649</x:v>
      </x:c>
      <x:c r="L64" s="82" t="n">
        <x:f>IF(K64="","",$J$31+K64)</x:f>
        <x:v>94.88956766571157</x:v>
      </x:c>
    </x:row>
    <x:row r="65" ht="26" customHeight="1">
      <x:c r="A65" s="2"/>
      <x:c r="B65" s="2"/>
      <x:c r="C65" s="70" t="n">
        <x:v>0.8150000000000001</x:v>
      </x:c>
      <x:c r="D65" s="73" t="n">
        <x:f>IF(C65&lt;$G$23,$G$38-MAX(0,(C65-$G$33)*$D$35)/(1-$J$7),"")</x:f>
        <x:v>184999999.99999997</x:v>
      </x:c>
      <x:c r="E65" s="27" t="n">
        <x:f>IF(D65="","",$G$40/D65)</x:f>
        <x:v>96.5250965215755</x:v>
      </x:c>
      <x:c r="F65" s="76" t="n">
        <x:f>IF(OR(D65="",E65=""),"",E65/D65)</x:f>
        <x:v>5.217572784950028e-7</x:v>
      </x:c>
      <x:c r="G65" s="76" t="n">
        <x:f>IF(OR($D$24="",NOT(ISNUMBER(F65))),"",F65*$D$24)</x:f>
        <x:v>0.00008089561723590962</x:v>
      </x:c>
      <x:c r="H65" s="27" t="n">
        <x:f>IF(NOT(ISNUMBER(F65)),"",F65*$D$35)</x:f>
        <x:v>521.7572784950029</x:v>
      </x:c>
      <x:c r="I65" s="27" t="n">
        <x:f>IF(OR($D$24="",NOT(ISNUMBER(H65))),"",H65*$D$24)</x:f>
        <x:v>80895.61723590962</x:v>
      </x:c>
      <x:c r="J65" s="27" t="n">
        <x:f>IF(E65="","",MAX(0,E65-$G$34))</x:f>
        <x:v>7.239382239118157</x:v>
      </x:c>
      <x:c r="K65" s="27" t="n">
        <x:f>IF(J65="","",J65*(1+$G$32))</x:f>
        <x:v>7.2574806947159525</x:v>
      </x:c>
      <x:c r="L65" s="82" t="n">
        <x:f>IF(K65="","",$J$31+K65)</x:f>
        <x:v>97.43605211999787</x:v>
      </x:c>
    </x:row>
    <x:row r="66" ht="26" customHeight="1">
      <x:c r="A66" s="2"/>
      <x:c r="B66" s="2"/>
      <x:c r="C66" s="70" t="n">
        <x:v>0.8200000000000001</x:v>
      </x:c>
      <x:c r="D66" s="73" t="n">
        <x:f>IF(C66&lt;$G$23,$G$38-MAX(0,(C66-$G$33)*$D$35)/(1-$J$7),"")</x:f>
        <x:v>179999999.99999994</x:v>
      </x:c>
      <x:c r="E66" s="27" t="n">
        <x:f>IF(D66="","",$G$40/D66)</x:f>
        <x:v>99.20634920273041</x:v>
      </x:c>
      <x:c r="F66" s="76" t="n">
        <x:f>IF(OR(D66="",E66=""),"",E66/D66)</x:f>
        <x:v>5.511463844596135e-7</x:v>
      </x:c>
      <x:c r="G66" s="76" t="n">
        <x:f>IF(OR($D$24="",NOT(ISNUMBER(F66))),"",F66*$D$24)</x:f>
        <x:v>0.00008545223765120394</x:v>
      </x:c>
      <x:c r="H66" s="27" t="n">
        <x:f>IF(NOT(ISNUMBER(F66)),"",F66*$D$35)</x:f>
        <x:v>551.1463844596135</x:v>
      </x:c>
      <x:c r="I66" s="27" t="n">
        <x:f>IF(OR($D$24="",NOT(ISNUMBER(H66))),"",H66*$D$24)</x:f>
        <x:v>85452.23765120393</x:v>
      </x:c>
      <x:c r="J66" s="27" t="n">
        <x:f>IF(E66="","",MAX(0,E66-$G$34))</x:f>
        <x:v>9.92063492027306</x:v>
      </x:c>
      <x:c r="K66" s="27" t="n">
        <x:f>IF(J66="","",J66*(1+$G$32))</x:f>
        <x:v>9.945436507573742</x:v>
      </x:c>
      <x:c r="L66" s="82" t="n">
        <x:f>IF(K66="","",$J$31+K66)</x:f>
        <x:v>100.12400793285566</x:v>
      </x:c>
    </x:row>
    <x:row r="67" ht="26" customHeight="1">
      <x:c r="A67" s="2"/>
      <x:c r="B67" s="2"/>
      <x:c r="C67" s="70" t="n">
        <x:v>0.8250000000000001</x:v>
      </x:c>
      <x:c r="D67" s="73" t="n">
        <x:f>IF(C67&lt;$G$23,$G$38-MAX(0,(C67-$G$33)*$D$35)/(1-$J$7),"")</x:f>
        <x:v>174999999.99999994</x:v>
      </x:c>
      <x:c r="E67" s="27" t="n">
        <x:f>IF(D67="","",$G$40/D67)</x:f>
        <x:v>102.04081632280841</x:v>
      </x:c>
      <x:c r="F67" s="76" t="n">
        <x:f>IF(OR(D67="",E67=""),"",E67/D67)</x:f>
        <x:v>5.830903789874768e-7</x:v>
      </x:c>
      <x:c r="G67" s="76" t="n">
        <x:f>IF(OR($D$24="",NOT(ISNUMBER(F67))),"",F67*$D$24)</x:f>
        <x:v>0.00009040497958853903</x:v>
      </x:c>
      <x:c r="H67" s="27" t="n">
        <x:f>IF(NOT(ISNUMBER(F67)),"",F67*$D$35)</x:f>
        <x:v>583.0903789874768</x:v>
      </x:c>
      <x:c r="I67" s="27" t="n">
        <x:f>IF(OR($D$24="",NOT(ISNUMBER(H67))),"",H67*$D$24)</x:f>
        <x:v>90404.97958853902</x:v>
      </x:c>
      <x:c r="J67" s="27" t="n">
        <x:f>IF(E67="","",MAX(0,E67-$G$34))</x:f>
        <x:v>12.755102040351062</x:v>
      </x:c>
      <x:c r="K67" s="27" t="n">
        <x:f>IF(J67="","",J67*(1+$G$32))</x:f>
        <x:v>12.78698979545194</x:v>
      </x:c>
      <x:c r="L67" s="82" t="n">
        <x:f>IF(K67="","",$J$31+K67)</x:f>
        <x:v>102.96556122073386</x:v>
      </x:c>
    </x:row>
    <x:row r="68" ht="26" customHeight="1">
      <x:c r="A68" s="2"/>
      <x:c r="B68" s="2"/>
      <x:c r="C68" s="70" t="n">
        <x:v>0.8300000000000001</x:v>
      </x:c>
      <x:c r="D68" s="73" t="n">
        <x:f>IF(C68&lt;$G$23,$G$38-MAX(0,(C68-$G$33)*$D$35)/(1-$J$7),"")</x:f>
        <x:v>169999999.99999994</x:v>
      </x:c>
      <x:c r="E68" s="27" t="n">
        <x:f>IF(D68="","",$G$40/D68)</x:f>
        <x:v>105.04201680289101</x:v>
      </x:c>
      <x:c r="F68" s="76" t="n">
        <x:f>IF(OR(D68="",E68=""),"",E68/D68)</x:f>
        <x:v>6.178942164875944e-7</x:v>
      </x:c>
      <x:c r="G68" s="76" t="n">
        <x:f>IF(OR($D$24="",NOT(ISNUMBER(F68))),"",F68*$D$24)</x:f>
        <x:v>0.0000958011245639795</x:v>
      </x:c>
      <x:c r="H68" s="27" t="n">
        <x:f>IF(NOT(ISNUMBER(F68)),"",F68*$D$35)</x:f>
        <x:v>617.8942164875945</x:v>
      </x:c>
      <x:c r="I68" s="27" t="n">
        <x:f>IF(OR($D$24="",NOT(ISNUMBER(H68))),"",H68*$D$24)</x:f>
        <x:v>95801.12456397951</x:v>
      </x:c>
      <x:c r="J68" s="27" t="n">
        <x:f>IF(E68="","",MAX(0,E68-$G$34))</x:f>
        <x:v>15.756302520433664</x:v>
      </x:c>
      <x:c r="K68" s="27" t="n">
        <x:f>IF(J68="","",J68*(1+$G$32))</x:f>
        <x:v>15.795693276734747</x:v>
      </x:c>
      <x:c r="L68" s="82" t="n">
        <x:f>IF(K68="","",$J$31+K68)</x:f>
        <x:v>105.97426470201667</x:v>
      </x:c>
    </x:row>
    <x:row r="69" ht="26" customHeight="1">
      <x:c r="A69" s="2"/>
      <x:c r="B69" s="2"/>
      <x:c r="C69" s="70" t="n">
        <x:v>0.8350000000000001</x:v>
      </x:c>
      <x:c r="D69" s="73" t="n">
        <x:f>IF(C69&lt;$G$23,$G$38-MAX(0,(C69-$G$33)*$D$35)/(1-$J$7),"")</x:f>
        <x:v>164999999.99999994</x:v>
      </x:c>
      <x:c r="E69" s="27" t="n">
        <x:f>IF(D69="","",$G$40/D69)</x:f>
        <x:v>108.22510822116044</x:v>
      </x:c>
      <x:c r="F69" s="76" t="n">
        <x:f>IF(OR(D69="",E69=""),"",E69/D69)</x:f>
        <x:v>6.55909746794912e-7</x:v>
      </x:c>
      <x:c r="G69" s="76" t="n">
        <x:f>IF(OR($D$24="",NOT(ISNUMBER(F69))),"",F69*$D$24)</x:f>
        <x:v>0.0001016952249733336</x:v>
      </x:c>
      <x:c r="H69" s="27" t="n">
        <x:f>IF(NOT(ISNUMBER(F69)),"",F69*$D$35)</x:f>
        <x:v>655.9097467949119</x:v>
      </x:c>
      <x:c r="I69" s="27" t="n">
        <x:f>IF(OR($D$24="",NOT(ISNUMBER(H69))),"",H69*$D$24)</x:f>
        <x:v>101695.2249733336</x:v>
      </x:c>
      <x:c r="J69" s="27" t="n">
        <x:f>IF(E69="","",MAX(0,E69-$G$34))</x:f>
        <x:v>18.93939393870309</x:v>
      </x:c>
      <x:c r="K69" s="27" t="n">
        <x:f>IF(J69="","",J69*(1+$G$32))</x:f>
        <x:v>18.98674242354985</x:v>
      </x:c>
      <x:c r="L69" s="82" t="n">
        <x:f>IF(K69="","",$J$31+K69)</x:f>
        <x:v>109.16531384883177</x:v>
      </x:c>
    </x:row>
    <x:row r="70" ht="26" customHeight="1">
      <x:c r="A70" s="2"/>
      <x:c r="B70" s="2"/>
      <x:c r="C70" s="70" t="n">
        <x:v>0.8400000000000001</x:v>
      </x:c>
      <x:c r="D70" s="73" t="n">
        <x:f>IF(C70&lt;$G$23,$G$38-MAX(0,(C70-$G$33)*$D$35)/(1-$J$7),"")</x:f>
        <x:v>159999999.99999994</x:v>
      </x:c>
      <x:c r="E70" s="27" t="n">
        <x:f>IF(D70="","",$G$40/D70)</x:f>
        <x:v>111.60714285307171</x:v>
      </x:c>
      <x:c r="F70" s="76" t="n">
        <x:f>IF(OR(D70="",E70=""),"",E70/D70)</x:f>
        <x:v>6.975446428316984e-7</x:v>
      </x:c>
      <x:c r="G70" s="76" t="n">
        <x:f>IF(OR($D$24="",NOT(ISNUMBER(F70))),"",F70*$D$24)</x:f>
        <x:v>0.00010815048827730498</x:v>
      </x:c>
      <x:c r="H70" s="27" t="n">
        <x:f>IF(NOT(ISNUMBER(F70)),"",F70*$D$35)</x:f>
        <x:v>697.5446428316984</x:v>
      </x:c>
      <x:c r="I70" s="27" t="n">
        <x:f>IF(OR($D$24="",NOT(ISNUMBER(H70))),"",H70*$D$24)</x:f>
        <x:v>108150.48827730499</x:v>
      </x:c>
      <x:c r="J70" s="27" t="n">
        <x:f>IF(E70="","",MAX(0,E70-$G$34))</x:f>
        <x:v>22.32142857061436</x:v>
      </x:c>
      <x:c r="K70" s="27" t="n">
        <x:f>IF(J70="","",J70*(1+$G$32))</x:f>
        <x:v>22.377232142040892</x:v>
      </x:c>
      <x:c r="L70" s="82" t="n">
        <x:f>IF(K70="","",$J$31+K70)</x:f>
        <x:v>112.55580356732281</x:v>
      </x:c>
    </x:row>
    <x:row r="71" ht="26" customHeight="1">
      <x:c r="A71" s="2"/>
      <x:c r="B71" s="2"/>
      <x:c r="C71" s="70" t="n">
        <x:v>0.8450000000000001</x:v>
      </x:c>
      <x:c r="D71" s="73" t="n">
        <x:f>IF(C71&lt;$G$23,$G$38-MAX(0,(C71-$G$33)*$D$35)/(1-$J$7),"")</x:f>
        <x:v>154999999.99999994</x:v>
      </x:c>
      <x:c r="E71" s="27" t="n">
        <x:f>IF(D71="","",$G$40/D71)</x:f>
        <x:v>115.20737326768692</x:v>
      </x:c>
      <x:c r="F71" s="76" t="n">
        <x:f>IF(OR(D71="",E71=""),"",E71/D71)</x:f>
        <x:v>7.43273375920561e-7</x:v>
      </x:c>
      <x:c r="G71" s="76" t="n">
        <x:f>IF(OR($D$24="",NOT(ISNUMBER(F71))),"",F71*$D$24)</x:f>
        <x:v>0.00011524047866385047</x:v>
      </x:c>
      <x:c r="H71" s="27" t="n">
        <x:f>IF(NOT(ISNUMBER(F71)),"",F71*$D$35)</x:f>
        <x:v>743.2733759205611</x:v>
      </x:c>
      <x:c r="I71" s="27" t="n">
        <x:f>IF(OR($D$24="",NOT(ISNUMBER(H71))),"",H71*$D$24)</x:f>
        <x:v>115240.47866385047</x:v>
      </x:c>
      <x:c r="J71" s="27" t="n">
        <x:f>IF(E71="","",MAX(0,E71-$G$34))</x:f>
        <x:v>25.92165898522957</x:v>
      </x:c>
      <x:c r="K71" s="27" t="n">
        <x:f>IF(J71="","",J71*(1+$G$32))</x:f>
        <x:v>25.98646313269264</x:v>
      </x:c>
      <x:c r="L71" s="82" t="n">
        <x:f>IF(K71="","",$J$31+K71)</x:f>
        <x:v>116.16503455797456</x:v>
      </x:c>
    </x:row>
    <x:row r="72" ht="26" customHeight="1">
      <x:c r="A72" s="2"/>
      <x:c r="B72" s="2"/>
      <x:c r="C72" s="70" t="n">
        <x:v>0.8500000000000001</x:v>
      </x:c>
      <x:c r="D72" s="73" t="n">
        <x:f>IF(C72&lt;$G$23,$G$38-MAX(0,(C72-$G$33)*$D$35)/(1-$J$7),"")</x:f>
        <x:v>149999999.99999994</x:v>
      </x:c>
      <x:c r="E72" s="27" t="n">
        <x:f>IF(D72="","",$G$40/D72)</x:f>
        <x:v>119.04761904327648</x:v>
      </x:c>
      <x:c r="F72" s="76" t="n">
        <x:f>IF(OR(D72="",E72=""),"",E72/D72)</x:f>
        <x:v>7.936507936218436e-7</x:v>
      </x:c>
      <x:c r="G72" s="76" t="n">
        <x:f>IF(OR($D$24="",NOT(ISNUMBER(F72))),"",F72*$D$24)</x:f>
        <x:v>0.0001230512222177337</x:v>
      </x:c>
      <x:c r="H72" s="27" t="n">
        <x:f>IF(NOT(ISNUMBER(F72)),"",F72*$D$35)</x:f>
        <x:v>793.6507936218436</x:v>
      </x:c>
      <x:c r="I72" s="27" t="n">
        <x:f>IF(OR($D$24="",NOT(ISNUMBER(H72))),"",H72*$D$24)</x:f>
        <x:v>123051.22221773368</x:v>
      </x:c>
      <x:c r="J72" s="27" t="n">
        <x:f>IF(E72="","",MAX(0,E72-$G$34))</x:f>
        <x:v>29.761904760819135</x:v>
      </x:c>
      <x:c r="K72" s="27" t="n">
        <x:f>IF(J72="","",J72*(1+$G$32))</x:f>
        <x:v>29.83630952272118</x:v>
      </x:c>
      <x:c r="L72" s="82" t="n">
        <x:f>IF(K72="","",$J$31+K72)</x:f>
        <x:v>120.0148809480031</x:v>
      </x:c>
    </x:row>
    <x:row r="73" ht="26" customHeight="1">
      <x:c r="A73" s="2"/>
      <x:c r="B73" s="2"/>
      <x:c r="C73" s="70" t="n">
        <x:v>0.8550000000000001</x:v>
      </x:c>
      <x:c r="D73" s="73" t="n">
        <x:f>IF(C73&lt;$G$23,$G$38-MAX(0,(C73-$G$33)*$D$35)/(1-$J$7),"")</x:f>
        <x:v>144999999.9999999</x:v>
      </x:c>
      <x:c r="E73" s="27" t="n">
        <x:f>IF(D73="","",$G$40/D73)</x:f>
        <x:v>123.15270935511364</x:v>
      </x:c>
      <x:c r="F73" s="76" t="n">
        <x:f>IF(OR(D73="",E73=""),"",E73/D73)</x:f>
        <x:v>8.49329030035267e-7</x:v>
      </x:c>
      <x:c r="G73" s="76" t="n">
        <x:f>IF(OR($D$24="",NOT(ISNUMBER(F73))),"",F73*$D$24)</x:f>
        <x:v>0.00013168382877046415</x:v>
      </x:c>
      <x:c r="H73" s="27" t="n">
        <x:f>IF(NOT(ISNUMBER(F73)),"",F73*$D$35)</x:f>
        <x:v>849.329030035267</x:v>
      </x:c>
      <x:c r="I73" s="27" t="n">
        <x:f>IF(OR($D$24="",NOT(ISNUMBER(H73))),"",H73*$D$24)</x:f>
        <x:v>131683.82877046417</x:v>
      </x:c>
      <x:c r="J73" s="27" t="n">
        <x:f>IF(E73="","",MAX(0,E73-$G$34))</x:f>
        <x:v>33.866995072656294</x:v>
      </x:c>
      <x:c r="K73" s="27" t="n">
        <x:f>IF(J73="","",J73*(1+$G$32))</x:f>
        <x:v>33.95166256033794</x:v>
      </x:c>
      <x:c r="L73" s="82" t="n">
        <x:f>IF(K73="","",$J$31+K73)</x:f>
        <x:v>124.13023398561985</x:v>
      </x:c>
    </x:row>
    <x:row r="74" ht="26" customHeight="1">
      <x:c r="A74" s="2"/>
      <x:c r="B74" s="2"/>
      <x:c r="C74" s="70" t="n">
        <x:v>0.8600000000000001</x:v>
      </x:c>
      <x:c r="D74" s="73" t="n">
        <x:f>IF(C74&lt;$G$23,$G$38-MAX(0,(C74-$G$33)*$D$35)/(1-$J$7),"")</x:f>
        <x:v>139999999.9999999</x:v>
      </x:c>
      <x:c r="E74" s="27" t="n">
        <x:f>IF(D74="","",$G$40/D74)</x:f>
        <x:v>127.55102040351056</x:v>
      </x:c>
      <x:c r="F74" s="76" t="n">
        <x:f>IF(OR(D74="",E74=""),"",E74/D74)</x:f>
        <x:v>9.110787171679332e-7</x:v>
      </x:c>
      <x:c r="G74" s="76" t="n">
        <x:f>IF(OR($D$24="",NOT(ISNUMBER(F74))),"",F74*$D$24)</x:f>
        <x:v>0.0001412577806070923</x:v>
      </x:c>
      <x:c r="H74" s="27" t="n">
        <x:f>IF(NOT(ISNUMBER(F74)),"",F74*$D$35)</x:f>
        <x:v>911.0787171679332</x:v>
      </x:c>
      <x:c r="I74" s="27" t="n">
        <x:f>IF(OR($D$24="",NOT(ISNUMBER(H74))),"",H74*$D$24)</x:f>
        <x:v>141257.7806070923</x:v>
      </x:c>
      <x:c r="J74" s="27" t="n">
        <x:f>IF(E74="","",MAX(0,E74-$G$34))</x:f>
        <x:v>38.265306121053214</x:v>
      </x:c>
      <x:c r="K74" s="27" t="n">
        <x:f>IF(J74="","",J74*(1+$G$32))</x:f>
        <x:v>38.36096938635585</x:v>
      </x:c>
      <x:c r="L74" s="82" t="n">
        <x:f>IF(K74="","",$J$31+K74)</x:f>
        <x:v>128.53954081163778</x:v>
      </x:c>
    </x:row>
    <x:row r="75" ht="26" customHeight="1">
      <x:c r="A75" s="2"/>
      <x:c r="B75" s="2"/>
      <x:c r="C75" s="70" t="n">
        <x:v>0.865</x:v>
      </x:c>
      <x:c r="D75" s="73" t="n">
        <x:f>IF(C75&lt;$G$23,$G$38-MAX(0,(C75-$G$33)*$D$35)/(1-$J$7),"")</x:f>
        <x:v>135000000.00000003</x:v>
      </x:c>
      <x:c r="E75" s="27" t="n">
        <x:f>IF(D75="","",$G$40/D75)</x:f>
        <x:v>132.27513227030713</x:v>
      </x:c>
      <x:c r="F75" s="76" t="n">
        <x:f>IF(OR(D75="",E75=""),"",E75/D75)</x:f>
        <x:v>9.798157945948675e-7</x:v>
      </x:c>
      <x:c r="G75" s="76" t="n">
        <x:f>IF(OR($D$24="",NOT(ISNUMBER(F75))),"",F75*$D$24)</x:f>
        <x:v>0.00015191508915769574</x:v>
      </x:c>
      <x:c r="H75" s="27" t="n">
        <x:f>IF(NOT(ISNUMBER(F75)),"",F75*$D$35)</x:f>
        <x:v>979.8157945948675</x:v>
      </x:c>
      <x:c r="I75" s="27" t="n">
        <x:f>IF(OR($D$24="",NOT(ISNUMBER(H75))),"",H75*$D$24)</x:f>
        <x:v>151915.08915769574</x:v>
      </x:c>
      <x:c r="J75" s="27" t="n">
        <x:f>IF(E75="","",MAX(0,E75-$G$34))</x:f>
        <x:v>42.98941798784978</x:v>
      </x:c>
      <x:c r="K75" s="27" t="n">
        <x:f>IF(J75="","",J75*(1+$G$32))</x:f>
        <x:v>43.0968915328194</x:v>
      </x:c>
      <x:c r="L75" s="82" t="n">
        <x:f>IF(K75="","",$J$31+K75)</x:f>
        <x:v>133.27546295810131</x:v>
      </x:c>
    </x:row>
    <x:row r="76" ht="26" customHeight="1">
      <x:c r="A76" s="2"/>
      <x:c r="B76" s="2"/>
      <x:c r="C76" s="70" t="n">
        <x:v>0.8700000000000001</x:v>
      </x:c>
      <x:c r="D76" s="73" t="n">
        <x:f>IF(C76&lt;$G$23,$G$38-MAX(0,(C76-$G$33)*$D$35)/(1-$J$7),"")</x:f>
        <x:v>129999999.99999991</x:v>
      </x:c>
      <x:c r="E76" s="27" t="n">
        <x:f>IF(D76="","",$G$40/D76)</x:f>
        <x:v>137.36263735762677</x:v>
      </x:c>
      <x:c r="F76" s="76" t="n">
        <x:f>IF(OR(D76="",E76=""),"",E76/D76)</x:f>
        <x:v>0.0000010566356719817452</x:v>
      </x:c>
      <x:c r="G76" s="76" t="n">
        <x:f>IF(OR($D$24="",NOT(ISNUMBER(F76))),"",F76*$D$24)</x:f>
        <x:v>0.0001638255917100006</x:v>
      </x:c>
      <x:c r="H76" s="27" t="n">
        <x:f>IF(NOT(ISNUMBER(F76)),"",F76*$D$35)</x:f>
        <x:v>1056.6356719817452</x:v>
      </x:c>
      <x:c r="I76" s="27" t="n">
        <x:f>IF(OR($D$24="",NOT(ISNUMBER(H76))),"",H76*$D$24)</x:f>
        <x:v>163825.5917100006</x:v>
      </x:c>
      <x:c r="J76" s="27" t="n">
        <x:f>IF(E76="","",MAX(0,E76-$G$34))</x:f>
        <x:v>48.07692307516942</x:v>
      </x:c>
      <x:c r="K76" s="27" t="n">
        <x:f>IF(J76="","",J76*(1+$G$32))</x:f>
        <x:v>48.19711538285734</x:v>
      </x:c>
      <x:c r="L76" s="82" t="n">
        <x:f>IF(K76="","",$J$31+K76)</x:f>
        <x:v>138.37568680813925</x:v>
      </x:c>
    </x:row>
    <x:row r="77" ht="26" customHeight="1">
      <x:c r="A77" s="2"/>
      <x:c r="B77" s="2"/>
      <x:c r="C77" s="70" t="n">
        <x:v>0.875</x:v>
      </x:c>
      <x:c r="D77" s="73" t="n">
        <x:f>IF(C77&lt;$G$23,$G$38-MAX(0,(C77-$G$33)*$D$35)/(1-$J$7),"")</x:f>
        <x:v>125000000.00000001</x:v>
      </x:c>
      <x:c r="E77" s="27" t="n">
        <x:f>IF(D77="","",$G$40/D77)</x:f>
        <x:v>142.8571428519317</x:v>
      </x:c>
      <x:c r="F77" s="76" t="n">
        <x:f>IF(OR(D77="",E77=""),"",E77/D77)</x:f>
        <x:v>0.0000011428571428154535</x:v>
      </x:c>
      <x:c r="G77" s="76" t="n">
        <x:f>IF(OR($D$24="",NOT(ISNUMBER(F77))),"",F77*$D$24)</x:f>
        <x:v>0.0001771937599935363</x:v>
      </x:c>
      <x:c r="H77" s="27" t="n">
        <x:f>IF(NOT(ISNUMBER(F77)),"",F77*$D$35)</x:f>
        <x:v>1142.8571428154535</x:v>
      </x:c>
      <x:c r="I77" s="27" t="n">
        <x:f>IF(OR($D$24="",NOT(ISNUMBER(H77))),"",H77*$D$24)</x:f>
        <x:v>177193.7599935363</x:v>
      </x:c>
      <x:c r="J77" s="27" t="n">
        <x:f>IF(E77="","",MAX(0,E77-$G$34))</x:f>
        <x:v>53.571428569474364</x:v>
      </x:c>
      <x:c r="K77" s="27" t="n">
        <x:f>IF(J77="","",J77*(1+$G$32))</x:f>
        <x:v>53.705357140898045</x:v>
      </x:c>
      <x:c r="L77" s="82" t="n">
        <x:f>IF(K77="","",$J$31+K77)</x:f>
        <x:v>143.88392856617997</x:v>
      </x:c>
    </x:row>
    <x:row r="78" ht="26" customHeight="1">
      <x:c r="A78" s="2"/>
      <x:c r="B78" s="2"/>
      <x:c r="C78" s="70" t="n">
        <x:v>0.88</x:v>
      </x:c>
      <x:c r="D78" s="73" t="n">
        <x:f>IF(C78&lt;$G$23,$G$38-MAX(0,(C78-$G$33)*$D$35)/(1-$J$7),"")</x:f>
        <x:v>120000000.00000001</x:v>
      </x:c>
      <x:c r="E78" s="27" t="n">
        <x:f>IF(D78="","",$G$40/D78)</x:f>
        <x:v>148.80952380409553</x:v>
      </x:c>
      <x:c r="F78" s="76" t="n">
        <x:f>IF(OR(D78="",E78=""),"",E78/D78)</x:f>
        <x:v>0.0000012400793650341293</x:v>
      </x:c>
      <x:c r="G78" s="76" t="n">
        <x:f>IF(OR($D$24="",NOT(ISNUMBER(F78))),"",F78*$D$24)</x:f>
        <x:v>0.00019226753471520867</x:v>
      </x:c>
      <x:c r="H78" s="27" t="n">
        <x:f>IF(NOT(ISNUMBER(F78)),"",F78*$D$35)</x:f>
        <x:v>1240.0793650341293</x:v>
      </x:c>
      <x:c r="I78" s="27" t="n">
        <x:f>IF(OR($D$24="",NOT(ISNUMBER(H78))),"",H78*$D$24)</x:f>
        <x:v>192267.53471520866</x:v>
      </x:c>
      <x:c r="J78" s="27" t="n">
        <x:f>IF(E78="","",MAX(0,E78-$G$34))</x:f>
        <x:v>59.523809521638185</x:v>
      </x:c>
      <x:c r="K78" s="27" t="n">
        <x:f>IF(J78="","",J78*(1+$G$32))</x:f>
        <x:v>59.672619045442275</x:v>
      </x:c>
      <x:c r="L78" s="82" t="n">
        <x:f>IF(K78="","",$J$31+K78)</x:f>
        <x:v>149.8511904707242</x:v>
      </x:c>
    </x:row>
    <x:row r="79" ht="26" customHeight="1">
      <x:c r="A79" s="2"/>
      <x:c r="B79" s="2"/>
      <x:c r="C79" s="70" t="n">
        <x:v>0.885</x:v>
      </x:c>
      <x:c r="D79" s="73" t="n">
        <x:f>IF(C79&lt;$G$23,$G$38-MAX(0,(C79-$G$33)*$D$35)/(1-$J$7),"")</x:f>
        <x:v>115000000</x:v>
      </x:c>
      <x:c r="E79" s="27" t="n">
        <x:f>IF(D79="","",$G$40/D79)</x:f>
        <x:v>155.2795030999258</x:v>
      </x:c>
      <x:c r="F79" s="76" t="n">
        <x:f>IF(OR(D79="",E79=""),"",E79/D79)</x:f>
        <x:v>0.0000013502565486950068</x:v>
      </x:c>
      <x:c r="G79" s="76" t="n">
        <x:f>IF(OR($D$24="",NOT(ISNUMBER(F79))),"",F79*$D$24)</x:f>
        <x:v>0.00020934990547440493</x:v>
      </x:c>
      <x:c r="H79" s="27" t="n">
        <x:f>IF(NOT(ISNUMBER(F79)),"",F79*$D$35)</x:f>
        <x:v>1350.2565486950068</x:v>
      </x:c>
      <x:c r="I79" s="27" t="n">
        <x:f>IF(OR($D$24="",NOT(ISNUMBER(H79))),"",H79*$D$24)</x:f>
        <x:v>209349.90547440495</x:v>
      </x:c>
      <x:c r="J79" s="27" t="n">
        <x:f>IF(E79="","",MAX(0,E79-$G$34))</x:f>
        <x:v>65.99378881746844</x:v>
      </x:c>
      <x:c r="K79" s="27" t="n">
        <x:f>IF(J79="","",J79*(1+$G$32))</x:f>
        <x:v>66.15877328951211</x:v>
      </x:c>
      <x:c r="L79" s="82" t="n">
        <x:f>IF(K79="","",$J$31+K79)</x:f>
        <x:v>156.33734471479403</x:v>
      </x:c>
    </x:row>
    <x:row r="80" ht="26" customHeight="1">
      <x:c r="A80" s="2"/>
      <x:c r="B80" s="2"/>
      <x:c r="C80" s="70" t="n">
        <x:v>0.89</x:v>
      </x:c>
      <x:c r="D80" s="73" t="n">
        <x:f>IF(C80&lt;$G$23,$G$38-MAX(0,(C80-$G$33)*$D$35)/(1-$J$7),"")</x:f>
        <x:v>110000000</x:v>
      </x:c>
      <x:c r="E80" s="27" t="n">
        <x:f>IF(D80="","",$G$40/D80)</x:f>
        <x:v>162.3376623317406</x:v>
      </x:c>
      <x:c r="F80" s="76" t="n">
        <x:f>IF(OR(D80="",E80=""),"",E80/D80)</x:f>
        <x:v>0.0000014757969302885509</x:v>
      </x:c>
      <x:c r="G80" s="76" t="n">
        <x:f>IF(OR($D$24="",NOT(ISNUMBER(F80))),"",F80*$D$24)</x:f>
        <x:v>0.00022881425619000046</x:v>
      </x:c>
      <x:c r="H80" s="27" t="n">
        <x:f>IF(NOT(ISNUMBER(F80)),"",F80*$D$35)</x:f>
        <x:v>1475.7969302885508</x:v>
      </x:c>
      <x:c r="I80" s="27" t="n">
        <x:f>IF(OR($D$24="",NOT(ISNUMBER(H80))),"",H80*$D$24)</x:f>
        <x:v>228814.25619000045</x:v>
      </x:c>
      <x:c r="J80" s="27" t="n">
        <x:f>IF(E80="","",MAX(0,E80-$G$34))</x:f>
        <x:v>73.05194804928325</x:v>
      </x:c>
      <x:c r="K80" s="27" t="n">
        <x:f>IF(J80="","",J80*(1+$G$32))</x:f>
        <x:v>73.23457791940646</x:v>
      </x:c>
      <x:c r="L80" s="82" t="n">
        <x:f>IF(K80="","",$J$31+K80)</x:f>
        <x:v>163.41314934468838</x:v>
      </x:c>
    </x:row>
    <x:row r="81" ht="26" customHeight="1">
      <x:c r="A81" s="2"/>
      <x:c r="B81" s="2"/>
      <x:c r="C81" s="70" t="n">
        <x:v>0.895</x:v>
      </x:c>
      <x:c r="D81" s="73" t="n">
        <x:f>IF(C81&lt;$G$23,$G$38-MAX(0,(C81-$G$33)*$D$35)/(1-$J$7),"")</x:f>
        <x:v>105000000</x:v>
      </x:c>
      <x:c r="E81" s="27" t="n">
        <x:f>IF(D81="","",$G$40/D81)</x:f>
        <x:v>170.06802720468065</x:v>
      </x:c>
      <x:c r="F81" s="76" t="n">
        <x:f>IF(OR(D81="",E81=""),"",E81/D81)</x:f>
        <x:v>0.0000016196954971874346</x:v>
      </x:c>
      <x:c r="G81" s="76" t="n">
        <x:f>IF(OR($D$24="",NOT(ISNUMBER(F81))),"",F81*$D$24)</x:f>
        <x:v>0.0002511249433014971</x:v>
      </x:c>
      <x:c r="H81" s="27" t="n">
        <x:f>IF(NOT(ISNUMBER(F81)),"",F81*$D$35)</x:f>
        <x:v>1619.6954971874347</x:v>
      </x:c>
      <x:c r="I81" s="27" t="n">
        <x:f>IF(OR($D$24="",NOT(ISNUMBER(H81))),"",H81*$D$24)</x:f>
        <x:v>251124.94330149714</x:v>
      </x:c>
      <x:c r="J81" s="27" t="n">
        <x:f>IF(E81="","",MAX(0,E81-$G$34))</x:f>
        <x:v>80.7823129222233</x:v>
      </x:c>
      <x:c r="K81" s="27" t="n">
        <x:f>IF(J81="","",J81*(1+$G$32))</x:f>
        <x:v>80.98426870452886</x:v>
      </x:c>
      <x:c r="L81" s="82" t="n">
        <x:f>IF(K81="","",$J$31+K81)</x:f>
        <x:v>171.16284012981077</x:v>
      </x:c>
    </x:row>
    <x:row r="82" ht="26" customHeight="1">
      <x:c r="A82" s="2"/>
      <x:c r="B82" s="2"/>
      <x:c r="C82" s="70" t="n">
        <x:v>0.9</x:v>
      </x:c>
      <x:c r="D82" s="73" t="n">
        <x:f>IF(C82&lt;$G$23,$G$38-MAX(0,(C82-$G$33)*$D$35)/(1-$J$7),"")</x:f>
        <x:v>99999999.99999999</x:v>
      </x:c>
      <x:c r="E82" s="27" t="n">
        <x:f>IF(D82="","",$G$40/D82)</x:f>
        <x:v>178.5714285649147</x:v>
      </x:c>
      <x:c r="F82" s="76" t="n">
        <x:f>IF(OR(D82="",E82=""),"",E82/D82)</x:f>
        <x:v>0.0000017857142856491472</x:v>
      </x:c>
      <x:c r="G82" s="76" t="n">
        <x:f>IF(OR($D$24="",NOT(ISNUMBER(F82))),"",F82*$D$24)</x:f>
        <x:v>0.00027686524998990063</x:v>
      </x:c>
      <x:c r="H82" s="27" t="n">
        <x:f>IF(NOT(ISNUMBER(F82)),"",F82*$D$35)</x:f>
        <x:v>1785.714285649147</x:v>
      </x:c>
      <x:c r="I82" s="27" t="n">
        <x:f>IF(OR($D$24="",NOT(ISNUMBER(H82))),"",H82*$D$24)</x:f>
        <x:v>276865.2499899006</x:v>
      </x:c>
      <x:c r="J82" s="27" t="n">
        <x:f>IF(E82="","",MAX(0,E82-$G$34))</x:f>
        <x:v>89.28571428245735</x:v>
      </x:c>
      <x:c r="K82" s="27" t="n">
        <x:f>IF(J82="","",J82*(1+$G$32))</x:f>
        <x:v>89.50892856816348</x:v>
      </x:c>
      <x:c r="L82" s="82" t="n">
        <x:f>IF(K82="","",$J$31+K82)</x:f>
        <x:v>179.68749999344539</x:v>
      </x:c>
    </x:row>
    <x:row r="83" ht="26" customHeight="1">
      <x:c r="A83" s="2"/>
      <x:c r="B83" s="2"/>
      <x:c r="C83" s="70" t="n">
        <x:v>0.905</x:v>
      </x:c>
      <x:c r="D83" s="73" t="n">
        <x:f>IF(C83&lt;$G$23,$G$38-MAX(0,(C83-$G$33)*$D$35)/(1-$J$7),"")</x:f>
        <x:v>94999999.99999999</x:v>
      </x:c>
      <x:c r="E83" s="27" t="n">
        <x:f>IF(D83="","",$G$40/D83)</x:f>
        <x:v>187.96992480517335</x:v>
      </x:c>
      <x:c r="F83" s="76" t="n">
        <x:f>IF(OR(D83="",E83=""),"",E83/D83)</x:f>
        <x:v>0.0000019786307874228778</x:v>
      </x:c>
      <x:c r="G83" s="76" t="n">
        <x:f>IF(OR($D$24="",NOT(ISNUMBER(F83))),"",F83*$D$24)</x:f>
        <x:v>0.0003067759002658179</x:v>
      </x:c>
      <x:c r="H83" s="27" t="n">
        <x:f>IF(NOT(ISNUMBER(F83)),"",F83*$D$35)</x:f>
        <x:v>1978.6307874228778</x:v>
      </x:c>
      <x:c r="I83" s="27" t="n">
        <x:f>IF(OR($D$24="",NOT(ISNUMBER(H83))),"",H83*$D$24)</x:f>
        <x:v>306775.9002658179</x:v>
      </x:c>
      <x:c r="J83" s="27" t="n">
        <x:f>IF(E83="","",MAX(0,E83-$G$34))</x:f>
        <x:v>98.684210522716</x:v>
      </x:c>
      <x:c r="K83" s="27" t="n">
        <x:f>IF(J83="","",J83*(1+$G$32))</x:f>
        <x:v>98.93092104902279</x:v>
      </x:c>
      <x:c r="L83" s="82" t="n">
        <x:f>IF(K83="","",$J$31+K83)</x:f>
        <x:v>189.10949247430472</x:v>
      </x:c>
    </x:row>
    <x:row r="84" ht="26" customHeight="1">
      <x:c r="A84" s="2"/>
      <x:c r="B84" s="2"/>
      <x:c r="C84" s="70" t="n">
        <x:v>0.91</x:v>
      </x:c>
      <x:c r="D84" s="73" t="n">
        <x:f>IF(C84&lt;$G$23,$G$38-MAX(0,(C84-$G$33)*$D$35)/(1-$J$7),"")</x:f>
        <x:v>89999999.99999999</x:v>
      </x:c>
      <x:c r="E84" s="27" t="n">
        <x:f>IF(D84="","",$G$40/D84)</x:f>
        <x:v>198.41269840546076</x:v>
      </x:c>
      <x:c r="F84" s="76" t="n">
        <x:f>IF(OR(D84="",E84=""),"",E84/D84)</x:f>
        <x:v>0.0000022045855378384533</x:v>
      </x:c>
      <x:c r="G84" s="76" t="n">
        <x:f>IF(OR($D$24="",NOT(ISNUMBER(F84))),"",F84*$D$24)</x:f>
        <x:v>0.0003418089506048156</x:v>
      </x:c>
      <x:c r="H84" s="27" t="n">
        <x:f>IF(NOT(ISNUMBER(F84)),"",F84*$D$35)</x:f>
        <x:v>2204.5855378384535</x:v>
      </x:c>
      <x:c r="I84" s="27" t="n">
        <x:f>IF(OR($D$24="",NOT(ISNUMBER(H84))),"",H84*$D$24)</x:f>
        <x:v>341808.9506048157</x:v>
      </x:c>
      <x:c r="J84" s="27" t="n">
        <x:f>IF(E84="","",MAX(0,E84-$G$34))</x:f>
        <x:v>109.12698412300341</x:v>
      </x:c>
      <x:c r="K84" s="27" t="n">
        <x:f>IF(J84="","",J84*(1+$G$32))</x:f>
        <x:v>109.39980158331092</x:v>
      </x:c>
      <x:c r="L84" s="82" t="n">
        <x:f>IF(K84="","",$J$31+K84)</x:f>
        <x:v>199.57837300859285</x:v>
      </x:c>
    </x:row>
    <x:row r="85" ht="26" customHeight="1">
      <x:c r="A85" s="2"/>
      <x:c r="B85" s="2"/>
      <x:c r="C85" s="70" t="n">
        <x:v>0.915</x:v>
      </x:c>
      <x:c r="D85" s="73" t="n">
        <x:f>IF(C85&lt;$G$23,$G$38-MAX(0,(C85-$G$33)*$D$35)/(1-$J$7),"")</x:f>
        <x:v>84999999.99999999</x:v>
      </x:c>
      <x:c r="E85" s="27" t="n">
        <x:f>IF(D85="","",$G$40/D85)</x:f>
        <x:v>210.084033605782</x:v>
      </x:c>
      <x:c r="F85" s="76" t="n">
        <x:f>IF(OR(D85="",E85=""),"",E85/D85)</x:f>
        <x:v>0.000002471576865950377</x:v>
      </x:c>
      <x:c r="G85" s="76" t="n">
        <x:f>IF(OR($D$24="",NOT(ISNUMBER(F85))),"",F85*$D$24)</x:f>
        <x:v>0.00038320449825591786</x:v>
      </x:c>
      <x:c r="H85" s="27" t="n">
        <x:f>IF(NOT(ISNUMBER(F85)),"",F85*$D$35)</x:f>
        <x:v>2471.576865950377</x:v>
      </x:c>
      <x:c r="I85" s="27" t="n">
        <x:f>IF(OR($D$24="",NOT(ISNUMBER(H85))),"",H85*$D$24)</x:f>
        <x:v>383204.49825591786</x:v>
      </x:c>
      <x:c r="J85" s="27" t="n">
        <x:f>IF(E85="","",MAX(0,E85-$G$34))</x:f>
        <x:v>120.79831932332465</x:v>
      </x:c>
      <x:c r="K85" s="27" t="n">
        <x:f>IF(J85="","",J85*(1+$G$32))</x:f>
        <x:v>121.10031512163296</x:v>
      </x:c>
      <x:c r="L85" s="82" t="n">
        <x:f>IF(K85="","",$J$31+K85)</x:f>
        <x:v>211.27888654691486</x:v>
      </x:c>
    </x:row>
    <x:row r="86" ht="26" customHeight="1">
      <x:c r="A86" s="2"/>
      <x:c r="B86" s="2"/>
      <x:c r="C86" s="70" t="n">
        <x:v>0.92</x:v>
      </x:c>
      <x:c r="D86" s="73" t="n">
        <x:f>IF(C86&lt;$G$23,$G$38-MAX(0,(C86-$G$33)*$D$35)/(1-$J$7),"")</x:f>
        <x:v>79999999.99999997</x:v>
      </x:c>
      <x:c r="E86" s="27" t="n">
        <x:f>IF(D86="","",$G$40/D86)</x:f>
        <x:v>223.21428570614341</x:v>
      </x:c>
      <x:c r="F86" s="76" t="n">
        <x:f>IF(OR(D86="",E86=""),"",E86/D86)</x:f>
        <x:v>0.0000027901785713267936</x:v>
      </x:c>
      <x:c r="G86" s="76" t="n">
        <x:f>IF(OR($D$24="",NOT(ISNUMBER(F86))),"",F86*$D$24)</x:f>
        <x:v>0.0004326019531092199</x:v>
      </x:c>
      <x:c r="H86" s="27" t="n">
        <x:f>IF(NOT(ISNUMBER(F86)),"",F86*$D$35)</x:f>
        <x:v>2790.1785713267936</x:v>
      </x:c>
      <x:c r="I86" s="27" t="n">
        <x:f>IF(OR($D$24="",NOT(ISNUMBER(H86))),"",H86*$D$24)</x:f>
        <x:v>432601.95310921996</x:v>
      </x:c>
      <x:c r="J86" s="27" t="n">
        <x:f>IF(E86="","",MAX(0,E86-$G$34))</x:f>
        <x:v>133.92857142368607</x:v>
      </x:c>
      <x:c r="K86" s="27" t="n">
        <x:f>IF(J86="","",J86*(1+$G$32))</x:f>
        <x:v>134.26339285224526</x:v>
      </x:c>
      <x:c r="L86" s="82" t="n">
        <x:f>IF(K86="","",$J$31+K86)</x:f>
        <x:v>224.44196427752718</x:v>
      </x:c>
    </x:row>
    <x:row r="87" ht="26" customHeight="1">
      <x:c r="A87" s="2"/>
      <x:c r="B87" s="2"/>
      <x:c r="C87" s="70" t="n">
        <x:v>0.925</x:v>
      </x:c>
      <x:c r="D87" s="73" t="n">
        <x:f>IF(C87&lt;$G$23,$G$38-MAX(0,(C87-$G$33)*$D$35)/(1-$J$7),"")</x:f>
        <x:v>74999999.99999997</x:v>
      </x:c>
      <x:c r="E87" s="27" t="n">
        <x:f>IF(D87="","",$G$40/D87)</x:f>
        <x:v>238.09523808655297</x:v>
      </x:c>
      <x:c r="F87" s="76" t="n">
        <x:f>IF(OR(D87="",E87=""),"",E87/D87)</x:f>
        <x:v>0.0000031746031744873742</x:v>
      </x:c>
      <x:c r="G87" s="76" t="n">
        <x:f>IF(OR($D$24="",NOT(ISNUMBER(F87))),"",F87*$D$24)</x:f>
        <x:v>0.0004922048888709347</x:v>
      </x:c>
      <x:c r="H87" s="27" t="n">
        <x:f>IF(NOT(ISNUMBER(F87)),"",F87*$D$35)</x:f>
        <x:v>3174.6031744873744</x:v>
      </x:c>
      <x:c r="I87" s="27" t="n">
        <x:f>IF(OR($D$24="",NOT(ISNUMBER(H87))),"",H87*$D$24)</x:f>
        <x:v>492204.8888709347</x:v>
      </x:c>
      <x:c r="J87" s="27" t="n">
        <x:f>IF(E87="","",MAX(0,E87-$G$34))</x:f>
        <x:v>148.80952380409562</x:v>
      </x:c>
      <x:c r="K87" s="27" t="n">
        <x:f>IF(J87="","",J87*(1+$G$32))</x:f>
        <x:v>149.18154761360586</x:v>
      </x:c>
      <x:c r="L87" s="82" t="n">
        <x:f>IF(K87="","",$J$31+K87)</x:f>
        <x:v>239.36011903888777</x:v>
      </x:c>
    </x:row>
    <x:row r="88" ht="26" customHeight="1">
      <x:c r="A88" s="2"/>
      <x:c r="B88" s="2"/>
      <x:c r="C88" s="70" t="n">
        <x:v>0.93</x:v>
      </x:c>
      <x:c r="D88" s="73" t="n">
        <x:f>IF(C88&lt;$G$23,$G$38-MAX(0,(C88-$G$33)*$D$35)/(1-$J$7),"")</x:f>
        <x:v>69999999.99999997</x:v>
      </x:c>
      <x:c r="E88" s="27" t="n">
        <x:f>IF(D88="","",$G$40/D88)</x:f>
        <x:v>255.10204080702107</x:v>
      </x:c>
      <x:c r="F88" s="76" t="n">
        <x:f>IF(OR(D88="",E88=""),"",E88/D88)</x:f>
        <x:v>0.000003644314868671731</x:v>
      </x:c>
      <x:c r="G88" s="76" t="n">
        <x:f>IF(OR($D$24="",NOT(ISNUMBER(F88))),"",F88*$D$24)</x:f>
        <x:v>0.000565031122428369</x:v>
      </x:c>
      <x:c r="H88" s="27" t="n">
        <x:f>IF(NOT(ISNUMBER(F88)),"",F88*$D$35)</x:f>
        <x:v>3644.3148686717313</x:v>
      </x:c>
      <x:c r="I88" s="27" t="n">
        <x:f>IF(OR($D$24="",NOT(ISNUMBER(H88))),"",H88*$D$24)</x:f>
        <x:v>565031.122428369</x:v>
      </x:c>
      <x:c r="J88" s="27" t="n">
        <x:f>IF(E88="","",MAX(0,E88-$G$34))</x:f>
        <x:v>165.81632652456372</x:v>
      </x:c>
      <x:c r="K88" s="27" t="n">
        <x:f>IF(J88="","",J88*(1+$G$32))</x:f>
        <x:v>166.2308673408751</x:v>
      </x:c>
      <x:c r="L88" s="82" t="n">
        <x:f>IF(K88="","",$J$31+K88)</x:f>
        <x:v>256.409438766157</x:v>
      </x:c>
    </x:row>
    <x:row r="89" ht="26" customHeight="1">
      <x:c r="A89" s="2"/>
      <x:c r="B89" s="2"/>
      <x:c r="C89" s="70" t="n">
        <x:v>0.935</x:v>
      </x:c>
      <x:c r="D89" s="73" t="n">
        <x:f>IF(C89&lt;$G$23,$G$38-MAX(0,(C89-$G$33)*$D$35)/(1-$J$7),"")</x:f>
        <x:v>64999999.99999997</x:v>
      </x:c>
      <x:c r="E89" s="27" t="n">
        <x:f>IF(D89="","",$G$40/D89)</x:f>
        <x:v>274.7252747152535</x:v>
      </x:c>
      <x:c r="F89" s="76" t="n">
        <x:f>IF(OR(D89="",E89=""),"",E89/D89)</x:f>
        <x:v>0.000004226542687926978</x:v>
      </x:c>
      <x:c r="G89" s="76" t="n">
        <x:f>IF(OR($D$24="",NOT(ISNUMBER(F89))),"",F89*$D$24)</x:f>
        <x:v>0.0006553023668400019</x:v>
      </x:c>
      <x:c r="H89" s="27" t="n">
        <x:f>IF(NOT(ISNUMBER(F89)),"",F89*$D$35)</x:f>
        <x:v>4226.542687926978</x:v>
      </x:c>
      <x:c r="I89" s="27" t="n">
        <x:f>IF(OR($D$24="",NOT(ISNUMBER(H89))),"",H89*$D$24)</x:f>
        <x:v>655302.3668400019</x:v>
      </x:c>
      <x:c r="J89" s="27" t="n">
        <x:f>IF(E89="","",MAX(0,E89-$G$34))</x:f>
        <x:v>185.43956043279613</x:v>
      </x:c>
      <x:c r="K89" s="27" t="n">
        <x:f>IF(J89="","",J89*(1+$G$32))</x:f>
        <x:v>185.9031593338781</x:v>
      </x:c>
      <x:c r="L89" s="82" t="n">
        <x:f>IF(K89="","",$J$31+K89)</x:f>
        <x:v>276.08173075916</x:v>
      </x:c>
    </x:row>
    <x:row r="90" ht="26" customHeight="1">
      <x:c r="A90" s="2"/>
      <x:c r="B90" s="2"/>
      <x:c r="C90" s="70" t="n">
        <x:v>0.9400000000000001</x:v>
      </x:c>
      <x:c r="D90" s="73" t="n">
        <x:f>IF(C90&lt;$G$23,$G$38-MAX(0,(C90-$G$33)*$D$35)/(1-$J$7),"")</x:f>
        <x:v>59999999.99999997</x:v>
      </x:c>
      <x:c r="E90" s="27" t="n">
        <x:f>IF(D90="","",$G$40/D90)</x:f>
        <x:v>297.61904760819124</x:v>
      </x:c>
      <x:c r="F90" s="76" t="n">
        <x:f>IF(OR(D90="",E90=""),"",E90/D90)</x:f>
        <x:v>0.000004960317460136523</x:v>
      </x:c>
      <x:c r="G90" s="76" t="n">
        <x:f>IF(OR($D$24="",NOT(ISNUMBER(F90))),"",F90*$D$24)</x:f>
        <x:v>0.0007690701388608357</x:v>
      </x:c>
      <x:c r="H90" s="27" t="n">
        <x:f>IF(NOT(ISNUMBER(F90)),"",F90*$D$35)</x:f>
        <x:v>4960.317460136523</x:v>
      </x:c>
      <x:c r="I90" s="27" t="n">
        <x:f>IF(OR($D$24="",NOT(ISNUMBER(H90))),"",H90*$D$24)</x:f>
        <x:v>769070.1388608356</x:v>
      </x:c>
      <x:c r="J90" s="27" t="n">
        <x:f>IF(E90="","",MAX(0,E90-$G$34))</x:f>
        <x:v>208.3333333257339</x:v>
      </x:c>
      <x:c r="K90" s="27" t="n">
        <x:f>IF(J90="","",J90*(1+$G$32))</x:f>
        <x:v>208.85416665904822</x:v>
      </x:c>
      <x:c r="L90" s="82" t="n">
        <x:f>IF(K90="","",$J$31+K90)</x:f>
        <x:v>299.03273808433016</x:v>
      </x:c>
    </x:row>
    <x:row r="91" ht="26" customHeight="1">
      <x:c r="A91" s="2"/>
      <x:c r="B91" s="2"/>
      <x:c r="C91" s="70" t="n">
        <x:v>0.9450000000000001</x:v>
      </x:c>
      <x:c r="D91" s="73" t="n">
        <x:f>IF(C91&lt;$G$23,$G$38-MAX(0,(C91-$G$33)*$D$35)/(1-$J$7),"")</x:f>
        <x:v>54999999.99999994</x:v>
      </x:c>
      <x:c r="E91" s="27" t="n">
        <x:f>IF(D91="","",$G$40/D91)</x:f>
        <x:v>324.67532466348155</x:v>
      </x:c>
      <x:c r="F91" s="76" t="n">
        <x:f>IF(OR(D91="",E91=""),"",E91/D91)</x:f>
        <x:v>0.000005903187721154216</x:v>
      </x:c>
      <x:c r="G91" s="76" t="n">
        <x:f>IF(OR($D$24="",NOT(ISNUMBER(F91))),"",F91*$D$24)</x:f>
        <x:v>0.0009152570247600038</x:v>
      </x:c>
      <x:c r="H91" s="27" t="n">
        <x:f>IF(NOT(ISNUMBER(F91)),"",F91*$D$35)</x:f>
        <x:v>5903.187721154216</x:v>
      </x:c>
      <x:c r="I91" s="27" t="n">
        <x:f>IF(OR($D$24="",NOT(ISNUMBER(H91))),"",H91*$D$24)</x:f>
        <x:v>915257.0247600038</x:v>
      </x:c>
      <x:c r="J91" s="27" t="n">
        <x:f>IF(E91="","",MAX(0,E91-$G$34))</x:f>
        <x:v>235.3896103810242</x:v>
      </x:c>
      <x:c r="K91" s="27" t="n">
        <x:f>IF(J91="","",J91*(1+$G$32))</x:f>
        <x:v>235.97808440697673</x:v>
      </x:c>
      <x:c r="L91" s="82" t="n">
        <x:f>IF(K91="","",$J$31+K91)</x:f>
        <x:v>326.15665583225865</x:v>
      </x:c>
    </x:row>
    <x:row r="92" ht="26" customHeight="1">
      <x:c r="A92" s="2"/>
      <x:c r="B92" s="2"/>
      <x:c r="C92" s="70" t="n">
        <x:v>0.9500000000000001</x:v>
      </x:c>
      <x:c r="D92" s="73" t="n">
        <x:f>IF(C92&lt;$G$23,$G$38-MAX(0,(C92-$G$33)*$D$35)/(1-$J$7),"")</x:f>
        <x:v>49999999.99999994</x:v>
      </x:c>
      <x:c r="E92" s="27" t="n">
        <x:f>IF(D92="","",$G$40/D92)</x:f>
        <x:v>357.14285712982974</x:v>
      </x:c>
      <x:c r="F92" s="76" t="n">
        <x:f>IF(OR(D92="",E92=""),"",E92/D92)</x:f>
        <x:v>0.000007142857142596603</x:v>
      </x:c>
      <x:c r="G92" s="76" t="n">
        <x:f>IF(OR($D$24="",NOT(ISNUMBER(F92))),"",F92*$D$24)</x:f>
        <x:v>0.0011074609999596047</x:v>
      </x:c>
      <x:c r="H92" s="27" t="n">
        <x:f>IF(NOT(ISNUMBER(F92)),"",F92*$D$35)</x:f>
        <x:v>7142.857142596603</x:v>
      </x:c>
      <x:c r="I92" s="27" t="n">
        <x:f>IF(OR($D$24="",NOT(ISNUMBER(H92))),"",H92*$D$24)</x:f>
        <x:v>1107460.9999596048</x:v>
      </x:c>
      <x:c r="J92" s="27" t="n">
        <x:f>IF(E92="","",MAX(0,E92-$G$34))</x:f>
        <x:v>267.8571428473724</x:v>
      </x:c>
      <x:c r="K92" s="27" t="n">
        <x:f>IF(J92="","",J92*(1+$G$32))</x:f>
        <x:v>268.5267857044908</x:v>
      </x:c>
      <x:c r="L92" s="82" t="n">
        <x:f>IF(K92="","",$J$31+K92)</x:f>
        <x:v>358.7053571297727</x:v>
      </x:c>
    </x:row>
    <x:row r="93" ht="26" customHeight="1">
      <x:c r="A93" s="2"/>
      <x:c r="B93" s="2"/>
      <x:c r="C93" s="70" t="n">
        <x:v>0.9550000000000001</x:v>
      </x:c>
      <x:c r="D93" s="73" t="n">
        <x:f>IF(C93&lt;$G$23,$G$38-MAX(0,(C93-$G$33)*$D$35)/(1-$J$7),"")</x:f>
        <x:v>44999999.99999994</x:v>
      </x:c>
      <x:c r="E93" s="27" t="n">
        <x:f>IF(D93="","",$G$40/D93)</x:f>
        <x:v>396.82539681092203</x:v>
      </x:c>
      <x:c r="F93" s="76" t="n">
        <x:f>IF(OR(D93="",E93=""),"",E93/D93)</x:f>
        <x:v>0.000008818342151353835</x:v>
      </x:c>
      <x:c r="G93" s="76" t="n">
        <x:f>IF(OR($D$24="",NOT(ISNUMBER(F93))),"",F93*$D$24)</x:f>
        <x:v>0.0013672358024192659</x:v>
      </x:c>
      <x:c r="H93" s="27" t="n">
        <x:f>IF(NOT(ISNUMBER(F93)),"",F93*$D$35)</x:f>
        <x:v>8818.342151353836</x:v>
      </x:c>
      <x:c r="I93" s="27" t="n">
        <x:f>IF(OR($D$24="",NOT(ISNUMBER(H93))),"",H93*$D$24)</x:f>
        <x:v>1367235.802419266</x:v>
      </x:c>
      <x:c r="J93" s="27" t="n">
        <x:f>IF(E93="","",MAX(0,E93-$G$34))</x:f>
        <x:v>307.5396825284647</x:v>
      </x:c>
      <x:c r="K93" s="27" t="n">
        <x:f>IF(J93="","",J93*(1+$G$32))</x:f>
        <x:v>308.30853173478584</x:v>
      </x:c>
      <x:c r="L93" s="82" t="n">
        <x:f>IF(K93="","",$J$31+K93)</x:f>
        <x:v>398.48710316006776</x:v>
      </x:c>
    </x:row>
    <x:row r="94" ht="26" customHeight="1">
      <x:c r="A94" s="2"/>
      <x:c r="B94" s="2"/>
      <x:c r="C94" s="70" t="n">
        <x:v>0.9600000000000001</x:v>
      </x:c>
      <x:c r="D94" s="73" t="n">
        <x:f>IF(C94&lt;$G$23,$G$38-MAX(0,(C94-$G$33)*$D$35)/(1-$J$7),"")</x:f>
        <x:v>39999999.99999994</x:v>
      </x:c>
      <x:c r="E94" s="27" t="n">
        <x:f>IF(D94="","",$G$40/D94)</x:f>
        <x:v>446.42857141228734</x:v>
      </x:c>
      <x:c r="F94" s="76" t="n">
        <x:f>IF(OR(D94="",E94=""),"",E94/D94)</x:f>
        <x:v>0.0000111607142853072</x:v>
      </x:c>
      <x:c r="G94" s="76" t="n">
        <x:f>IF(OR($D$24="",NOT(ISNUMBER(F94))),"",F94*$D$24)</x:f>
        <x:v>0.0017304078124368836</x:v>
      </x:c>
      <x:c r="H94" s="27" t="n">
        <x:f>IF(NOT(ISNUMBER(F94)),"",F94*$D$35)</x:f>
        <x:v>11160.7142853072</x:v>
      </x:c>
      <x:c r="I94" s="27" t="n">
        <x:f>IF(OR($D$24="",NOT(ISNUMBER(H94))),"",H94*$D$24)</x:f>
        <x:v>1730407.8124368838</x:v>
      </x:c>
      <x:c r="J94" s="27" t="n">
        <x:f>IF(E94="","",MAX(0,E94-$G$34))</x:f>
        <x:v>357.14285712982996</x:v>
      </x:c>
      <x:c r="K94" s="27" t="n">
        <x:f>IF(J94="","",J94*(1+$G$32))</x:f>
        <x:v>358.0357142726545</x:v>
      </x:c>
      <x:c r="L94" s="82" t="n">
        <x:f>IF(K94="","",$J$31+K94)</x:f>
        <x:v>448.2142856979364</x:v>
      </x:c>
    </x:row>
    <x:row r="95" ht="26" customHeight="1">
      <x:c r="A95" s="2"/>
      <x:c r="B95" s="2"/>
      <x:c r="C95" s="70" t="n">
        <x:v>0.9650000000000001</x:v>
      </x:c>
      <x:c r="D95" s="73" t="n">
        <x:f>IF(C95&lt;$G$23,$G$38-MAX(0,(C95-$G$33)*$D$35)/(1-$J$7),"")</x:f>
        <x:v>34999999.99999994</x:v>
      </x:c>
      <x:c r="E95" s="27" t="n">
        <x:f>IF(D95="","",$G$40/D95)</x:f>
        <x:v>510.20408161404276</x:v>
      </x:c>
      <x:c r="F95" s="76" t="n">
        <x:f>IF(OR(D95="",E95=""),"",E95/D95)</x:f>
        <x:v>0.00001457725947468696</x:v>
      </x:c>
      <x:c r="G95" s="76" t="n">
        <x:f>IF(OR($D$24="",NOT(ISNUMBER(F95))),"",F95*$D$24)</x:f>
        <x:v>0.0022601244897134816</x:v>
      </x:c>
      <x:c r="H95" s="27" t="n">
        <x:f>IF(NOT(ISNUMBER(F95)),"",F95*$D$35)</x:f>
        <x:v>14577.25947468696</x:v>
      </x:c>
      <x:c r="I95" s="27" t="n">
        <x:f>IF(OR($D$24="",NOT(ISNUMBER(H95))),"",H95*$D$24)</x:f>
        <x:v>2260124.4897134816</x:v>
      </x:c>
      <x:c r="J95" s="27" t="n">
        <x:f>IF(E95="","",MAX(0,E95-$G$34))</x:f>
        <x:v>420.9183673315854</x:v>
      </x:c>
      <x:c r="K95" s="27" t="n">
        <x:f>IF(J95="","",J95*(1+$G$32))</x:f>
        <x:v>421.9706632499143</x:v>
      </x:c>
      <x:c r="L95" s="82" t="n">
        <x:f>IF(K95="","",$J$31+K95)</x:f>
        <x:v>512.1492346751962</x:v>
      </x:c>
    </x:row>
    <x:row r="96" ht="26" customHeight="1">
      <x:c r="A96" s="2"/>
      <x:c r="B96" s="2"/>
      <x:c r="C96" s="70" t="n">
        <x:v>0.9700000000000001</x:v>
      </x:c>
      <x:c r="D96" s="73" t="n">
        <x:f>IF(C96&lt;$G$23,$G$38-MAX(0,(C96-$G$33)*$D$35)/(1-$J$7),"")</x:f>
        <x:v>29999999.99999994</x:v>
      </x:c>
      <x:c r="E96" s="27" t="n">
        <x:f>IF(D96="","",$G$40/D96)</x:f>
        <x:v>595.2380952163834</x:v>
      </x:c>
      <x:c r="F96" s="76" t="n">
        <x:f>IF(OR(D96="",E96=""),"",E96/D96)</x:f>
        <x:v>0.000019841269840546153</x:v>
      </x:c>
      <x:c r="G96" s="76" t="n">
        <x:f>IF(OR($D$24="",NOT(ISNUMBER(F96))),"",F96*$D$24)</x:f>
        <x:v>0.0030762805554433517</x:v>
      </x:c>
      <x:c r="H96" s="27" t="n">
        <x:f>IF(NOT(ISNUMBER(F96)),"",F96*$D$35)</x:f>
        <x:v>19841.269840546152</x:v>
      </x:c>
      <x:c r="I96" s="27" t="n">
        <x:f>IF(OR($D$24="",NOT(ISNUMBER(H96))),"",H96*$D$24)</x:f>
        <x:v>3076280.5554433516</x:v>
      </x:c>
      <x:c r="J96" s="27" t="n">
        <x:f>IF(E96="","",MAX(0,E96-$G$34))</x:f>
        <x:v>505.95238093392607</x:v>
      </x:c>
      <x:c r="K96" s="27" t="n">
        <x:f>IF(J96="","",J96*(1+$G$32))</x:f>
        <x:v>507.21726188626087</x:v>
      </x:c>
      <x:c r="L96" s="82" t="n">
        <x:f>IF(K96="","",$J$31+K96)</x:f>
        <x:v>597.3958333115428</x:v>
      </x:c>
    </x:row>
    <x:row r="97" ht="26" customHeight="1">
      <x:c r="A97" s="2"/>
      <x:c r="B97" s="2"/>
      <x:c r="C97" s="70" t="n">
        <x:v>0.9750000000000001</x:v>
      </x:c>
      <x:c r="D97" s="73" t="n">
        <x:f>IF(C97&lt;$G$23,$G$38-MAX(0,(C97-$G$33)*$D$35)/(1-$J$7),"")</x:f>
        <x:v>24999999.99999994</x:v>
      </x:c>
      <x:c r="E97" s="27" t="n">
        <x:f>IF(D97="","",$G$40/D97)</x:f>
        <x:v>714.2857142596604</x:v>
      </x:c>
      <x:c r="F97" s="76" t="n">
        <x:f>IF(OR(D97="",E97=""),"",E97/D97)</x:f>
        <x:v>0.000028571428570386483</x:v>
      </x:c>
      <x:c r="G97" s="76" t="n">
        <x:f>IF(OR($D$24="",NOT(ISNUMBER(F97))),"",F97*$D$24)</x:f>
        <x:v>0.00442984399983843</x:v>
      </x:c>
      <x:c r="H97" s="27" t="n">
        <x:f>IF(NOT(ISNUMBER(F97)),"",F97*$D$35)</x:f>
        <x:v>28571.428570386484</x:v>
      </x:c>
      <x:c r="I97" s="27" t="n">
        <x:f>IF(OR($D$24="",NOT(ISNUMBER(H97))),"",H97*$D$24)</x:f>
        <x:v>4429843.99983843</x:v>
      </x:c>
      <x:c r="J97" s="27" t="n">
        <x:f>IF(E97="","",MAX(0,E97-$G$34))</x:f>
        <x:v>624.9999999772031</x:v>
      </x:c>
      <x:c r="K97" s="27" t="n">
        <x:f>IF(J97="","",J97*(1+$G$32))</x:f>
        <x:v>626.562499977146</x:v>
      </x:c>
      <x:c r="L97" s="82" t="n">
        <x:f>IF(K97="","",$J$31+K97)</x:f>
        <x:v>716.7410714024279</x:v>
      </x:c>
    </x:row>
    <x:row r="98" ht="26" customHeight="1">
      <x:c r="A98" s="2"/>
      <x:c r="B98" s="2"/>
      <x:c r="C98" s="70" t="n">
        <x:v>0.98</x:v>
      </x:c>
      <x:c r="D98" s="73" t="n">
        <x:f>IF(C98&lt;$G$23,$G$38-MAX(0,(C98-$G$33)*$D$35)/(1-$J$7),"")</x:f>
        <x:v>20000000.00000003</x:v>
      </x:c>
      <x:c r="E98" s="27" t="n">
        <x:f>IF(D98="","",$G$40/D98)</x:f>
        <x:v>892.857142824572</x:v>
      </x:c>
      <x:c r="F98" s="76" t="n">
        <x:f>IF(OR(D98="",E98=""),"",E98/D98)</x:f>
        <x:v>0.00004464285714122853</x:v>
      </x:c>
      <x:c r="G98" s="76" t="n">
        <x:f>IF(OR($D$24="",NOT(ISNUMBER(F98))),"",F98*$D$24)</x:f>
        <x:v>0.006921631249747493</x:v>
      </x:c>
      <x:c r="H98" s="27" t="n">
        <x:f>IF(NOT(ISNUMBER(F98)),"",F98*$D$35)</x:f>
        <x:v>44642.85714122853</x:v>
      </x:c>
      <x:c r="I98" s="27" t="n">
        <x:f>IF(OR($D$24="",NOT(ISNUMBER(H98))),"",H98*$D$24)</x:f>
        <x:v>6921631.249747493</x:v>
      </x:c>
      <x:c r="J98" s="27" t="n">
        <x:f>IF(E98="","",MAX(0,E98-$G$34))</x:f>
        <x:v>803.5714285421146</x:v>
      </x:c>
      <x:c r="K98" s="27" t="n">
        <x:f>IF(J98="","",J98*(1+$G$32))</x:f>
        <x:v>805.5803571134699</x:v>
      </x:c>
      <x:c r="L98" s="82" t="n">
        <x:f>IF(K98="","",$J$31+K98)</x:f>
        <x:v>895.7589285387518</x:v>
      </x:c>
    </x:row>
    <x:row r="99" ht="26" customHeight="1">
      <x:c r="A99" s="2"/>
      <x:c r="B99" s="2"/>
      <x:c r="C99" s="70" t="n">
        <x:v>0.9850000000000001</x:v>
      </x:c>
      <x:c r="D99" s="73" t="n">
        <x:f>IF(C99&lt;$G$23,$G$38-MAX(0,(C99-$G$33)*$D$35)/(1-$J$7),"")</x:f>
        <x:v>14999999.99999991</x:v>
      </x:c>
      <x:c r="E99" s="27" t="n">
        <x:f>IF(D99="","",$G$40/D99)</x:f>
        <x:v>1190.4761904327715</x:v>
      </x:c>
      <x:c r="F99" s="76" t="n">
        <x:f>IF(OR(D99="",E99=""),"",E99/D99)</x:f>
        <x:v>0.00007936507936218524</x:v>
      </x:c>
      <x:c r="G99" s="76" t="n">
        <x:f>IF(OR($D$24="",NOT(ISNUMBER(F99))),"",F99*$D$24)</x:f>
        <x:v>0.012305122221773504</x:v>
      </x:c>
      <x:c r="H99" s="27" t="n">
        <x:f>IF(NOT(ISNUMBER(F99)),"",F99*$D$35)</x:f>
        <x:v>79365.07936218524</x:v>
      </x:c>
      <x:c r="I99" s="27" t="n">
        <x:f>IF(OR($D$24="",NOT(ISNUMBER(H99))),"",H99*$D$24)</x:f>
        <x:v>12305122.221773503</x:v>
      </x:c>
      <x:c r="J99" s="27" t="n">
        <x:f>IF(E99="","",MAX(0,E99-$G$34))</x:f>
        <x:v>1101.1904761503142</x:v>
      </x:c>
      <x:c r="K99" s="27" t="n">
        <x:f>IF(J99="","",J99*(1+$G$32))</x:f>
        <x:v>1103.9434523406899</x:v>
      </x:c>
      <x:c r="L99" s="82" t="n">
        <x:f>IF(K99="","",$J$31+K99)</x:f>
        <x:v>1194.1220237659718</x:v>
      </x:c>
    </x:row>
    <x:row r="100" ht="26" customHeight="1">
      <x:c r="A100" s="2"/>
      <x:c r="B100" s="2"/>
      <x:c r="C100" s="70" t="n">
        <x:v>0.99</x:v>
      </x:c>
      <x:c r="D100" s="73" t="n">
        <x:f>IF(C100&lt;$G$23,$G$38-MAX(0,(C100-$G$33)*$D$35)/(1-$J$7),"")</x:f>
        <x:v>10000000.00000003</x:v>
      </x:c>
      <x:c r="E100" s="27" t="n">
        <x:f>IF(D100="","",$G$40/D100)</x:f>
        <x:v>1785.7142856491414</x:v>
      </x:c>
      <x:c r="F100" s="76" t="n">
        <x:f>IF(OR(D100="",E100=""),"",E100/D100)</x:f>
        <x:v>0.0001785714285649136</x:v>
      </x:c>
      <x:c r="G100" s="76" t="n">
        <x:f>IF(OR($D$24="",NOT(ISNUMBER(F100))),"",F100*$D$24)</x:f>
        <x:v>0.02768652499898989</x:v>
      </x:c>
      <x:c r="H100" s="27" t="n">
        <x:f>IF(NOT(ISNUMBER(F100)),"",F100*$D$35)</x:f>
        <x:v>178571.4285649136</x:v>
      </x:c>
      <x:c r="I100" s="27" t="n">
        <x:f>IF(OR($D$24="",NOT(ISNUMBER(H100))),"",H100*$D$24)</x:f>
        <x:v>27686524.99898989</x:v>
      </x:c>
      <x:c r="J100" s="27" t="n">
        <x:f>IF(E100="","",MAX(0,E100-$G$34))</x:f>
        <x:v>1696.428571366684</x:v>
      </x:c>
      <x:c r="K100" s="27" t="n">
        <x:f>IF(J100="","",J100*(1+$G$32))</x:f>
        <x:v>1700.6696427951008</x:v>
      </x:c>
      <x:c r="L100" s="82" t="n">
        <x:f>IF(K100="","",$J$31+K100)</x:f>
        <x:v>1790.8482142203827</x:v>
      </x:c>
    </x:row>
    <x:row r="101" ht="26" customHeight="1">
      <x:c r="A101" s="2"/>
      <x:c r="B101" s="2"/>
      <x:c r="C101" s="70" t="n">
        <x:v>0.9950000000000001</x:v>
      </x:c>
      <x:c r="D101" s="73" t="n">
        <x:f>IF(C101&lt;$G$23,$G$38-MAX(0,(C101-$G$33)*$D$35)/(1-$J$7),"")</x:f>
        <x:v>4999999.999999911</x:v>
      </x:c>
      <x:c r="E101" s="27" t="n">
        <x:f>IF(D101="","",$G$40/D101)</x:f>
        <x:v>3571.4285712983574</x:v>
      </x:c>
      <x:c r="F101" s="76" t="n">
        <x:f>IF(OR(D101="",E101=""),"",E101/D101)</x:f>
        <x:v>0.0007142857142596842</x:v>
      </x:c>
      <x:c r="G101" s="76" t="n">
        <x:f>IF(OR($D$24="",NOT(ISNUMBER(F101))),"",F101*$D$24)</x:f>
        <x:v>0.11074609999596419</x:v>
      </x:c>
      <x:c r="H101" s="27" t="n">
        <x:f>IF(NOT(ISNUMBER(F101)),"",F101*$D$35)</x:f>
        <x:v>714285.7142596842</x:v>
      </x:c>
      <x:c r="I101" s="27" t="n">
        <x:f>IF(OR($D$24="",NOT(ISNUMBER(H101))),"",H101*$D$24)</x:f>
        <x:v>110746099.99596418</x:v>
      </x:c>
      <x:c r="J101" s="27" t="n">
        <x:f>IF(E101="","",MAX(0,E101-$G$34))</x:f>
        <x:v>3482.1428570159</x:v>
      </x:c>
      <x:c r="K101" s="27" t="n">
        <x:f>IF(J101="","",J101*(1+$G$32))</x:f>
        <x:v>3490.8482141584395</x:v>
      </x:c>
      <x:c r="L101" s="82" t="n">
        <x:f>IF(K101="","",$J$31+K101)</x:f>
        <x:v>3581.0267855837214</x:v>
      </x:c>
    </x:row>
    <x:row r="102" ht="26" customHeight="1">
      <x:c r="A102" s="2"/>
      <x:c r="B102" s="2"/>
      <x:c r="C102" s="71" t="n">
        <x:v>1</x:v>
      </x:c>
      <x:c r="D102" s="74" t="str">
        <x:f>IF(C102&lt;$G$23,$G$38-MAX(0,(C102-$G$33)*$D$35)/(1-$J$7),"")</x:f>
      </x:c>
      <x:c r="E102" s="28" t="str">
        <x:f>IF(D102="","",$G$40/D102)</x:f>
      </x:c>
      <x:c r="F102" s="77" t="str">
        <x:f>IF(OR(D102="",E102=""),"",E102/D102)</x:f>
      </x:c>
      <x:c r="G102" s="77" t="str">
        <x:f>IF(OR($D$24="",NOT(ISNUMBER(F102))),"",F102*$D$24)</x:f>
      </x:c>
      <x:c r="H102" s="28" t="str">
        <x:f>IF(NOT(ISNUMBER(F102)),"",F102*$D$35)</x:f>
      </x:c>
      <x:c r="I102" s="28" t="str">
        <x:f>IF(OR($D$24="",NOT(ISNUMBER(H102))),"",H102*$D$24)</x:f>
      </x:c>
      <x:c r="J102" s="28" t="str">
        <x:f>IF(E102="","",MAX(0,E102-$G$34))</x:f>
      </x:c>
      <x:c r="K102" s="28" t="str">
        <x:f>IF(J102="","",J102*(1+$G$32))</x:f>
      </x:c>
      <x:c r="L102" s="83" t="str">
        <x:f>IF(K102="","",$J$31+K102)</x:f>
      </x:c>
    </x:row>
    <x:row r="103" ht="26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 ht="26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 ht="27" customHeight="1">
      <x:c r="A105" s="2"/>
      <x:c r="B105" s="2"/>
      <x:c r="C105" s="93" t="str">
        <x:v>外盘回落参考</x:v>
      </x:c>
      <x:c r="D105" s="93"/>
      <x:c r="E105" s="93"/>
      <x:c r="F105" s="93"/>
      <x:c r="G105" s="93"/>
      <x:c r="H105" s="93"/>
      <x:c r="I105" s="93"/>
      <x:c r="J105" s="93"/>
      <x:c r="K105" s="93"/>
      <x:c r="L105" s="93"/>
    </x:row>
    <x:row r="106" ht="38" customHeight="1">
      <x:c r="A106" s="2"/>
      <x:c r="B106" s="2"/>
      <x:c r="C106" s="68" t="str">
        <x:v>控筹率</x:v>
      </x:c>
      <x:c r="D106" s="68" t="str">
        <x:v>pooled TOKEN</x:v>
      </x:c>
      <x:c r="E106" s="68" t="str">
        <x:v>pooled Quote</x:v>
      </x:c>
      <x:c r="F106" s="68" t="str">
        <x:v>价格 / Quote</x:v>
      </x:c>
      <x:c r="G106" s="68" t="str">
        <x:v>价格 / USDT</x:v>
      </x:c>
      <x:c r="H106" s="68" t="str">
        <x:v>市值 / Quote</x:v>
      </x:c>
      <x:c r="I106" s="68" t="str">
        <x:v>市值 / USDT</x:v>
      </x:c>
      <x:c r="J106" s="68" t="str">
        <x:v>较毕业点回撤</x:v>
      </x:c>
      <x:c r="K106" s="68" t="str"/>
      <x:c r="L106" s="68" t="str"/>
    </x:row>
    <x:row r="107" ht="26" customHeight="1">
      <x:c r="A107" s="2"/>
      <x:c r="B107" s="2"/>
      <x:c r="C107" s="88" t="n">
        <x:v>0.8</x:v>
      </x:c>
      <x:c r="D107" s="89" t="n">
        <x:f>$D$35*(1-C107)</x:f>
        <x:v>199999999.99999997</x:v>
      </x:c>
      <x:c r="E107" s="90" t="n">
        <x:f>$G$40/D107</x:f>
        <x:v>89.28571428245735</x:v>
      </x:c>
      <x:c r="F107" s="91" t="n">
        <x:f>IF(OR(D107="",E107=""),"",E107/D107)</x:f>
        <x:v>4.464285714122868e-7</x:v>
      </x:c>
      <x:c r="G107" s="91" t="n">
        <x:f>IF(OR($D$24="",NOT(ISNUMBER(F107))),"",F107*$D$24)</x:f>
        <x:v>0.00006921631249747516</x:v>
      </x:c>
      <x:c r="H107" s="90" t="n">
        <x:f>IF(NOT(ISNUMBER(F107)),"",F107*$D$35)</x:f>
        <x:v>446.4285714122868</x:v>
      </x:c>
      <x:c r="I107" s="90" t="n">
        <x:f>IF(OR($D$24="",NOT(ISNUMBER(H107))),"",H107*$D$24)</x:f>
        <x:v>69216.31249747516</x:v>
      </x:c>
      <x:c r="J107" s="88" t="n">
        <x:f>IF($H$107&gt;0,1-H107/$H$107,0)</x:f>
        <x:v>0</x:v>
      </x:c>
      <x:c r="K107" s="90"/>
      <x:c r="L107" s="90"/>
    </x:row>
    <x:row r="108" ht="26" customHeight="1">
      <x:c r="A108" s="2"/>
      <x:c r="B108" s="2"/>
      <x:c r="C108" s="70" t="n">
        <x:v>0.7</x:v>
      </x:c>
      <x:c r="D108" s="73" t="n">
        <x:f>$D$35*(1-C108)</x:f>
        <x:v>300000000.00000006</x:v>
      </x:c>
      <x:c r="E108" s="27" t="n">
        <x:f>$G$40/D108</x:f>
        <x:v>59.523809521638206</x:v>
      </x:c>
      <x:c r="F108" s="76" t="n">
        <x:f>IF(OR(D108="",E108=""),"",E108/D108)</x:f>
        <x:v>1.9841269840546065e-7</x:v>
      </x:c>
      <x:c r="G108" s="76" t="n">
        <x:f>IF(OR($D$24="",NOT(ISNUMBER(F108))),"",F108*$D$24)</x:f>
        <x:v>0.00003076280555443338</x:v>
      </x:c>
      <x:c r="H108" s="27" t="n">
        <x:f>IF(NOT(ISNUMBER(F108)),"",F108*$D$35)</x:f>
        <x:v>198.41269840546065</x:v>
      </x:c>
      <x:c r="I108" s="27" t="n">
        <x:f>IF(OR($D$24="",NOT(ISNUMBER(H108))),"",H108*$D$24)</x:f>
        <x:v>30762.80555443338</x:v>
      </x:c>
      <x:c r="J108" s="70" t="n">
        <x:f>IF($H$107&gt;0,1-H108/$H$107,0)</x:f>
        <x:v>0.5555555555555558</x:v>
      </x:c>
      <x:c r="K108" s="27"/>
      <x:c r="L108" s="27"/>
    </x:row>
    <x:row r="109" ht="26" customHeight="1">
      <x:c r="A109" s="2"/>
      <x:c r="B109" s="2"/>
      <x:c r="C109" s="70" t="n">
        <x:v>0.6</x:v>
      </x:c>
      <x:c r="D109" s="73" t="n">
        <x:f>$D$35*(1-C109)</x:f>
        <x:v>400000000</x:v>
      </x:c>
      <x:c r="E109" s="27" t="n">
        <x:f>$G$40/D109</x:f>
        <x:v>44.64285714122867</x:v>
      </x:c>
      <x:c r="F109" s="76" t="n">
        <x:f>IF(OR(D109="",E109=""),"",E109/D109)</x:f>
        <x:v>1.1160714285307167e-7</x:v>
      </x:c>
      <x:c r="G109" s="76" t="n">
        <x:f>IF(OR($D$24="",NOT(ISNUMBER(F109))),"",F109*$D$24)</x:f>
        <x:v>0.000017304078124368786</x:v>
      </x:c>
      <x:c r="H109" s="27" t="n">
        <x:f>IF(NOT(ISNUMBER(F109)),"",F109*$D$35)</x:f>
        <x:v>111.60714285307166</x:v>
      </x:c>
      <x:c r="I109" s="27" t="n">
        <x:f>IF(OR($D$24="",NOT(ISNUMBER(H109))),"",H109*$D$24)</x:f>
        <x:v>17304.078124368785</x:v>
      </x:c>
      <x:c r="J109" s="70" t="n">
        <x:f>IF($H$107&gt;0,1-H109/$H$107,0)</x:f>
        <x:v>0.75</x:v>
      </x:c>
      <x:c r="K109" s="27"/>
      <x:c r="L109" s="27"/>
    </x:row>
    <x:row r="110" ht="26" customHeight="1">
      <x:c r="A110" s="2"/>
      <x:c r="B110" s="2"/>
      <x:c r="C110" s="70" t="n">
        <x:v>0.5</x:v>
      </x:c>
      <x:c r="D110" s="73" t="n">
        <x:f>$D$35*(1-C110)</x:f>
        <x:v>500000000</x:v>
      </x:c>
      <x:c r="E110" s="27" t="n">
        <x:f>$G$40/D110</x:f>
        <x:v>35.714285712982935</x:v>
      </x:c>
      <x:c r="F110" s="76" t="n">
        <x:f>IF(OR(D110="",E110=""),"",E110/D110)</x:f>
        <x:v>7.142857142596587e-8</x:v>
      </x:c>
      <x:c r="G110" s="76" t="n">
        <x:f>IF(OR($D$24="",NOT(ISNUMBER(F110))),"",F110*$D$24)</x:f>
        <x:v>0.000011074609999596023</x:v>
      </x:c>
      <x:c r="H110" s="27" t="n">
        <x:f>IF(NOT(ISNUMBER(F110)),"",F110*$D$35)</x:f>
        <x:v>71.42857142596587</x:v>
      </x:c>
      <x:c r="I110" s="27" t="n">
        <x:f>IF(OR($D$24="",NOT(ISNUMBER(H110))),"",H110*$D$24)</x:f>
        <x:v>11074.609999596023</x:v>
      </x:c>
      <x:c r="J110" s="70" t="n">
        <x:f>IF($H$107&gt;0,1-H110/$H$107,0)</x:f>
        <x:v>0.8400000000000001</x:v>
      </x:c>
      <x:c r="K110" s="27"/>
      <x:c r="L110" s="27"/>
    </x:row>
    <x:row r="111" ht="26" customHeight="1">
      <x:c r="A111" s="2"/>
      <x:c r="B111" s="2"/>
      <x:c r="C111" s="70" t="n">
        <x:v>0.4</x:v>
      </x:c>
      <x:c r="D111" s="73" t="n">
        <x:f>$D$35*(1-C111)</x:f>
        <x:v>600000000</x:v>
      </x:c>
      <x:c r="E111" s="27" t="n">
        <x:f>$G$40/D111</x:f>
        <x:v>29.76190476081911</x:v>
      </x:c>
      <x:c r="F111" s="76" t="n">
        <x:f>IF(OR(D111="",E111=""),"",E111/D111)</x:f>
        <x:v>4.960317460136518e-8</x:v>
      </x:c>
      <x:c r="G111" s="76" t="n">
        <x:f>IF(OR($D$24="",NOT(ISNUMBER(F111))),"",F111*$D$24)</x:f>
        <x:v>0.000007690701388608349</x:v>
      </x:c>
      <x:c r="H111" s="27" t="n">
        <x:f>IF(NOT(ISNUMBER(F111)),"",F111*$D$35)</x:f>
        <x:v>49.60317460136518</x:v>
      </x:c>
      <x:c r="I111" s="27" t="n">
        <x:f>IF(OR($D$24="",NOT(ISNUMBER(H111))),"",H111*$D$24)</x:f>
        <x:v>7690.701388608349</x:v>
      </x:c>
      <x:c r="J111" s="70" t="n">
        <x:f>IF($H$107&gt;0,1-H111/$H$107,0)</x:f>
        <x:v>0.888888888888889</x:v>
      </x:c>
      <x:c r="K111" s="27"/>
      <x:c r="L111" s="27"/>
    </x:row>
    <x:row r="112" ht="26" customHeight="1">
      <x:c r="A112" s="2"/>
      <x:c r="B112" s="2"/>
      <x:c r="C112" s="70" t="n">
        <x:v>0.3</x:v>
      </x:c>
      <x:c r="D112" s="73" t="n">
        <x:f>$D$35*(1-C112)</x:f>
        <x:v>700000000</x:v>
      </x:c>
      <x:c r="E112" s="27" t="n">
        <x:f>$G$40/D112</x:f>
        <x:v>25.510204080702096</x:v>
      </x:c>
      <x:c r="F112" s="76" t="n">
        <x:f>IF(OR(D112="",E112=""),"",E112/D112)</x:f>
        <x:v>3.6443148686717276e-8</x:v>
      </x:c>
      <x:c r="G112" s="76" t="n">
        <x:f>IF(OR($D$24="",NOT(ISNUMBER(F112))),"",F112*$D$24)</x:f>
        <x:v>0.000005650311224283685</x:v>
      </x:c>
      <x:c r="H112" s="27" t="n">
        <x:f>IF(NOT(ISNUMBER(F112)),"",F112*$D$35)</x:f>
        <x:v>36.44314868671728</x:v>
      </x:c>
      <x:c r="I112" s="27" t="n">
        <x:f>IF(OR($D$24="",NOT(ISNUMBER(H112))),"",H112*$D$24)</x:f>
        <x:v>5650.311224283685</x:v>
      </x:c>
      <x:c r="J112" s="70" t="n">
        <x:f>IF($H$107&gt;0,1-H112/$H$107,0)</x:f>
        <x:v>0.9183673469387755</x:v>
      </x:c>
      <x:c r="K112" s="27"/>
      <x:c r="L112" s="27"/>
    </x:row>
    <x:row r="113" ht="26" customHeight="1">
      <x:c r="A113" s="2"/>
      <x:c r="B113" s="2"/>
      <x:c r="C113" s="70" t="n">
        <x:v>0.2</x:v>
      </x:c>
      <x:c r="D113" s="73" t="n">
        <x:f>$D$35*(1-C113)</x:f>
        <x:v>800000000</x:v>
      </x:c>
      <x:c r="E113" s="27" t="n">
        <x:f>$G$40/D113</x:f>
        <x:v>22.321428570614334</x:v>
      </x:c>
      <x:c r="F113" s="76" t="n">
        <x:f>IF(OR(D113="",E113=""),"",E113/D113)</x:f>
        <x:v>2.7901785713267918e-8</x:v>
      </x:c>
      <x:c r="G113" s="76" t="n">
        <x:f>IF(OR($D$24="",NOT(ISNUMBER(F113))),"",F113*$D$24)</x:f>
        <x:v>0.0000043260195310921965</x:v>
      </x:c>
      <x:c r="H113" s="27" t="n">
        <x:f>IF(NOT(ISNUMBER(F113)),"",F113*$D$35)</x:f>
        <x:v>27.901785713267916</x:v>
      </x:c>
      <x:c r="I113" s="27" t="n">
        <x:f>IF(OR($D$24="",NOT(ISNUMBER(H113))),"",H113*$D$24)</x:f>
        <x:v>4326.019531092196</x:v>
      </x:c>
      <x:c r="J113" s="70" t="n">
        <x:f>IF($H$107&gt;0,1-H113/$H$107,0)</x:f>
        <x:v>0.9375</x:v>
      </x:c>
      <x:c r="K113" s="27"/>
      <x:c r="L113" s="27"/>
    </x:row>
    <x:row r="114" ht="26" customHeight="1">
      <x:c r="A114" s="2"/>
      <x:c r="B114" s="2"/>
      <x:c r="C114" s="70" t="n">
        <x:v>0.1</x:v>
      </x:c>
      <x:c r="D114" s="73" t="n">
        <x:f>$D$35*(1-C114)</x:f>
        <x:v>900000000</x:v>
      </x:c>
      <x:c r="E114" s="27" t="n">
        <x:f>$G$40/D114</x:f>
        <x:v>19.841269840546072</x:v>
      </x:c>
      <x:c r="F114" s="76" t="n">
        <x:f>IF(OR(D114="",E114=""),"",E114/D114)</x:f>
        <x:v>2.2045855378384524e-8</x:v>
      </x:c>
      <x:c r="G114" s="76" t="n">
        <x:f>IF(OR($D$24="",NOT(ISNUMBER(F114))),"",F114*$D$24)</x:f>
        <x:v>0.000003418089506048155</x:v>
      </x:c>
      <x:c r="H114" s="27" t="n">
        <x:f>IF(NOT(ISNUMBER(F114)),"",F114*$D$35)</x:f>
        <x:v>22.045855378384523</x:v>
      </x:c>
      <x:c r="I114" s="27" t="n">
        <x:f>IF(OR($D$24="",NOT(ISNUMBER(H114))),"",H114*$D$24)</x:f>
        <x:v>3418.089506048155</x:v>
      </x:c>
      <x:c r="J114" s="70" t="n">
        <x:f>IF($H$107&gt;0,1-H114/$H$107,0)</x:f>
        <x:v>0.9506172839506173</x:v>
      </x:c>
      <x:c r="K114" s="27"/>
      <x:c r="L114" s="27"/>
    </x:row>
    <x:row r="115" ht="26" customHeight="1">
      <x:c r="A115" s="2"/>
      <x:c r="B115" s="2"/>
      <x:c r="C115" s="71" t="n">
        <x:v>0</x:v>
      </x:c>
      <x:c r="D115" s="74" t="n">
        <x:f>$D$35*(1-C115)</x:f>
        <x:v>1000000000</x:v>
      </x:c>
      <x:c r="E115" s="28" t="n">
        <x:f>$G$40/D115</x:f>
        <x:v>17.857142856491468</x:v>
      </x:c>
      <x:c r="F115" s="77" t="n">
        <x:f>IF(OR(D115="",E115=""),"",E115/D115)</x:f>
        <x:v>1.7857142856491468e-8</x:v>
      </x:c>
      <x:c r="G115" s="77" t="n">
        <x:f>IF(OR($D$24="",NOT(ISNUMBER(F115))),"",F115*$D$24)</x:f>
        <x:v>0.0000027686524998990056</x:v>
      </x:c>
      <x:c r="H115" s="28" t="n">
        <x:f>IF(NOT(ISNUMBER(F115)),"",F115*$D$35)</x:f>
        <x:v>17.857142856491468</x:v>
      </x:c>
      <x:c r="I115" s="28" t="n">
        <x:f>IF(OR($D$24="",NOT(ISNUMBER(H115))),"",H115*$D$24)</x:f>
        <x:v>2768.6524998990058</x:v>
      </x:c>
      <x:c r="J115" s="71" t="n">
        <x:f>IF($H$107&gt;0,1-H115/$H$107,0)</x:f>
        <x:v>0.96</x:v>
      </x:c>
      <x:c r="K115" s="94" t="str">
        <x:v>沉没成本 / Quote</x:v>
      </x:c>
      <x:c r="L115" s="28" t="n">
        <x:f>E115</x:f>
        <x:v>17.857142856491468</x:v>
      </x:c>
    </x:row>
    <x:row r="116" ht="26" customHeight="1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</x:row>
    <x:row r="117" ht="26" customHeight="1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</x:row>
    <x:row r="118" ht="26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</x:row>
    <x:row r="119" ht="26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</x:row>
    <x:row r="120" ht="26" customHeight="1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</x:row>
    <x:row r="121" ht="26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</x:row>
    <x:row r="122" ht="26" customHeight="1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</x:row>
    <x:row r="123" ht="26" customHeight="1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</x:row>
    <x:row r="124" ht="26" customHeight="1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</x:row>
    <x:row r="125" ht="26" customHeight="1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</x:row>
    <x:row r="126" ht="26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</x:row>
    <x:row r="127" ht="26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</x:row>
    <x:row r="128" ht="26" customHeight="1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</x:row>
    <x:row r="129" ht="26" customHeight="1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</x:row>
    <x:row r="130" ht="26" customHeight="1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</x:row>
    <x:row r="131" ht="26" customHeight="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</x:row>
    <x:row r="132" ht="26" customHeight="1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</x:row>
    <x:row r="133" ht="26" customHeight="1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</x:row>
    <x:row r="134" ht="26" customHeight="1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</x:row>
    <x:row r="135" ht="26" customHeight="1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</x:row>
    <x:row r="136" ht="26" customHeight="1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</x:row>
    <x:row r="137" ht="26" customHeight="1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</x:row>
    <x:row r="138" ht="26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</x:row>
    <x:row r="139" ht="26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</x:row>
    <x:row r="140" ht="26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</x:row>
  </x:sheetData>
  <x:mergeCells>
    <x:mergeCell ref="C3:L3"/>
    <x:mergeCell ref="C13:L13"/>
    <x:mergeCell ref="I25:L25"/>
    <x:mergeCell ref="J23:L23"/>
    <x:mergeCell ref="G24:H24"/>
    <x:mergeCell ref="D32:E33"/>
    <x:mergeCell ref="D31:E31"/>
    <x:mergeCell ref="D36:E36"/>
    <x:mergeCell ref="D37:E37"/>
    <x:mergeCell ref="D38:E38"/>
    <x:mergeCell ref="D39:E40"/>
    <x:mergeCell ref="J24:L24"/>
    <x:mergeCell ref="J41:L41"/>
  </x:mergeCells>
  <x:conditionalFormatting sqref="D23:D23">
    <x:cfRule type="containsText" dxfId="0" priority="1" operator="containsText" text="不可达"/>
    <x:cfRule type="containsText" dxfId="1" priority="2" operator="containsText" text="无效"/>
    <x:cfRule type="containsText" dxfId="2" priority="3" operator="containsText" text="缺少"/>
  </x:conditionalFormatting>
  <x:conditionalFormatting sqref="J24:J24">
    <x:cfRule type="containsText" dxfId="3" priority="4" operator="containsText" text="缺少"/>
  </x:conditionalFormatting>
  <x:dataValidations count="11">
    <x:dataValidation type="list" sqref="D7">
      <x:formula1>'Quote参数'!$E$14:$E$36</x:formula1>
    </x:dataValidation>
    <x:dataValidation type="decimal" operator="between" sqref="D8">
      <x:formula1>0.8</x:formula1>
      <x:formula2>0.99</x:formula2>
    </x:dataValidation>
    <x:dataValidation type="decimal" operator="between" sqref="J7">
      <x:formula1>0</x:formula1>
      <x:formula2>0.1</x:formula2>
    </x:dataValidation>
    <x:dataValidation type="decimal" operator="between" sqref="J8">
      <x:formula1>0</x:formula1>
      <x:formula2>0.1</x:formula2>
    </x:dataValidation>
    <x:dataValidation type="whole" errorStyle="stop" operator="greaterThan" showErrorMessage="1" errorTitle="地址参数无效" error="输入非负整数；内盘套数至少为 1。" sqref="G7">
      <x:formula1>0</x:formula1>
    </x:dataValidation>
    <x:dataValidation type="whole" errorStyle="stop" operator="greaterThan" showErrorMessage="1" errorTitle="地址参数无效" error="输入非负整数；内盘套数至少为 1。" sqref="G8">
      <x:formula1>-1</x:formula1>
    </x:dataValidation>
    <x:dataValidation type="whole" errorStyle="stop" operator="greaterThan" showErrorMessage="1" errorTitle="地址参数无效" error="输入非负整数；内盘套数至少为 1。" sqref="G9">
      <x:formula1>-1</x:formula1>
    </x:dataValidation>
    <x:dataValidation type="whole" errorStyle="stop" operator="greaterThan" showErrorMessage="1" errorTitle="地址参数无效" error="输入非负整数；内盘套数至少为 1。" sqref="G10">
      <x:formula1>-1</x:formula1>
    </x:dataValidation>
    <x:dataValidation type="decimal" errorStyle="stop" operator="between" showErrorMessage="1" errorTitle="参数无效" error="Gas 与资金预留不能为负数。" sqref="D10">
      <x:formula1>0</x:formula1>
      <x:formula2>1e+307</x:formula2>
    </x:dataValidation>
    <x:dataValidation type="decimal" errorStyle="stop" operator="between" showErrorMessage="1" errorTitle="参数无效" error="Gas 与资金预留不能为负数。" sqref="G11">
      <x:formula1>0</x:formula1>
      <x:formula2>1e+307</x:formula2>
    </x:dataValidation>
    <x:dataValidation type="decimal" operator="greaterThan" sqref="D9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20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2"/>
      <x:c r="Q6" s="2"/>
      <x:c r="R6" s="2"/>
      <x:c r="S6" s="2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2"/>
      <x:c r="Q7" s="2"/>
      <x:c r="R7" s="2"/>
      <x:c r="S7" s="2"/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/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3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155.04454</x:v>
      </x:c>
      <x:c r="Q14" s="29">
        <x:v>46283.2286428125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185.7996</x:v>
      </x:c>
      <x:c r="Q15" s="30">
        <x:v>46283.228647384254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763.7056</x:v>
      </x:c>
      <x:c r="Q16" s="30">
        <x:v>46283.22865424769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4364.9684</x:v>
      </x:c>
      <x:c r="Q17" s="30">
        <x:v>46283.22865996528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719.04616</x:v>
      </x:c>
      <x:c r="Q18" s="30">
        <x:v>46283.22866714121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220.3822</x:v>
      </x:c>
      <x:c r="Q19" s="30">
        <x:v>46283.22867091435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336.9197</x:v>
      </x:c>
      <x:c r="Q20" s="30">
        <x:v>46283.22867744213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367.3318</x:v>
      </x:c>
      <x:c r="Q21" s="30">
        <x:v>46283.228682500005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497.3293</x:v>
      </x:c>
      <x:c r="Q22" s="30">
        <x:v>46283.22868822917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353.164</x:v>
      </x:c>
      <x:c r="Q23" s="30">
        <x:v>46283.228694097226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112.2414</x:v>
      </x:c>
      <x:c r="Q24" s="30">
        <x:v>46283.228699837964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111.6958</x:v>
      </x:c>
      <x:c r="Q25" s="30">
        <x:v>46283.22870526621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22.8523</x:v>
      </x:c>
      <x:c r="Q26" s="30">
        <x:v>46283.22871233796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75.6531</x:v>
      </x:c>
      <x:c r="Q27" s="30">
        <x:v>46283.22871717592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135.5947</x:v>
      </x:c>
      <x:c r="Q28" s="30">
        <x:v>46283.22872262732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8.7377</x:v>
      </x:c>
      <x:c r="Q29" s="30">
        <x:v>46283.22872841435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>
        <x:v>44.6261</x:v>
      </x:c>
      <x:c r="Q30" s="30">
        <x:v>46283.22873591435</x:v>
      </x:c>
      <x:c r="R30" s="33" t="inlineStr">
        <x:is>
          <x:t xml:space="preserve">https://dexscreener.com/bsc/0xd5c0572126a707196aaba2b6952d67fc2a140651</x:t>
        </x:is>
      </x:c>
      <x:c r="S30" s="33" t="inlineStr">
        <x:is>
          <x:t xml:space="preserve">每日 Quote 代币池价；本地可手动更新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115.8148</x:v>
      </x:c>
      <x:c r="Q31" s="30">
        <x:v>46283.22874158565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160.38</x:v>
      </x:c>
      <x:c r="Q32" s="30">
        <x:v>46283.22874582176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7.803</x:v>
      </x:c>
      <x:c r="Q33" s="30">
        <x:v>46283.22875224537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34.5738</x:v>
      </x:c>
      <x:c r="Q34" s="30">
        <x:v>46283.228758564816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24.3992</x:v>
      </x:c>
      <x:c r="Q35" s="30">
        <x:v>46283.22876398148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/>
      <x:c r="Q36" s="31">
        <x:v>46283.22876984954</x:v>
      </x:c>
      <x:c r="R36" s="34"/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R3:S3"/>
  </x:mergeCells>
  <x:pageMargins left="0.7" right="0.7" top="0.75" bottom="0.75" header="0.3" footer="0.3"/>
</x:worksheet>
</file>