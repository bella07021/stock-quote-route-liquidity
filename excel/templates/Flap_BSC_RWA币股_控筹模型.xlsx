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8b7a12cf544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ca26cecaf76542b3"/>
    <x:sheet xmlns:r="http://schemas.openxmlformats.org/officeDocument/2006/relationships" name="Quote参数" sheetId="2" r:id="R2deb1b30251a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d2318d9ec94625" /><Relationship Type="http://schemas.openxmlformats.org/officeDocument/2006/relationships/theme" Target="/xl/theme/theme1.xml" Id="Rc1079550f5a9437f" /><Relationship Type="http://schemas.openxmlformats.org/officeDocument/2006/relationships/sharedStrings" Target="/xl/sharedStrings.xml" Id="Rd2241002651440b6" /><Relationship Type="http://schemas.openxmlformats.org/officeDocument/2006/relationships/worksheet" Target="/xl/worksheets/sheet1.xml" Id="Rca26cecaf76542b3" /><Relationship Type="http://schemas.openxmlformats.org/officeDocument/2006/relationships/worksheet" Target="/xl/worksheets/sheet2.xml" Id="R2deb1b30251a47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66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IF(ISNUMBER($D$26),(IF(LEFT($D$51,2)&lt;&gt;"可达","",IF($D$22="","",SUM($D$22,$D$23,$D$24,$D$25))))+$D$26,"")</f>
        <v>550.5982142680366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85678.81983054978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84022.66399283805</v>
      </c>
      <c r="E19" s="100" t="str">
        <v>USDT</v>
      </c>
      <c r="F19" s="101" t="str">
        <v>Gas 折算 / USDT</v>
      </c>
      <c r="G19" s="115" t="n">
        <f>IF($G$18=0,0,IF($J$19="","",$G$18*$J$19))</f>
        <v>1656.155837711734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752.7981080507881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IF(LEFT($D$51,2)&lt;&gt;"可达","",IF($J$46="","",$J$46*$J$47))</f>
        <v>35.71428571298285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66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恢复目标控筹预留</v>
      </c>
      <c r="D26" s="115" t="n">
        <f>IF($D$51&lt;&gt;"可达","",0)</f>
        <v>0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0.9353058750000001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hidden="1" customHeight="1" outlineLevel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MAX(0,1-$J$29)*MAX(0,1-$J$30)</f>
        <v>0.9950062500000001</v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152.6025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46285.27305508102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64694124.99999994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0.0000047236962361824285</v>
      </c>
      <c r="H59" s="137" t="n">
        <f>IF(NOT(ISNUMBER(F59)),"",F59*$D$45)</f>
        <v>30.954251969544593</v>
      </c>
      <c r="I59" s="137" t="n">
        <f>IF(OR($D$55="",NOT(ISNUMBER(H59))),"",H59*$D$55)</f>
        <v>4723.696236182429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0.000005708413165834386</v>
      </c>
      <c r="H60" s="138" t="n">
        <f>IF(NOT(ISNUMBER(F60)),"",F60*$D$45)</f>
        <v>37.40707502062146</v>
      </c>
      <c r="I60" s="138" t="n">
        <f>IF(OR($D$55="",NOT(ISNUMBER(H60))),"",H60*$D$55)</f>
        <v>5708.413165834387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0.0000070364931828598345</v>
      </c>
      <c r="H61" s="138" t="n">
        <f>IF(NOT(ISNUMBER(F61)),"",F61*$D$45)</f>
        <v>46.10994697242729</v>
      </c>
      <c r="I61" s="138" t="n">
        <f>IF(OR($D$55="",NOT(ISNUMBER(H61))),"",H61*$D$55)</f>
        <v>7036.493182859835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0.000008888314538173412</v>
      </c>
      <c r="H62" s="138" t="n">
        <f>IF(NOT(ISNUMBER(F62)),"",F62*$D$45)</f>
        <v>58.244881559433246</v>
      </c>
      <c r="I62" s="138" t="n">
        <f>IF(OR($D$55="",NOT(ISNUMBER(H62))),"",H62*$D$55)</f>
        <v>8888.314538173412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0.000011580360043371567</v>
      </c>
      <c r="H63" s="138" t="n">
        <f>IF(NOT(ISNUMBER(F63)),"",F63*$D$45)</f>
        <v>75.88578197193078</v>
      </c>
      <c r="I63" s="138" t="n">
        <f>IF(OR($D$55="",NOT(ISNUMBER(H63))),"",H63*$D$55)</f>
        <v>11580.360043371567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0.000015709995828608226</v>
      </c>
      <c r="H64" s="138" t="n">
        <f>IF(NOT(ISNUMBER(F64)),"",F64*$D$45)</f>
        <v>102.94717208832245</v>
      </c>
      <c r="I64" s="138" t="n">
        <f>IF(OR($D$55="",NOT(ISNUMBER(H64))),"",H64*$D$55)</f>
        <v>15709.995828608226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0.000022517862418540995</v>
      </c>
      <c r="H65" s="138" t="n">
        <f>IF(NOT(ISNUMBER(F65)),"",F65*$D$45)</f>
        <v>147.5589352634524</v>
      </c>
      <c r="I65" s="138" t="n">
        <f>IF(OR($D$55="",NOT(ISNUMBER(H65))),"",H65*$D$55)</f>
        <v>22517.862418540997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0.00003494127860983202</v>
      </c>
      <c r="H66" s="138" t="n">
        <f>IF(NOT(ISNUMBER(F66)),"",F66*$D$45)</f>
        <v>228.9692410663785</v>
      </c>
      <c r="I66" s="138" t="n">
        <f>IF(OR($D$55="",NOT(ISNUMBER(H66))),"",H66*$D$55)</f>
        <v>34941.27860983202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0.0000614080512720219</v>
      </c>
      <c r="H67" s="139" t="n">
        <f>IF(NOT(ISNUMBER(F67)),"",F67*$D$45)</f>
        <v>402.4052769254888</v>
      </c>
      <c r="I67" s="139" t="n">
        <f>IF(OR($D$55="",NOT(ISNUMBER(H67))),"",H67*$D$55)</f>
        <v>61408.051272021905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0.0000681261160689435</v>
      </c>
      <c r="H72" s="137" t="n">
        <f>IF(NOT(ISNUMBER(F72)),"",F72*$D$45)</f>
        <v>446.4285714122868</v>
      </c>
      <c r="I72" s="137" t="n">
        <f>IF(OR($D$55="",NOT(ISNUMBER(H72))),"",H72*$D$55)</f>
        <v>68126.11606894349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0.00007166455339270847</v>
      </c>
      <c r="H73" s="138" t="n">
        <f>IF(NOT(ISNUMBER(F73)),"",F73*$D$45)</f>
        <v>469.6158542141084</v>
      </c>
      <c r="I73" s="138" t="n">
        <f>IF(OR($D$55="",NOT(ISNUMBER(H73))),"",H73*$D$55)</f>
        <v>71664.55339270848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0.00007548600118442493</v>
      </c>
      <c r="H74" s="138" t="n">
        <f>IF(NOT(ISNUMBER(F74)),"",F74*$D$45)</f>
        <v>494.65769685571945</v>
      </c>
      <c r="I74" s="138" t="n">
        <f>IF(OR($D$55="",NOT(ISNUMBER(H74))),"",H74*$D$55)</f>
        <v>75486.00118442492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0.00007962146509153366</v>
      </c>
      <c r="H75" s="138" t="n">
        <f>IF(NOT(ISNUMBER(F75)),"",F75*$D$45)</f>
        <v>521.7572784950029</v>
      </c>
      <c r="I75" s="138" t="n">
        <f>IF(OR($D$55="",NOT(ISNUMBER(H75))),"",H75*$D$55)</f>
        <v>79621.46509153367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0.00008410631613449817</v>
      </c>
      <c r="H76" s="138" t="n">
        <f>IF(NOT(ISNUMBER(F76)),"",F76*$D$45)</f>
        <v>551.1463844596135</v>
      </c>
      <c r="I76" s="138" t="n">
        <f>IF(OR($D$55="",NOT(ISNUMBER(H76))),"",H76*$D$55)</f>
        <v>84106.31613449816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0.00008898104955943644</v>
      </c>
      <c r="H77" s="138" t="n">
        <f>IF(NOT(ISNUMBER(F77)),"",F77*$D$45)</f>
        <v>583.0903789874768</v>
      </c>
      <c r="I77" s="138" t="n">
        <f>IF(OR($D$55="",NOT(ISNUMBER(H77))),"",H77*$D$55)</f>
        <v>88981.04955943642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0.00009429220217154812</v>
      </c>
      <c r="H78" s="138" t="n">
        <f>IF(NOT(ISNUMBER(F78)),"",F78*$D$45)</f>
        <v>617.8942164875945</v>
      </c>
      <c r="I78" s="138" t="n">
        <f>IF(OR($D$55="",NOT(ISNUMBER(H78))),"",H78*$D$55)</f>
        <v>94292.20217154812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0.00010009346713527055</v>
      </c>
      <c r="H79" s="138" t="n">
        <f>IF(NOT(ISNUMBER(F79)),"",F79*$D$45)</f>
        <v>655.9097467949119</v>
      </c>
      <c r="I79" s="138" t="n">
        <f>IF(OR($D$55="",NOT(ISNUMBER(H79))),"",H79*$D$55)</f>
        <v>100093.46713527055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0.00010644705635772425</v>
      </c>
      <c r="H80" s="138" t="n">
        <f>IF(NOT(ISNUMBER(F80)),"",F80*$D$45)</f>
        <v>697.5446428316984</v>
      </c>
      <c r="I80" s="138" t="n">
        <f>IF(OR($D$55="",NOT(ISNUMBER(H80))),"",H80*$D$55)</f>
        <v>106447.05635772426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0.00011342537534891741</v>
      </c>
      <c r="H81" s="138" t="n">
        <f>IF(NOT(ISNUMBER(F81)),"",F81*$D$45)</f>
        <v>743.2733759205611</v>
      </c>
      <c r="I81" s="138" t="n">
        <f>IF(OR($D$55="",NOT(ISNUMBER(H81))),"",H81*$D$55)</f>
        <v>113425.37534891741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0.00012111309523367738</v>
      </c>
      <c r="H82" s="138" t="n">
        <f>IF(NOT(ISNUMBER(F82)),"",F82*$D$45)</f>
        <v>793.6507936218436</v>
      </c>
      <c r="I82" s="138" t="n">
        <f>IF(OR($D$55="",NOT(ISNUMBER(H82))),"",H82*$D$55)</f>
        <v>121113.09523367738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0.00012960973330595682</v>
      </c>
      <c r="H83" s="138" t="n">
        <f>IF(NOT(ISNUMBER(F83)),"",F83*$D$45)</f>
        <v>849.329030035267</v>
      </c>
      <c r="I83" s="138" t="n">
        <f>IF(OR($D$55="",NOT(ISNUMBER(H83))),"",H83*$D$55)</f>
        <v>129609.73330595683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0.00013903288993661952</v>
      </c>
      <c r="H84" s="138" t="n">
        <f>IF(NOT(ISNUMBER(F84)),"",F84*$D$45)</f>
        <v>911.0787171679332</v>
      </c>
      <c r="I84" s="138" t="n">
        <f>IF(OR($D$55="",NOT(ISNUMBER(H84))),"",H84*$D$55)</f>
        <v>139032.88993661953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0.00014952233979466324</v>
      </c>
      <c r="H85" s="138" t="n">
        <f>IF(NOT(ISNUMBER(F85)),"",F85*$D$45)</f>
        <v>979.8157945948675</v>
      </c>
      <c r="I85" s="138" t="n">
        <f>IF(OR($D$55="",NOT(ISNUMBER(H85))),"",H85*$D$55)</f>
        <v>149522.33979466325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0.00016124524513359427</v>
      </c>
      <c r="H86" s="138" t="n">
        <f>IF(NOT(ISNUMBER(F86)),"",F86*$D$45)</f>
        <v>1056.6356719817452</v>
      </c>
      <c r="I86" s="138" t="n">
        <f>IF(OR($D$55="",NOT(ISNUMBER(H86))),"",H86*$D$55)</f>
        <v>161245.24513359426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0.00017440285713649523</v>
      </c>
      <c r="H87" s="138" t="n">
        <f>IF(NOT(ISNUMBER(F87)),"",F87*$D$45)</f>
        <v>1142.8571428154535</v>
      </c>
      <c r="I87" s="138" t="n">
        <f>IF(OR($D$55="",NOT(ISNUMBER(H87))),"",H87*$D$55)</f>
        <v>174402.85713649524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0.0001892392113026207</v>
      </c>
      <c r="H88" s="138" t="n">
        <f>IF(NOT(ISNUMBER(F88)),"",F88*$D$45)</f>
        <v>1240.0793650341293</v>
      </c>
      <c r="I88" s="138" t="n">
        <f>IF(OR($D$55="",NOT(ISNUMBER(H88))),"",H88*$D$55)</f>
        <v>189239.2113026207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0.00020605252497222975</v>
      </c>
      <c r="H89" s="138" t="n">
        <f>IF(NOT(ISNUMBER(F89)),"",F89*$D$45)</f>
        <v>1350.2565486950068</v>
      </c>
      <c r="I89" s="138" t="n">
        <f>IF(OR($D$55="",NOT(ISNUMBER(H89))),"",H89*$D$55)</f>
        <v>206052.52497222976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0.00022521030105435857</v>
      </c>
      <c r="H90" s="138" t="n">
        <f>IF(NOT(ISNUMBER(F90)),"",F90*$D$45)</f>
        <v>1475.7969302885508</v>
      </c>
      <c r="I90" s="138" t="n">
        <f>IF(OR($D$55="",NOT(ISNUMBER(H90))),"",H90*$D$55)</f>
        <v>225210.30105435857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0.00024716958210954545</v>
      </c>
      <c r="H91" s="138" t="n">
        <f>IF(NOT(ISNUMBER(F91)),"",F91*$D$45)</f>
        <v>1619.6954971874347</v>
      </c>
      <c r="I91" s="138" t="n">
        <f>IF(OR($D$55="",NOT(ISNUMBER(H91))),"",H91*$D$55)</f>
        <v>247169.5821095455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0.000272504464275774</v>
      </c>
      <c r="H92" s="138" t="n">
        <f>IF(NOT(ISNUMBER(F92)),"",F92*$D$45)</f>
        <v>1785.714285649147</v>
      </c>
      <c r="I92" s="138" t="n">
        <f>IF(OR($D$55="",NOT(ISNUMBER(H92))),"",H92*$D$55)</f>
        <v>272504.46427577396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0.0003019440047376997</v>
      </c>
      <c r="H93" s="138" t="n">
        <f>IF(NOT(ISNUMBER(F93)),"",F93*$D$45)</f>
        <v>1978.6307874228778</v>
      </c>
      <c r="I93" s="138" t="n">
        <f>IF(OR($D$55="",NOT(ISNUMBER(H93))),"",H93*$D$55)</f>
        <v>301944.0047376997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0.00033642526453799254</v>
      </c>
      <c r="H94" s="138" t="n">
        <f>IF(NOT(ISNUMBER(F94)),"",F94*$D$45)</f>
        <v>2204.5855378384535</v>
      </c>
      <c r="I94" s="138" t="n">
        <f>IF(OR($D$55="",NOT(ISNUMBER(H94))),"",H94*$D$55)</f>
        <v>336425.2645379926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0.0003771688086861924</v>
      </c>
      <c r="H95" s="138" t="n">
        <f>IF(NOT(ISNUMBER(F95)),"",F95*$D$45)</f>
        <v>2471.576865950377</v>
      </c>
      <c r="I95" s="138" t="n">
        <f>IF(OR($D$55="",NOT(ISNUMBER(H95))),"",H95*$D$55)</f>
        <v>377168.8086861924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0.000425788225430897</v>
      </c>
      <c r="H96" s="138" t="n">
        <f>IF(NOT(ISNUMBER(F96)),"",F96*$D$45)</f>
        <v>2790.1785713267936</v>
      </c>
      <c r="I96" s="138" t="n">
        <f>IF(OR($D$55="",NOT(ISNUMBER(H96))),"",H96*$D$55)</f>
        <v>425788.22543089703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0.0004844523809347095</v>
      </c>
      <c r="H97" s="138" t="n">
        <f>IF(NOT(ISNUMBER(F97)),"",F97*$D$45)</f>
        <v>3174.6031744873744</v>
      </c>
      <c r="I97" s="138" t="n">
        <f>IF(OR($D$55="",NOT(ISNUMBER(H97))),"",H97*$D$55)</f>
        <v>484452.3809347095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0.0005561315597464779</v>
      </c>
      <c r="H98" s="138" t="n">
        <f>IF(NOT(ISNUMBER(F98)),"",F98*$D$45)</f>
        <v>3644.3148686717313</v>
      </c>
      <c r="I98" s="138" t="n">
        <f>IF(OR($D$55="",NOT(ISNUMBER(H98))),"",H98*$D$55)</f>
        <v>556131.5597464779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0.0006449809805343766</v>
      </c>
      <c r="H99" s="138" t="n">
        <f>IF(NOT(ISNUMBER(F99)),"",F99*$D$45)</f>
        <v>4226.542687926978</v>
      </c>
      <c r="I99" s="138" t="n">
        <f>IF(OR($D$55="",NOT(ISNUMBER(H99))),"",H99*$D$55)</f>
        <v>644980.9805343766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0.0007569568452104837</v>
      </c>
      <c r="H100" s="138" t="n">
        <f>IF(NOT(ISNUMBER(F100)),"",F100*$D$45)</f>
        <v>4960.317460136523</v>
      </c>
      <c r="I100" s="138" t="n">
        <f>IF(OR($D$55="",NOT(ISNUMBER(H100))),"",H100*$D$55)</f>
        <v>756956.8452104836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0.0009008412042174362</v>
      </c>
      <c r="H101" s="138" t="n">
        <f>IF(NOT(ISNUMBER(F101)),"",F101*$D$45)</f>
        <v>5903.187721154216</v>
      </c>
      <c r="I101" s="138" t="n">
        <f>IF(OR($D$55="",NOT(ISNUMBER(H101))),"",H101*$D$55)</f>
        <v>900841.2042174361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0.0010900178571030981</v>
      </c>
      <c r="H102" s="138" t="n">
        <f>IF(NOT(ISNUMBER(F102)),"",F102*$D$45)</f>
        <v>7142.857142596603</v>
      </c>
      <c r="I102" s="138" t="n">
        <f>IF(OR($D$55="",NOT(ISNUMBER(H102))),"",H102*$D$55)</f>
        <v>1090017.857103098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0.0013457010581519736</v>
      </c>
      <c r="H103" s="138" t="n">
        <f>IF(NOT(ISNUMBER(F103)),"",F103*$D$45)</f>
        <v>8818.342151353836</v>
      </c>
      <c r="I103" s="138" t="n">
        <f>IF(OR($D$55="",NOT(ISNUMBER(H103))),"",H103*$D$55)</f>
        <v>1345701.0581519736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0.001703152901723592</v>
      </c>
      <c r="H104" s="138" t="n">
        <f>IF(NOT(ISNUMBER(F104)),"",F104*$D$45)</f>
        <v>11160.7142853072</v>
      </c>
      <c r="I104" s="138" t="n">
        <f>IF(OR($D$55="",NOT(ISNUMBER(H104))),"",H104*$D$55)</f>
        <v>1703152.9017235918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0.0022245262389859167</v>
      </c>
      <c r="H105" s="138" t="n">
        <f>IF(NOT(ISNUMBER(F105)),"",F105*$D$45)</f>
        <v>14577.25947468696</v>
      </c>
      <c r="I105" s="138" t="n">
        <f>IF(OR($D$55="",NOT(ISNUMBER(H105))),"",H105*$D$55)</f>
        <v>2224526.2389859166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0.003027827380841944</v>
      </c>
      <c r="H106" s="138" t="n">
        <f>IF(NOT(ISNUMBER(F106)),"",F106*$D$45)</f>
        <v>19841.269840546152</v>
      </c>
      <c r="I106" s="138" t="n">
        <f>IF(OR($D$55="",NOT(ISNUMBER(H106))),"",H106*$D$55)</f>
        <v>3027827.380841944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0.004360071428412403</v>
      </c>
      <c r="H107" s="138" t="n">
        <f>IF(NOT(ISNUMBER(F107)),"",F107*$D$45)</f>
        <v>28571.428570386484</v>
      </c>
      <c r="I107" s="138" t="n">
        <f>IF(OR($D$55="",NOT(ISNUMBER(H107))),"",H107*$D$55)</f>
        <v>4360071.428412403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0.006812611606894326</v>
      </c>
      <c r="H108" s="138" t="n">
        <f>IF(NOT(ISNUMBER(F108)),"",F108*$D$45)</f>
        <v>44642.85714122853</v>
      </c>
      <c r="I108" s="138" t="n">
        <f>IF(OR($D$55="",NOT(ISNUMBER(H108))),"",H108*$D$55)</f>
        <v>6812611.606894326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0.012111309523367872</v>
      </c>
      <c r="H109" s="138" t="n">
        <f>IF(NOT(ISNUMBER(F109)),"",F109*$D$45)</f>
        <v>79365.07936218524</v>
      </c>
      <c r="I109" s="138" t="n">
        <f>IF(OR($D$55="",NOT(ISNUMBER(H109))),"",H109*$D$55)</f>
        <v>12111309.523367872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0.027250446427577225</v>
      </c>
      <c r="H110" s="138" t="n">
        <f>IF(NOT(ISNUMBER(F110)),"",F110*$D$45)</f>
        <v>178571.4285649136</v>
      </c>
      <c r="I110" s="138" t="n">
        <f>IF(OR($D$55="",NOT(ISNUMBER(H110))),"",H110*$D$55)</f>
        <v>27250446.427577227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0.10900178571031345</v>
      </c>
      <c r="H111" s="138" t="n">
        <f>IF(NOT(ISNUMBER(F111)),"",F111*$D$45)</f>
        <v>714285.7142596842</v>
      </c>
      <c r="I111" s="138" t="n">
        <f>IF(OR($D$55="",NOT(ISNUMBER(H111))),"",H111*$D$55)</f>
        <v>109001785.71031345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0.0000681261160689435</v>
      </c>
      <c r="H117" s="137" t="n">
        <f>IF(NOT(ISNUMBER(F117)),"",F117*$D$45)</f>
        <v>446.4285714122868</v>
      </c>
      <c r="I117" s="137" t="n">
        <f>IF(OR($D$55="",NOT(ISNUMBER(H117))),"",H117*$D$55)</f>
        <v>68126.11606894349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0.000030278273808419308</v>
      </c>
      <c r="H118" s="138" t="n">
        <f>IF(NOT(ISNUMBER(F118)),"",F118*$D$45)</f>
        <v>198.41269840546065</v>
      </c>
      <c r="I118" s="138" t="n">
        <f>IF(OR($D$55="",NOT(ISNUMBER(H118))),"",H118*$D$55)</f>
        <v>30278.273808419308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0.000017031529017235867</v>
      </c>
      <c r="H119" s="138" t="n">
        <f>IF(NOT(ISNUMBER(F119)),"",F119*$D$45)</f>
        <v>111.60714285307166</v>
      </c>
      <c r="I119" s="138" t="n">
        <f>IF(OR($D$55="",NOT(ISNUMBER(H119))),"",H119*$D$55)</f>
        <v>17031.52901723587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0.000010900178571030955</v>
      </c>
      <c r="H120" s="138" t="n">
        <f>IF(NOT(ISNUMBER(F120)),"",F120*$D$45)</f>
        <v>71.42857142596587</v>
      </c>
      <c r="I120" s="138" t="n">
        <f>IF(OR($D$55="",NOT(ISNUMBER(H120))),"",H120*$D$55)</f>
        <v>10900.178571030956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0.0000075695684521048295</v>
      </c>
      <c r="H121" s="138" t="n">
        <f>IF(NOT(ISNUMBER(F121)),"",F121*$D$45)</f>
        <v>49.60317460136518</v>
      </c>
      <c r="I121" s="138" t="n">
        <f>IF(OR($D$55="",NOT(ISNUMBER(H121))),"",H121*$D$55)</f>
        <v>7569.56845210483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0.000005561315597464773</v>
      </c>
      <c r="H122" s="138" t="n">
        <f>IF(NOT(ISNUMBER(F122)),"",F122*$D$45)</f>
        <v>36.44314868671728</v>
      </c>
      <c r="I122" s="138" t="n">
        <f>IF(OR($D$55="",NOT(ISNUMBER(H122))),"",H122*$D$55)</f>
        <v>5561.315597464773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0.000004257882254308967</v>
      </c>
      <c r="H123" s="138" t="n">
        <f>IF(NOT(ISNUMBER(F123)),"",F123*$D$45)</f>
        <v>27.901785713267916</v>
      </c>
      <c r="I123" s="138" t="n">
        <f>IF(OR($D$55="",NOT(ISNUMBER(H123))),"",H123*$D$55)</f>
        <v>4257.882254308967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0.000003364252645379924</v>
      </c>
      <c r="H124" s="138" t="n">
        <f>IF(NOT(ISNUMBER(F124)),"",F124*$D$45)</f>
        <v>22.045855378384523</v>
      </c>
      <c r="I124" s="138" t="n">
        <f>IF(OR($D$55="",NOT(ISNUMBER(H124))),"",H124*$D$55)</f>
        <v>3364.252645379924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0.000002725044642757739</v>
      </c>
      <c r="H125" s="139" t="n">
        <f>IF(NOT(ISNUMBER(F125)),"",F125*$D$45)</f>
        <v>17.857142856491468</v>
      </c>
      <c r="I125" s="139" t="n">
        <f>IF(OR($D$55="",NOT(ISNUMBER(H125))),"",H125*$D$55)</f>
        <v>2725.044642757739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>
        <x:v>752.7981080507881</x:v>
      </x:c>
      <x:c r="Q7" s="45">
        <x:v>46285.27349457176</x:v>
      </x:c>
      <x:c r="R7" s="35" t="inlineStr">
        <x:is>
          <x:t xml:space="preserve">https://api.coingecko.com/api/v3/simple/price?ids=tether,ethereum,binancecoin,solana,hyperliquid,aster-2&amp;vs_currencies=usd</x:t>
        </x:is>
      </x:c>
      <x:c r="S7" s="35" t="inlineStr">
        <x:is>
          <x:t xml:space="preserve">随每日行情更新；仅用于原生币 Gas 折算</x:t>
        </x:is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 t="str">
        <x:v>外盘卖出所得 Quote 用于回买，不额外补 Quote；双边 LP 费和买卖税降低洗后持币，预留为 0。</x:v>
      </x:c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152.6025</x:v>
      </x:c>
      <x:c r="Q14" s="29">
        <x:v>46285.27305508102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186.02146</x:v>
      </x:c>
      <x:c r="Q15" s="30">
        <x:v>46285.27306034722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762.01011</x:v>
      </x:c>
      <x:c r="Q16" s="30">
        <x:v>46285.273066354166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4370.9941</x:v>
      </x:c>
      <x:c r="Q17" s="30">
        <x:v>46285.2730721875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719.7029</x:v>
      </x:c>
      <x:c r="Q18" s="30">
        <x:v>46285.27307773148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220.8377</x:v>
      </x:c>
      <x:c r="Q19" s="30">
        <x:v>46285.2730834838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334.1213</x:v>
      </x:c>
      <x:c r="Q20" s="30">
        <x:v>46285.27308929398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363.918</x:v>
      </x:c>
      <x:c r="Q21" s="30">
        <x:v>46285.27309511574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494.833</x:v>
      </x:c>
      <x:c r="Q22" s="30">
        <x:v>46285.273100879625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350.1912</x:v>
      </x:c>
      <x:c r="Q23" s="30">
        <x:v>46285.273106643515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117.4261</x:v>
      </x:c>
      <x:c r="Q24" s="30">
        <x:v>46285.273112442126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115.1007</x:v>
      </x:c>
      <x:c r="Q25" s="30">
        <x:v>46285.27311789352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22.3513</x:v>
      </x:c>
      <x:c r="Q26" s="30">
        <x:v>46285.27312395833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72.06498</x:v>
      </x:c>
      <x:c r="Q27" s="30">
        <x:v>46285.27312980324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153.7226</x:v>
      </x:c>
      <x:c r="Q28" s="30">
        <x:v>46285.273135891206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8.8582</x:v>
      </x:c>
      <x:c r="Q29" s="30">
        <x:v>46285.27314138889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42.4354</x:v>
      </x:c>
      <x:c r="Q30" s="30">
        <x:v>46285.2731471875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120.5308</x:v>
      </x:c>
      <x:c r="Q31" s="30">
        <x:v>46285.27315298611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153.967</x:v>
      </x:c>
      <x:c r="Q32" s="30">
        <x:v>46285.2731590625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7.28</x:v>
      </x:c>
      <x:c r="Q33" s="30">
        <x:v>46285.2731653588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35.614</x:v>
      </x:c>
      <x:c r="Q34" s="30">
        <x:v>46285.27317057871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25.4287</x:v>
      </x:c>
      <x:c r="Q35" s="30">
        <x:v>46285.273176111106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 t="inlineStr">
        <x:is>
          <x:t xml:space="preserve"/>
        </x:is>
      </x:c>
      <x:c r="Q36" s="31">
        <x:v>46285.27318188657</x:v>
      </x:c>
      <x:c r="R36" s="34" t="inlineStr">
        <x:is>
          <x:t xml:space="preserve"/>
        </x:is>
      </x:c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